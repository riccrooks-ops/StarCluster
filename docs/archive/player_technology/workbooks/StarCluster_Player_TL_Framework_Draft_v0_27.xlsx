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_rels/sheet3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_rels/sheet37.xml.rels" ContentType="application/vnd.openxmlformats-package.relationships+xml"/>
  <Override PartName="/xl/worksheets/_rels/sheet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42.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 name="TL2 Micro Profiles" sheetId="39" state="visible" r:id="rId41"/>
    <sheet name="Checkpoint 45 Viability" sheetId="40" state="visible" r:id="rId42"/>
    <sheet name="TL2 Dynamic Profiles" sheetId="41" state="visible" r:id="rId43"/>
    <sheet name="Checkpoint 46 Choice" sheetId="42" state="visible" r:id="rId44"/>
  </sheets>
  <definedNames>
    <definedName function="false" hidden="false" localSheetId="10" name="_xlnm.Print_Area" vbProcedure="false">'Adaptation Rules'!$A$1:$D$16</definedName>
    <definedName function="false" hidden="false" localSheetId="10" name="_xlnm.Print_Titles" vbProcedure="false">'Adaptation Rules'!$1:$4</definedName>
    <definedName function="false" hidden="true" localSheetId="10" name="_xlnm._FilterDatabase" vbProcedure="false">'Adaptation Rules'!$A$4:$D$16</definedName>
    <definedName function="false" hidden="false" localSheetId="34" name="_xlnm.Print_Area" vbProcedure="false">'AUX Catalog'!$A$1:$U$31</definedName>
    <definedName function="false" hidden="true" localSheetId="34" name="_xlnm._FilterDatabase" vbProcedure="false">'AUX Catalog'!$A$4:$U$31</definedName>
    <definedName function="false" hidden="false" localSheetId="6" name="_xlnm.Print_Area" vbProcedure="false">'Checkpoint 25 Plan'!$A$1:$D$12</definedName>
    <definedName function="false" hidden="false" localSheetId="6" name="_xlnm.Print_Titles" vbProcedure="false">'Checkpoint 25 Plan'!$1:$4</definedName>
    <definedName function="false" hidden="true" localSheetId="6" name="_xlnm._FilterDatabase" vbProcedure="false">'Checkpoint 25 Plan'!$A$4:$D$12</definedName>
    <definedName function="false" hidden="false" localSheetId="19" name="_xlnm.Print_Area" vbProcedure="false">'Checkpoint 28 Energy'!$A$1:$G$18</definedName>
    <definedName function="false" hidden="false" localSheetId="20" name="_xlnm.Print_Area" vbProcedure="false">'Checkpoint 29 Matrix'!$A$1:$G$18</definedName>
    <definedName function="false" hidden="false" localSheetId="21" name="_xlnm.Print_Area" vbProcedure="false">'Checkpoint 30 PDS'!$A$1:$G$18</definedName>
    <definedName function="false" hidden="false" localSheetId="22" name="_xlnm.Print_Area" vbProcedure="false">'Checkpoint 31 Defense'!$A$1:$G$29</definedName>
    <definedName function="false" hidden="false" localSheetId="23" name="_xlnm.Print_Area" vbProcedure="false">'Checkpoint 32 Power'!$A$1:$G$38</definedName>
    <definedName function="false" hidden="true" localSheetId="23" name="_xlnm._FilterDatabase" vbProcedure="false">'Checkpoint 32 Power'!$A$2:$G$27</definedName>
    <definedName function="false" hidden="false" localSheetId="24" name="_xlnm.Print_Area" vbProcedure="false">'Checkpoint 33 Correction'!$A$1:$G$30</definedName>
    <definedName function="false" hidden="false" localSheetId="25" name="_xlnm.Print_Area" vbProcedure="false">'Checkpoint 34 Architecture'!$A$1:$G$36</definedName>
    <definedName function="false" hidden="false" localSheetId="26" name="_xlnm.Print_Area" vbProcedure="false">'Checkpoint 35 Range'!$A$1:$G$33</definedName>
    <definedName function="false" hidden="false" localSheetId="26" name="_xlnm.Print_Titles" vbProcedure="false">'Checkpoint 35 Range'!$1:$2</definedName>
    <definedName function="false" hidden="false" localSheetId="27" name="_xlnm.Print_Area" vbProcedure="false">'Checkpoint 36 Damage'!$A$1:$G$90</definedName>
    <definedName function="false" hidden="false" localSheetId="28" name="_xlnm.Print_Area" vbProcedure="false">'Checkpoint 37 DamCon'!$A$1:$G$29</definedName>
    <definedName function="false" hidden="false" localSheetId="28" name="_xlnm.Print_Titles" vbProcedure="false">'Checkpoint 37 DamCon'!$1:$2</definedName>
    <definedName function="false" hidden="false" localSheetId="29" name="_xlnm.Print_Area" vbProcedure="false">'Checkpoint 38 Tactics'!$A$1:$G$34</definedName>
    <definedName function="false" hidden="false" localSheetId="30" name="_xlnm.Print_Area" vbProcedure="false">'Checkpoint 39 Movement'!$A$1:$G$31</definedName>
    <definedName function="false" hidden="false" localSheetId="31" name="_xlnm.Print_Area" vbProcedure="false">'Checkpoint 40 Minimal'!$A$1:$G$31</definedName>
    <definedName function="false" hidden="false" localSheetId="32" name="_xlnm.Print_Area" vbProcedure="false">'Checkpoint 41 Scaling'!$A$1:$Q$36</definedName>
    <definedName function="false" hidden="false" localSheetId="32" name="_xlnm.Print_Titles" vbProcedure="false">'Checkpoint 41 Scaling'!$1:$2</definedName>
    <definedName function="false" hidden="true" localSheetId="32" name="_xlnm._FilterDatabase" vbProcedure="false">'Checkpoint 41 Scaling'!$A$2:$G$19</definedName>
    <definedName function="false" hidden="false" localSheetId="33" name="_xlnm.Print_Area" vbProcedure="false">'Checkpoint 42 Progression'!$A$1:$Q$40</definedName>
    <definedName function="false" hidden="false" localSheetId="33" name="_xlnm.Print_Titles" vbProcedure="false">'Checkpoint 42 Progression'!$1:$2</definedName>
    <definedName function="false" hidden="true" localSheetId="33" name="_xlnm._FilterDatabase" vbProcedure="false">'Checkpoint 42 Progression'!$A$2:$G$17</definedName>
    <definedName function="false" hidden="false" localSheetId="35" name="_xlnm.Print_Area" vbProcedure="false">'Checkpoint 43 AUX'!$A$1:$Q$42</definedName>
    <definedName function="false" hidden="true" localSheetId="35" name="_xlnm._FilterDatabase" vbProcedure="false">'Checkpoint 43 AUX'!$A$2:$G$15</definedName>
    <definedName function="false" hidden="false" localSheetId="37" name="_xlnm.Print_Area" vbProcedure="false">'Checkpoint 44 Attribution'!$A$1:$G$45</definedName>
    <definedName function="false" hidden="false" localSheetId="39" name="_xlnm.Print_Area" vbProcedure="false">'Checkpoint 45 Viability'!$A$1:$G$51</definedName>
    <definedName function="false" hidden="false" localSheetId="41" name="_xlnm.Print_Area" vbProcedure="false">'Checkpoint 46 Choice'!$A$1:$G$46</definedName>
    <definedName function="false" hidden="false" localSheetId="41" name="_xlnm.Print_Titles" vbProcedure="false">'Checkpoint 46 Choice'!$1:$3</definedName>
    <definedName function="false" hidden="false" localSheetId="9" name="_xlnm.Print_Area" vbProcedure="false">'Compatibility Profiles'!$A$1:$Z$15</definedName>
    <definedName function="false" hidden="false" localSheetId="9" name="_xlnm.Print_Titles" vbProcedure="false">'Compatibility Profiles'!$1:$4</definedName>
    <definedName function="false" hidden="true" localSheetId="9" name="_xlnm._FilterDatabase" vbProcedure="false">'Compatibility Profiles'!$A$4:$Z$15</definedName>
    <definedName function="false" hidden="false" localSheetId="5" name="_xlnm.Print_Area" vbProcedure="false">'Component Schema'!$A$1:$C$31</definedName>
    <definedName function="false" hidden="false" localSheetId="5" name="_xlnm.Print_Titles" vbProcedure="false">'Component Schema'!$1:$4</definedName>
    <definedName function="false" hidden="true" localSheetId="5" name="_xlnm._FilterDatabase" vbProcedure="false">'Component Schema'!$A$4:$C$31</definedName>
    <definedName function="false" hidden="false" localSheetId="8" name="_xlnm.Print_Area" vbProcedure="false">Components!$A$1:$X$103</definedName>
    <definedName function="false" hidden="false" localSheetId="8" name="_xlnm.Print_Titles" vbProcedure="false">Components!$1:$4</definedName>
    <definedName function="false" hidden="true" localSheetId="8" name="_xlnm._FilterDatabase" vbProcedure="false">Components!$A$4:$X$103</definedName>
    <definedName function="false" hidden="false" localSheetId="15" name="_xlnm.Print_Area" vbProcedure="false">'Design Decisions'!$A$1:$C$220</definedName>
    <definedName function="false" hidden="false" localSheetId="15" name="_xlnm.Print_Titles" vbProcedure="false">'Design Decisions'!$1:$4</definedName>
    <definedName function="false" hidden="true" localSheetId="15" name="_xlnm._FilterDatabase" vbProcedure="false">'Design Decisions'!$A$4:$C$220</definedName>
    <definedName function="false" hidden="false" localSheetId="13" name="_xlnm.Print_Area" vbProcedure="false">'Design Reconciliation'!$A$1:$F$36</definedName>
    <definedName function="false" hidden="false" localSheetId="13" name="_xlnm.Print_Titles" vbProcedure="false">'Design Reconciliation'!$1:$4</definedName>
    <definedName function="false" hidden="true" localSheetId="13" name="_xlnm._FilterDatabase" vbProcedure="false">'Design Reconciliation'!$A$4:$F$36</definedName>
    <definedName function="false" hidden="false" localSheetId="14" name="_xlnm.Print_Area" vbProcedure="false">'Level Themes'!$A$1:$D$13</definedName>
    <definedName function="false" hidden="false" localSheetId="14" name="_xlnm.Print_Titles" vbProcedure="false">'Level Themes'!$1:$4</definedName>
    <definedName function="false" hidden="true" localSheetId="14" name="_xlnm._FilterDatabase" vbProcedure="false">'Level Themes'!$A$4:$D$13</definedName>
    <definedName function="false" hidden="false" localSheetId="0" name="_xlnm.Print_Area" vbProcedure="false">Overview!$A$1:$H$12</definedName>
    <definedName function="false" hidden="false" localSheetId="0" name="_xlnm.Print_Titles" vbProcedure="false">Overview!$1:$4</definedName>
    <definedName function="false" hidden="false" localSheetId="4" name="_xlnm.Print_Area" vbProcedure="false">'Phase A Runtime'!$A$1:$G$16</definedName>
    <definedName function="false" hidden="true" localSheetId="4" name="_xlnm._FilterDatabase" vbProcedure="false">'Phase A Runtime'!$A$4:$G$16</definedName>
    <definedName function="false" hidden="false" localSheetId="12" name="_xlnm.Print_Area" vbProcedure="false">'Reference Insights'!$A$1:$L$44</definedName>
    <definedName function="false" hidden="false" localSheetId="12" name="_xlnm.Print_Titles" vbProcedure="false">'Reference Insights'!$1:$4</definedName>
    <definedName function="false" hidden="true" localSheetId="12" name="_xlnm._FilterDatabase" vbProcedure="false">'Reference Insights'!$A$4:$L$44</definedName>
    <definedName function="false" hidden="false" localSheetId="11" name="_xlnm.Print_Area" vbProcedure="false">'Reference Library'!$A$1:$L$17</definedName>
    <definedName function="false" hidden="false" localSheetId="11" name="_xlnm.Print_Titles" vbProcedure="false">'Reference Library'!$1:$4</definedName>
    <definedName function="false" hidden="true" localSheetId="11" name="_xlnm._FilterDatabase" vbProcedure="false">'Reference Library'!$A$4:$L$17</definedName>
    <definedName function="false" hidden="false" localSheetId="16" name="_xlnm.Print_Area" vbProcedure="false">'Sources Used'!$A$1:$E$21</definedName>
    <definedName function="false" hidden="false" localSheetId="16" name="_xlnm.Print_Titles" vbProcedure="false">'Sources Used'!$1:$4</definedName>
    <definedName function="false" hidden="true" localSheetId="16" name="_xlnm._FilterDatabase" vbProcedure="false">'Sources Used'!$A$4:$E$21</definedName>
    <definedName function="false" hidden="false" localSheetId="7" name="_xlnm.Print_Area" vbProcedure="false">'TL Matrix'!$A$1:$M$13</definedName>
    <definedName function="false" hidden="false" localSheetId="7" name="_xlnm.Print_Titles" vbProcedure="false">'TL Matrix'!$1:$4</definedName>
    <definedName function="false" hidden="true" localSheetId="7" name="_xlnm._FilterDatabase" vbProcedure="false">'TL Matrix'!$A$4:$M$13</definedName>
    <definedName function="false" hidden="false" localSheetId="1" name="_xlnm.Print_Area" vbProcedure="false">'TL1 Baseline'!$A$1:$I$135</definedName>
    <definedName function="false" hidden="false" localSheetId="1" name="_xlnm.Print_Titles" vbProcedure="false">'TL1 Baseline'!$1:$4</definedName>
    <definedName function="false" hidden="true" localSheetId="1" name="_xlnm._FilterDatabase" vbProcedure="false">'TL1 Baseline'!$A$4:$I$130</definedName>
    <definedName function="false" hidden="false" localSheetId="18" name="_xlnm.Print_Area" vbProcedure="false">'TL1 Calibration'!$A$1:$H$33</definedName>
    <definedName function="false" hidden="false" localSheetId="18" name="_xlnm.Print_Titles" vbProcedure="false">'TL1 Calibration'!$1:$2</definedName>
    <definedName function="false" hidden="true" localSheetId="18" name="_xlnm._FilterDatabase" vbProcedure="false">'TL1 Calibration'!$A$2:$H$31</definedName>
    <definedName function="false" hidden="false" localSheetId="2" name="_xlnm.Print_Area" vbProcedure="false">'TL1 Loadouts'!$A$1:$J$17</definedName>
    <definedName function="false" hidden="false" localSheetId="2" name="_xlnm.Print_Titles" vbProcedure="false">'TL1 Loadouts'!$1:$4</definedName>
    <definedName function="false" hidden="true" localSheetId="2" name="_xlnm._FilterDatabase" vbProcedure="false">'TL1 Loadouts'!$A$4:$J$17</definedName>
    <definedName function="false" hidden="false" localSheetId="17" name="_xlnm.Print_Area" vbProcedure="false">'TL1 Phase B'!$A$1:$D$17</definedName>
    <definedName function="false" hidden="false" localSheetId="3" name="_xlnm.Print_Area" vbProcedure="false">'TL1 Test Matrix'!$A$1:$R$66</definedName>
    <definedName function="false" hidden="false" localSheetId="3" name="_xlnm.Print_Titles" vbProcedure="false">'TL1 Test Matrix'!$1:$4</definedName>
    <definedName function="false" hidden="true" localSheetId="3" name="_xlnm._FilterDatabase" vbProcedure="false">'TL1 Test Matrix'!$A$4:$R$66</definedName>
    <definedName function="false" hidden="false" localSheetId="36" name="_xlnm.Print_Area" vbProcedure="false">'TL2 Attribution Profiles'!$A$1:$S$22</definedName>
    <definedName function="false" hidden="false" localSheetId="36" name="_xlnm.Print_Titles" vbProcedure="false">'TL2 Attribution Profiles'!$1:$3</definedName>
    <definedName function="false" hidden="true" localSheetId="36" name="_xlnm._FilterDatabase" vbProcedure="false">'TL2 Attribution Profiles'!$A$3:$S$22</definedName>
    <definedName function="false" hidden="false" localSheetId="40" name="_xlnm.Print_Area" vbProcedure="false">'TL2 Dynamic Profiles'!$A$1:$T$5</definedName>
    <definedName function="false" hidden="false" localSheetId="40" name="_xlnm.Print_Titles" vbProcedure="false">'TL2 Dynamic Profiles'!$1:$3</definedName>
    <definedName function="false" hidden="true" localSheetId="40" name="_xlnm._FilterDatabase" vbProcedure="false">'TL2 Dynamic Profiles'!$A$3:$T$5</definedName>
    <definedName function="false" hidden="false" localSheetId="38" name="_xlnm.Print_Area" vbProcedure="false">'TL2 Micro Profiles'!$A$1:$T$12</definedName>
    <definedName function="false" hidden="false" localSheetId="38" name="_xlnm.Print_Titles" vbProcedure="false">'TL2 Micro Profiles'!$1:$3</definedName>
    <definedName function="false" hidden="true" localSheetId="38" name="_xlnm._FilterDatabase" vbProcedure="false">'TL2 Micro Profiles'!$A$3:$T$12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<sst xmlns="http://schemas.openxmlformats.org/spreadsheetml/2006/main" count="10909" uniqueCount="5817">
  <si>
    <t xml:space="preserve">Star Cluster Player Technology Framework - Draft v0.27</t>
  </si>
  <si>
    <t xml:space="preserve">Checkpoint 46 TL2 Dynamic Weapon-Choice Confirmation - August 6, 2026</t>
  </si>
  <si>
    <t xml:space="preserve">Status</t>
  </si>
  <si>
    <t xml:space="preserve">Retain all accepted mechanics while confirming dynamic same-TL Kinetic, Energy, and Missile choice viability without flattening family identity or promoting a TL2 package.</t>
  </si>
  <si>
    <t xml:space="preserve">Visible research</t>
  </si>
  <si>
    <t xml:space="preserve">10 broad categories, TL 1-9, advancing independently with hybrid statistical, efficiency, integration, and capability progression.</t>
  </si>
  <si>
    <t xml:space="preserve">Core test chassis</t>
  </si>
  <si>
    <t xml:space="preserve">One stripped TL1 cruiser remains the production baseline; two candidate-only TL2 profiles isolate Armor Integrity versus Hull while preserving the same weapon, movement, power, and guidance vectors.</t>
  </si>
  <si>
    <t xml:space="preserve">Power model</t>
  </si>
  <si>
    <t xml:space="preserve">One Available / Powered / Spent pool with earmarks; renewable, auxiliary, stored, finite, and overload sources remain separately reported.</t>
  </si>
  <si>
    <t xml:space="preserve">Calibration package</t>
  </si>
  <si>
    <t xml:space="preserve">131 exact TL1 baseline parameters; 4,410 Monte Carlo variants across 22 stages. Checkpoint 46 adds 108 fixed mutual-envelope and Preferred Range same-TL variants.</t>
  </si>
  <si>
    <t xml:space="preserve">Baseline lock</t>
  </si>
  <si>
    <t xml:space="preserve">Checkpoint 46 promotes no TL2 package, weapon value, or AUX family. Exact parity is not required; broad dominance and irrelevance are non-blocking review signals.</t>
  </si>
  <si>
    <t xml:space="preserve">Architecture</t>
  </si>
  <si>
    <t xml:space="preserve">The permanent baseline-binding guard remains active. Starting-range, pooled pairwise, family-role, orientation, and fixed-control reports separate tactical evidence cleanly.</t>
  </si>
  <si>
    <t xml:space="preserve">Balance objective</t>
  </si>
  <si>
    <t xml:space="preserve">Preserve distinct family characteristics and acceptable range- or era-specific advantages while preventing any option from becoming broadly compulsory.</t>
  </si>
  <si>
    <t xml:space="preserve">Immediate next pass</t>
  </si>
  <si>
    <t xml:space="preserve">Run the Checkpoint 46 native validation, assess dynamic choice viability, then either adopt the Armor Step profile as the provisional TL2 reference or perform one narrowly targeted family-consistent refinement.</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</si>
  <si>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</si>
  <si>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</si>
  <si>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</si>
  <si>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</si>
  <si>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</si>
  <si>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</si>
  <si>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</si>
  <si>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</si>
  <si>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</si>
  <si>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</si>
  <si>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</si>
  <si>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</si>
  <si>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</si>
  <si>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</si>
  <si>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</si>
  <si>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</si>
  <si>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</si>
  <si>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</si>
  <si>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</si>
  <si>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</si>
  <si>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</si>
  <si>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</si>
  <si>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</si>
  <si>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</si>
  <si>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</si>
  <si>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</si>
  <si>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</si>
  <si>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</si>
  <si>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</si>
  <si>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</si>
  <si>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</si>
  <si>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</si>
  <si>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</si>
  <si>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</si>
  <si>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</si>
  <si>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</si>
  <si>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</si>
  <si>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</si>
  <si>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</si>
  <si>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</si>
  <si>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</si>
  <si>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</si>
  <si>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</si>
  <si>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</si>
  <si>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</si>
  <si>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</si>
  <si>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</si>
  <si>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</si>
  <si>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</si>
  <si>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</si>
  <si>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</si>
  <si>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</si>
  <si>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</si>
  <si>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</si>
  <si>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</si>
  <si>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</si>
  <si>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</si>
  <si>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</si>
  <si>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</si>
  <si>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</si>
  <si>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</si>
  <si>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</si>
  <si>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</si>
  <si>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</si>
  <si>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</si>
  <si>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</si>
  <si>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</si>
  <si>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</si>
  <si>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</si>
  <si>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</si>
  <si>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</si>
  <si>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</si>
  <si>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</si>
  <si>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</si>
  <si>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</si>
  <si>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</si>
  <si>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</si>
  <si>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</si>
  <si>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</si>
  <si>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</si>
  <si>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</si>
  <si>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</si>
  <si>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</si>
  <si>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</si>
  <si>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</si>
  <si>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</si>
  <si>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</si>
  <si>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</si>
  <si>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</si>
  <si>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</si>
  <si>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</si>
  <si>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</si>
  <si>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</si>
  <si>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</si>
  <si>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</si>
  <si>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</si>
  <si>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</si>
  <si>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</si>
  <si>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</si>
  <si>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</si>
  <si>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</si>
  <si>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</si>
  <si>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</si>
  <si>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</si>
  <si>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</si>
  <si>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</si>
  <si>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</si>
  <si>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</si>
  <si>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</si>
  <si>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</si>
  <si>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</si>
  <si>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</si>
  <si>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</si>
  <si>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</si>
  <si>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</si>
  <si>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</si>
  <si>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</si>
  <si>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</si>
  <si>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</si>
  <si>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</si>
  <si>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</si>
  <si>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</si>
  <si>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</si>
  <si>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</si>
  <si>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</si>
  <si>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</si>
  <si>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</si>
  <si>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</si>
  <si>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</si>
  <si>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</si>
  <si>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</si>
  <si>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</si>
  <si>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</si>
  <si>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</si>
  <si>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</si>
  <si>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</si>
  <si>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</si>
  <si>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</si>
  <si>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</si>
  <si>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</si>
  <si>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</si>
  <si>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</si>
  <si>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</si>
  <si>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</si>
  <si>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</si>
  <si>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</si>
  <si>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</si>
  <si>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</si>
  <si>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</si>
  <si>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</si>
  <si>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</si>
  <si>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</si>
  <si>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</si>
  <si>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</si>
  <si>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</si>
  <si>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</si>
  <si>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</si>
  <si>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</si>
  <si>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</si>
  <si>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</si>
  <si>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</si>
  <si>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</si>
  <si>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</si>
  <si>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</si>
  <si>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</si>
  <si>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</si>
  <si>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</si>
  <si>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</si>
  <si>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</si>
  <si>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</si>
  <si>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</si>
  <si>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</si>
  <si>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</si>
  <si>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</si>
  <si>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</si>
  <si>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</si>
  <si>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</si>
  <si>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</si>
  <si>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</si>
  <si>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</si>
  <si>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</si>
  <si>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</si>
  <si>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</si>
  <si>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</si>
  <si>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</si>
  <si>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</si>
  <si>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</si>
  <si>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</si>
  <si>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</si>
  <si>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</si>
  <si>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</si>
  <si>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</si>
  <si>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</si>
  <si>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</si>
  <si>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</si>
  <si>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</si>
  <si>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</si>
  <si>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</si>
  <si>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</si>
  <si>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</si>
  <si>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</si>
  <si>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</si>
  <si>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</si>
  <si>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</si>
  <si>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</si>
  <si>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</si>
  <si>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</si>
  <si>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</si>
  <si>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</si>
  <si>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</si>
  <si>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</si>
  <si>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</si>
  <si>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</si>
  <si>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</si>
  <si>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</si>
  <si>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</si>
  <si>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</si>
  <si>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</si>
  <si>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</si>
  <si>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</si>
  <si>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</si>
  <si>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</si>
  <si>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</si>
  <si>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</si>
  <si>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</si>
  <si>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</si>
  <si>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</si>
  <si>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</si>
  <si>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</si>
  <si>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</si>
  <si>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</si>
  <si>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</si>
  <si>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</si>
  <si>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</si>
  <si>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</si>
  <si>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</si>
  <si>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</si>
  <si>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</si>
  <si>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</si>
  <si>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</si>
  <si>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</si>
  <si>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</si>
  <si>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</si>
  <si>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</si>
  <si>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</si>
  <si>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</si>
  <si>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</si>
  <si>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</si>
  <si>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</si>
  <si>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</si>
  <si>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</si>
  <si>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</si>
  <si>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</si>
  <si>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</si>
  <si>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</si>
  <si>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</si>
  <si>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</si>
  <si>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</si>
  <si>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</si>
  <si>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</si>
  <si>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</si>
  <si>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</si>
  <si>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</si>
  <si>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</si>
  <si>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</si>
  <si>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</si>
  <si>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</si>
  <si>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</si>
  <si>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</si>
  <si>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</si>
  <si>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</si>
  <si>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</si>
  <si>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</si>
  <si>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</si>
  <si>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</si>
  <si>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</si>
  <si>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</si>
  <si>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</si>
  <si>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</si>
  <si>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</si>
  <si>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</si>
  <si>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</si>
  <si>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</si>
  <si>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</si>
  <si>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</si>
  <si>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</si>
  <si>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</si>
  <si>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</si>
  <si>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</si>
  <si>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</si>
  <si>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</si>
  <si>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</si>
  <si>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</si>
  <si>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</si>
  <si>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</si>
  <si>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</si>
  <si>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</si>
  <si>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</si>
  <si>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</si>
  <si>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</si>
  <si>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</si>
  <si>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</si>
  <si>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</si>
  <si>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</si>
  <si>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</si>
  <si>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</si>
  <si>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</si>
  <si>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</si>
  <si>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</si>
  <si>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</si>
  <si>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</si>
  <si>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</si>
  <si>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</si>
  <si>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</si>
  <si>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</si>
  <si>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</si>
  <si>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</si>
  <si>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</si>
  <si>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</si>
  <si>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</si>
  <si>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</si>
  <si>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</si>
  <si>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</si>
  <si>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</si>
  <si>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</si>
  <si>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</si>
  <si>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</si>
  <si>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</si>
  <si>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</si>
  <si>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</si>
  <si>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</si>
  <si>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</si>
  <si>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</si>
  <si>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</si>
  <si>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</si>
  <si>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</si>
  <si>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</si>
  <si>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</si>
  <si>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</si>
  <si>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</si>
  <si>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</si>
  <si>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</si>
  <si>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</si>
  <si>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</si>
  <si>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</si>
  <si>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</si>
  <si>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</si>
  <si>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</si>
  <si>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</si>
  <si>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</si>
  <si>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</si>
  <si>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</si>
  <si>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</si>
  <si>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</si>
  <si>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</si>
  <si>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</si>
  <si>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</si>
  <si>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</si>
  <si>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</si>
  <si>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</si>
  <si>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</si>
  <si>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</si>
  <si>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</si>
  <si>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</si>
  <si>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</si>
  <si>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</si>
  <si>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</si>
  <si>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</si>
  <si>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</si>
  <si>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</si>
  <si>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</si>
  <si>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</si>
  <si>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</si>
  <si>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</si>
  <si>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</si>
  <si>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</si>
  <si>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</si>
  <si>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</si>
  <si>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</si>
  <si>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</si>
  <si>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</si>
  <si>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</si>
  <si>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</si>
  <si>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</si>
  <si>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</si>
  <si>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</si>
  <si>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</si>
  <si>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</si>
  <si>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</si>
  <si>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</si>
  <si>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</si>
  <si>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</si>
  <si>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</si>
  <si>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</si>
  <si>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</si>
  <si>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</si>
  <si>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</si>
  <si>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</si>
  <si>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</si>
  <si>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</si>
  <si>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</si>
  <si>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</si>
  <si>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</si>
  <si>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</si>
  <si>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</si>
  <si>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</si>
  <si>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</si>
  <si>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</si>
  <si>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</si>
  <si>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</si>
  <si>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</si>
  <si>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</si>
  <si>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</si>
  <si>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</si>
  <si>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</si>
  <si>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</si>
  <si>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</si>
  <si>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</si>
  <si>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</si>
  <si>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</si>
  <si>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</si>
  <si>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</si>
  <si>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</si>
  <si>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</si>
  <si>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</si>
  <si>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</si>
  <si>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</si>
  <si>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</si>
  <si>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</si>
  <si>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</si>
  <si>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</si>
  <si>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</si>
  <si>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</si>
  <si>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</si>
  <si>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</si>
  <si>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</si>
  <si>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</si>
  <si>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</si>
  <si>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</si>
  <si>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</si>
  <si>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</si>
  <si>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</si>
  <si>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</si>
  <si>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</si>
  <si>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</si>
  <si>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</si>
  <si>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</si>
  <si>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</si>
  <si>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</si>
  <si>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</si>
  <si>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</si>
  <si>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</si>
  <si>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</si>
  <si>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</si>
  <si>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</si>
  <si>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</si>
  <si>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</si>
  <si>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</si>
  <si>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</si>
  <si>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</si>
  <si>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</si>
  <si>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</si>
  <si>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</si>
  <si>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</si>
  <si>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</si>
  <si>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</si>
  <si>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</si>
  <si>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</si>
  <si>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</si>
  <si>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</si>
  <si>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</si>
  <si>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</si>
  <si>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</si>
  <si>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</si>
  <si>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</si>
  <si>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</si>
  <si>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</si>
  <si>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</si>
  <si>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</si>
  <si>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</si>
  <si>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</si>
  <si>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</si>
  <si>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</si>
  <si>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</si>
  <si>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</si>
  <si>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</si>
  <si>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</si>
  <si>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</si>
  <si>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</si>
  <si>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</si>
  <si>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</si>
  <si>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</si>
  <si>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</si>
  <si>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</si>
  <si>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</si>
  <si>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</si>
  <si>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</si>
  <si>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</si>
  <si>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</si>
  <si>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</si>
  <si>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</si>
  <si>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</si>
  <si>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</si>
  <si>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</si>
  <si>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</si>
  <si>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</si>
  <si>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</si>
  <si>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</si>
  <si>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</si>
  <si>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</si>
  <si>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</si>
  <si>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</si>
  <si>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</si>
  <si>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</si>
  <si>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</si>
  <si>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</si>
  <si>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</si>
  <si>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</si>
  <si>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</si>
  <si>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</si>
  <si>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</si>
  <si>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</si>
  <si>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</si>
  <si>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</si>
  <si>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</si>
  <si>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</si>
  <si>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</si>
  <si>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</si>
  <si>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</si>
  <si>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</si>
  <si>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</si>
  <si>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</si>
  <si>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</si>
  <si>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</si>
  <si>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</si>
  <si>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</si>
  <si>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</si>
  <si>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</si>
  <si>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</si>
  <si>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</si>
  <si>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</si>
  <si>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</si>
  <si>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</si>
  <si>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</si>
  <si>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</si>
  <si>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</si>
  <si>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</si>
  <si>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</si>
  <si>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</si>
  <si>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</si>
  <si>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</si>
  <si>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</si>
  <si>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</si>
  <si>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</si>
  <si>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</si>
  <si>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</si>
  <si>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</si>
  <si>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</si>
  <si>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</si>
  <si>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</si>
  <si>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</si>
  <si>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</si>
  <si>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</si>
  <si>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</si>
  <si>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</si>
  <si>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</si>
  <si>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</si>
  <si>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</si>
  <si>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</si>
  <si>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</si>
  <si>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</si>
  <si>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</si>
  <si>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</si>
  <si>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</si>
  <si>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</si>
  <si>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</si>
  <si>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</si>
  <si>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</si>
  <si>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</si>
  <si>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</si>
  <si>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</si>
  <si>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</si>
  <si>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</si>
  <si>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</si>
  <si>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</si>
  <si>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</si>
  <si>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</si>
  <si>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</si>
  <si>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</si>
  <si>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</si>
  <si>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</si>
  <si>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</si>
  <si>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</si>
  <si>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</si>
  <si>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</si>
  <si>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</si>
  <si>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</si>
  <si>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</si>
  <si>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</si>
  <si>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</si>
  <si>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</si>
  <si>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</si>
  <si>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</si>
  <si>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</si>
  <si>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</si>
  <si>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</si>
  <si>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</si>
  <si>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</si>
  <si>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</si>
  <si>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</si>
  <si>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</si>
  <si>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</si>
  <si>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</si>
  <si>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</si>
  <si>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</si>
  <si>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</si>
  <si>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</si>
  <si>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</si>
  <si>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</si>
  <si>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</si>
  <si>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</si>
  <si>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</si>
  <si>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</si>
  <si>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</si>
  <si>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</si>
  <si>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</si>
  <si>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</si>
  <si>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</si>
  <si>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</si>
  <si>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</si>
  <si>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</si>
  <si>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</si>
  <si>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</si>
  <si>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</si>
  <si>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</si>
  <si>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</si>
  <si>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</si>
  <si>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</si>
  <si>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</si>
  <si>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</si>
  <si>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</si>
  <si>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</si>
  <si>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</si>
  <si>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</si>
  <si>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</si>
  <si>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</si>
  <si>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</si>
  <si>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</si>
  <si>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</si>
  <si>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</si>
  <si>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</si>
  <si>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</si>
  <si>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</si>
  <si>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</si>
  <si>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</si>
  <si>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</si>
  <si>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</si>
  <si>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</si>
  <si>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</si>
  <si>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</si>
  <si>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</si>
  <si>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</si>
  <si>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</si>
  <si>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</si>
  <si>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</si>
  <si>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</si>
  <si>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</si>
  <si>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</si>
  <si>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</si>
  <si>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</si>
  <si>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</si>
  <si>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</si>
  <si>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</si>
  <si>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</si>
  <si>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</si>
  <si>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</si>
  <si>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</si>
  <si>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</si>
  <si>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</si>
  <si>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</si>
  <si>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</si>
  <si>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</si>
  <si>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</si>
  <si>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</si>
  <si>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</si>
  <si>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</si>
  <si>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</si>
  <si>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</si>
  <si>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</si>
  <si>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</si>
  <si>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</si>
  <si>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</si>
  <si>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</si>
  <si>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</si>
  <si>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</si>
  <si>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</si>
  <si>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</si>
  <si>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</si>
  <si>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</si>
  <si>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</si>
  <si>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</si>
  <si>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</si>
  <si>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</si>
  <si>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</si>
  <si>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</si>
  <si>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</si>
  <si>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</si>
  <si>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</si>
  <si>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</si>
  <si>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</si>
  <si>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</si>
  <si>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</si>
  <si>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</si>
  <si>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</si>
  <si>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</si>
  <si>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</si>
  <si>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</si>
  <si>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</si>
  <si>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</si>
  <si>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</si>
  <si>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</si>
  <si>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</si>
  <si>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</si>
  <si>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</si>
  <si>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</si>
  <si>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</si>
  <si>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</si>
  <si>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</si>
  <si>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</si>
  <si>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</si>
  <si>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</si>
  <si>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</si>
  <si>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</si>
  <si>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</si>
  <si>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</si>
  <si>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</si>
  <si>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</si>
  <si>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</si>
  <si>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</si>
  <si>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</si>
  <si>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</si>
  <si>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</si>
  <si>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</si>
  <si>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</si>
  <si>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</si>
  <si>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</si>
  <si>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</si>
  <si>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</si>
  <si>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</si>
  <si>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</si>
  <si>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</si>
  <si>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</si>
  <si>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</si>
  <si>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</si>
  <si>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</si>
  <si>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</si>
  <si>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</si>
  <si>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</si>
  <si>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</si>
  <si>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</si>
  <si>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</si>
  <si>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</si>
  <si>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</si>
  <si>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</si>
  <si>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</si>
  <si>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</si>
  <si>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</si>
  <si>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</si>
  <si>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</si>
  <si>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</si>
  <si>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</si>
  <si>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</si>
  <si>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</si>
  <si>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</si>
  <si>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</si>
  <si>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</si>
  <si>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</si>
  <si>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</si>
  <si>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</si>
  <si>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</si>
  <si>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</si>
  <si>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</si>
  <si>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</si>
  <si>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</si>
  <si>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</si>
  <si>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</si>
  <si>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</si>
  <si>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</si>
  <si>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</si>
  <si>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</si>
  <si>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</si>
  <si>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</si>
  <si>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</si>
  <si>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</si>
  <si>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</si>
  <si>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</si>
  <si>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</si>
  <si>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</si>
  <si>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</si>
  <si>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</si>
  <si>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</si>
  <si>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</si>
  <si>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</si>
  <si>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</si>
  <si>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</si>
  <si>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</si>
  <si>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</si>
  <si>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</si>
  <si>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</si>
  <si>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</si>
  <si>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</si>
  <si>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</si>
  <si>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</si>
  <si>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</si>
  <si>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</si>
  <si>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</si>
  <si>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</si>
  <si>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</si>
  <si>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</si>
  <si>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</si>
  <si>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</si>
  <si>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</si>
  <si>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</si>
  <si>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</si>
  <si>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</si>
  <si>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</si>
  <si>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</si>
  <si>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</si>
  <si>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</si>
  <si>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</si>
  <si>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</si>
  <si>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</si>
  <si>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</si>
  <si>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</si>
  <si>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</si>
  <si>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</si>
  <si>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</si>
  <si>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</si>
  <si>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</si>
  <si>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</si>
  <si>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</si>
  <si>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</si>
  <si>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</si>
  <si>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</si>
  <si>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</si>
  <si>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</si>
  <si>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</si>
  <si>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</si>
  <si>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</si>
  <si>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</si>
  <si>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</si>
  <si>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</si>
  <si>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</si>
  <si>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</si>
  <si>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</si>
  <si>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</si>
  <si>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</si>
  <si>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</si>
  <si>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</si>
  <si>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</si>
  <si>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</si>
  <si>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</si>
  <si>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</si>
  <si>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</si>
  <si>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</si>
  <si>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</si>
  <si>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</si>
  <si>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</si>
  <si>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</si>
  <si>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</si>
  <si>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</si>
  <si>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</si>
  <si>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</si>
  <si>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</si>
  <si>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</si>
  <si>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</si>
  <si>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</si>
  <si>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</si>
  <si>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</si>
  <si>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</si>
  <si>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</si>
  <si>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</si>
  <si>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</si>
  <si>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</si>
  <si>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</si>
  <si>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</si>
  <si>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</si>
  <si>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</si>
  <si>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</si>
  <si>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</si>
  <si>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</si>
  <si>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</si>
  <si>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</si>
  <si>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</si>
  <si>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</si>
  <si>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</si>
  <si>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</si>
  <si>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</si>
  <si>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</si>
  <si>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</si>
  <si>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</si>
  <si>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</si>
  <si>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</si>
  <si>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</si>
  <si>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</si>
  <si>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</si>
  <si>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</si>
  <si>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</si>
  <si>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</si>
  <si>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</si>
  <si>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</si>
  <si>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</si>
  <si>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</si>
  <si>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</si>
  <si>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</si>
  <si>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</si>
  <si>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</si>
  <si>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</si>
  <si>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</si>
  <si>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</si>
  <si>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</si>
  <si>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</si>
  <si>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</si>
  <si>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</si>
  <si>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</si>
  <si>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</si>
  <si>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</si>
  <si>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</si>
  <si>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</si>
  <si>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</si>
  <si>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</si>
  <si>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</si>
  <si>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</si>
  <si>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</si>
  <si>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</si>
  <si>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</si>
  <si>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</si>
  <si>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</si>
  <si>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</si>
  <si>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</si>
  <si>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</si>
  <si>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</si>
  <si>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</si>
  <si>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</si>
  <si>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</si>
  <si>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</si>
  <si>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</si>
  <si>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</si>
  <si>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</si>
  <si>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</si>
  <si>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</si>
  <si>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</si>
  <si>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</si>
  <si>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</si>
  <si>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</si>
  <si>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</si>
  <si>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</si>
  <si>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</si>
  <si>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</si>
  <si>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</si>
  <si>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</si>
  <si>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</si>
  <si>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</si>
  <si>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</si>
  <si>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</si>
  <si>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</si>
  <si>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</si>
  <si>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</si>
  <si>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</si>
  <si>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</si>
  <si>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</si>
  <si>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</si>
  <si>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</si>
  <si>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</si>
  <si>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</si>
  <si>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</si>
  <si>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</si>
  <si>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</si>
  <si>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</si>
  <si>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</si>
  <si>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</si>
  <si>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</si>
  <si>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</si>
  <si>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</si>
  <si>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</si>
  <si>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</si>
  <si>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</si>
  <si>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</si>
  <si>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</si>
  <si>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</si>
  <si>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</si>
  <si>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</si>
  <si>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</si>
  <si>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</si>
  <si>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</si>
  <si>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</si>
  <si>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</si>
  <si>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</si>
  <si>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</si>
  <si>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</si>
  <si>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</si>
  <si>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</si>
  <si>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</si>
  <si>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</si>
  <si>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</si>
  <si>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</si>
  <si>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</si>
  <si>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</si>
  <si>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</si>
  <si>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</si>
  <si>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</si>
  <si>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</si>
  <si>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</si>
  <si>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</si>
  <si>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</si>
  <si>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</si>
  <si>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</si>
  <si>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</si>
  <si>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</si>
  <si>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</si>
  <si>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</si>
  <si>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</si>
  <si>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</si>
  <si>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</si>
  <si>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</si>
  <si>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</si>
  <si>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</si>
  <si>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</si>
  <si>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</si>
  <si>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</si>
  <si>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</si>
  <si>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</si>
  <si>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</si>
  <si>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</si>
  <si>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</si>
  <si>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</si>
  <si>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</si>
  <si>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</si>
  <si>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</si>
  <si>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</si>
  <si>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</si>
  <si>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</si>
  <si>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</si>
  <si>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</si>
  <si>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</si>
  <si>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</si>
  <si>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</si>
  <si>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</si>
  <si>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</si>
  <si>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</si>
  <si>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</si>
  <si>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</si>
  <si>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</si>
  <si>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</si>
  <si>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</si>
  <si>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</si>
  <si>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</si>
  <si>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</si>
  <si>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</si>
  <si>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</si>
  <si>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</si>
  <si>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</si>
  <si>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</si>
  <si>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</si>
  <si>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</si>
  <si>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</si>
  <si>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</si>
  <si>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</si>
  <si>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</si>
  <si>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</si>
  <si>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</si>
  <si>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</si>
  <si>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</si>
  <si>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</si>
  <si>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</si>
  <si>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</si>
  <si>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</si>
  <si>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</si>
  <si>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</si>
  <si>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</si>
  <si>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</si>
  <si>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</si>
  <si>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</si>
  <si>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</si>
  <si>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</si>
  <si>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</si>
  <si>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</si>
  <si>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</si>
  <si>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</si>
  <si>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</si>
  <si>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</si>
  <si>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</si>
  <si>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</si>
  <si>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</si>
  <si>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</si>
  <si>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</si>
  <si>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</si>
  <si>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</si>
  <si>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</si>
  <si>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</si>
  <si>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</si>
  <si>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</si>
  <si>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</si>
  <si>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</si>
  <si>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</si>
  <si>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</si>
  <si>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</si>
  <si>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</si>
  <si>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</si>
  <si>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</si>
  <si>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</si>
  <si>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</si>
  <si>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</si>
  <si>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</si>
  <si>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</si>
  <si>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</si>
  <si>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</si>
  <si>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</si>
  <si>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</si>
  <si>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</si>
  <si>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</si>
  <si>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</si>
  <si>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</si>
  <si>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</si>
  <si>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</si>
  <si>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</si>
  <si>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</si>
  <si>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</si>
  <si>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</si>
  <si>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</si>
  <si>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</si>
  <si>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</si>
  <si>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</si>
  <si>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</si>
  <si>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</si>
  <si>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</si>
  <si>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</si>
  <si>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</si>
  <si>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</si>
  <si>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</si>
  <si>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</si>
  <si>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</si>
  <si>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</si>
  <si>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</si>
  <si>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</si>
  <si>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</si>
  <si>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</si>
  <si>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</si>
  <si>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</si>
  <si>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</si>
  <si>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</si>
  <si>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</si>
  <si>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</si>
  <si>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</si>
  <si>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</si>
  <si>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</si>
  <si>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</si>
  <si>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</si>
  <si>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</si>
  <si>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</si>
  <si>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</si>
  <si>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</si>
  <si>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</si>
  <si>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</si>
  <si>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</si>
  <si>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</si>
  <si>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</si>
  <si>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</si>
  <si>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</si>
  <si>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</si>
  <si>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</si>
  <si>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</si>
  <si>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</si>
  <si>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</si>
  <si>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</si>
  <si>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</si>
  <si>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</si>
  <si>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</si>
  <si>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</si>
  <si>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</si>
  <si>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</si>
  <si>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</si>
  <si>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</si>
  <si>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</si>
  <si>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</si>
  <si>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</si>
  <si>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</si>
  <si>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</si>
  <si>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</si>
  <si>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</si>
  <si>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</si>
  <si>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</si>
  <si>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</si>
  <si>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</si>
  <si>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</si>
  <si>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</si>
  <si>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</si>
  <si>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</si>
  <si>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</si>
  <si>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</si>
  <si>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</si>
  <si>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</si>
  <si>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</si>
  <si>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</si>
  <si>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</si>
  <si>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</si>
  <si>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</si>
  <si>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</si>
  <si>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</si>
  <si>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</si>
  <si>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</si>
  <si>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</si>
  <si>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</si>
  <si>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</si>
  <si>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</si>
  <si>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</si>
  <si>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</si>
  <si>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</si>
  <si>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</si>
  <si>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</si>
  <si>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</si>
  <si>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</si>
  <si>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</si>
  <si>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</si>
  <si>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</si>
  <si>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</si>
  <si>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</si>
  <si>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</si>
  <si>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</si>
  <si>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</si>
  <si>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</si>
  <si>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</si>
  <si>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</si>
  <si>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</si>
  <si>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</si>
  <si>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</si>
  <si>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</si>
  <si>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</si>
  <si>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</si>
  <si>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</si>
  <si>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</si>
  <si>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</si>
  <si>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</si>
  <si>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</si>
  <si>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</si>
  <si>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</si>
  <si>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</si>
  <si>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</si>
  <si>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</si>
  <si>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</si>
  <si>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</si>
  <si>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</si>
  <si>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</si>
  <si>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</si>
  <si>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</si>
  <si>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</si>
  <si>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</si>
  <si>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</si>
  <si>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</si>
  <si>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</si>
  <si>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</si>
  <si>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</si>
  <si>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</si>
  <si>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</si>
  <si>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</si>
  <si>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</si>
  <si>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</si>
  <si>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</si>
  <si>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</si>
  <si>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</si>
  <si>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</si>
  <si>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</si>
  <si>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</si>
  <si>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</si>
  <si>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</si>
  <si>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</si>
  <si>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</si>
  <si>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</si>
  <si>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</si>
  <si>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</si>
  <si>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</si>
  <si>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Stable component IDs remain in the Components sheet. Display names are intentional drafts; numerical values remain unassigned.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</si>
  <si>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</si>
  <si>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</si>
  <si>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</si>
  <si>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</si>
  <si>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</si>
  <si>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</si>
  <si>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</si>
  <si>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</si>
  <si>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</si>
  <si>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</si>
  <si>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</si>
  <si>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</si>
  <si>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</si>
  <si>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</si>
  <si>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</si>
  <si>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</si>
  <si>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</si>
  <si>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</si>
  <si>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</si>
  <si>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</si>
  <si>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</si>
  <si>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</si>
  <si>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</si>
  <si>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</si>
  <si>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</si>
  <si>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</si>
  <si>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</si>
  <si>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</si>
  <si>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</si>
  <si>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</si>
  <si>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</si>
  <si>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</si>
  <si>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</si>
  <si>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</si>
  <si>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</si>
  <si>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</si>
  <si>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</si>
  <si>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</si>
  <si>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</si>
  <si>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</si>
  <si>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</si>
  <si>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</si>
  <si>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</si>
  <si>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</si>
  <si>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</si>
  <si>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</si>
  <si>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</si>
  <si>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</si>
  <si>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</si>
  <si>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</si>
  <si>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</si>
  <si>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</si>
  <si>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</si>
  <si>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</si>
  <si>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</si>
  <si>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</si>
  <si>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</si>
  <si>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</si>
  <si>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</si>
  <si>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</si>
  <si>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</si>
  <si>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</si>
  <si>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</si>
  <si>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</si>
  <si>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</si>
  <si>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</si>
  <si>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</si>
  <si>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</si>
  <si>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</si>
  <si>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</si>
  <si>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</si>
  <si>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</si>
  <si>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</si>
  <si>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</si>
  <si>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</si>
  <si>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</si>
  <si>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</si>
  <si>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</si>
  <si>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</si>
  <si>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</si>
  <si>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</si>
  <si>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</si>
  <si>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</si>
  <si>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</si>
  <si>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</si>
  <si>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</si>
  <si>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</si>
  <si>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</si>
  <si>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</si>
  <si>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</si>
  <si>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</si>
  <si>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</si>
  <si>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</si>
  <si>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</si>
  <si>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</si>
  <si>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</si>
  <si>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</si>
  <si>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</si>
  <si>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</si>
  <si>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</si>
  <si>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</si>
  <si>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</si>
  <si>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</si>
  <si>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</si>
  <si>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</si>
  <si>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</si>
  <si>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</si>
  <si>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</si>
  <si>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</si>
  <si>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</si>
  <si>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</si>
  <si>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</si>
  <si>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</si>
  <si>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</si>
  <si>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</si>
  <si>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</si>
  <si>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</si>
  <si>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</si>
  <si>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</si>
  <si>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</si>
  <si>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</si>
  <si>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</si>
  <si>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</si>
  <si>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</si>
  <si>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</si>
  <si>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</si>
  <si>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</si>
  <si>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</si>
  <si>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</si>
  <si>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</si>
  <si>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</si>
  <si>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</si>
  <si>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</si>
  <si>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</si>
  <si>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</si>
  <si>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</si>
  <si>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</si>
  <si>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</si>
  <si>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</si>
  <si>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</si>
  <si>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</si>
  <si>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</si>
  <si>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</si>
  <si>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</si>
  <si>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</si>
  <si>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</si>
  <si>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</si>
  <si>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</si>
  <si>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</si>
  <si>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</si>
  <si>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Hull Points, limited installation capacity, one shuttle,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</si>
  <si>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</si>
  <si>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</si>
  <si>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</si>
  <si>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</si>
  <si>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</si>
  <si>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</si>
  <si>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</si>
  <si>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</si>
  <si>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</si>
  <si>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</si>
  <si>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</si>
  <si>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</si>
  <si>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</si>
  <si>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without changing the cruiser-scale identity.</t>
  </si>
  <si>
    <t xml:space="preserve">reinforced_structure</t>
  </si>
  <si>
    <t xml:space="preserve">3</t>
  </si>
  <si>
    <t xml:space="preserve">hull_standard_tl_03</t>
  </si>
  <si>
    <t xml:space="preserve">Modular Truss</t>
  </si>
  <si>
    <t xml:space="preserve">Major-refit friendliness; candidate second Weapon Bay and first Auxiliary Capacity expansion milestone.</t>
  </si>
  <si>
    <t xml:space="preserve">modular_mounts</t>
  </si>
  <si>
    <t xml:space="preserve">Confirm exact bay milestone.</t>
  </si>
  <si>
    <t xml:space="preserve">Per-item support floors and hard capability tags remain to be assigned during the numerical-mechanics pass. Existing review: Confirm exact bay milestone.</t>
  </si>
  <si>
    <t xml:space="preserve">4</t>
  </si>
  <si>
    <t xml:space="preserve">hull_standard_tl_04</t>
  </si>
  <si>
    <t xml:space="preserve">Cellular Hull</t>
  </si>
  <si>
    <t xml:space="preserve">compartmentation</t>
  </si>
  <si>
    <t xml:space="preserve">Better internal isolation, stores organization, and resistance to cascading internal exposure.</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</si>
  <si>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</si>
  <si>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</si>
  <si>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</si>
  <si>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</si>
  <si>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</si>
  <si>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that reduce installation overhead.</t>
  </si>
  <si>
    <t xml:space="preserve">integrated_conduits</t>
  </si>
  <si>
    <t xml:space="preserve">medium</t>
  </si>
  <si>
    <t xml:space="preserve">6</t>
  </si>
  <si>
    <t xml:space="preserve">hull_standard_tl_06</t>
  </si>
  <si>
    <t xml:space="preserve">load distribution</t>
  </si>
  <si>
    <t xml:space="preserve">Expanded support capacity; candidate third Weapon Bay or larger stores milestone.</t>
  </si>
  <si>
    <t xml:space="preserve">distributed_load_paths</t>
  </si>
  <si>
    <t xml:space="preserve">Confirm exact capacity milestone.</t>
  </si>
  <si>
    <t xml:space="preserve">Per-item support floors and hard capability tags remain to be assigned during the numerical-mechanics pass. Existing review: Confirm exact capacity milestone.</t>
  </si>
  <si>
    <t xml:space="preserve">7</t>
  </si>
  <si>
    <t xml:space="preserve">hull_standard_tl_07</t>
  </si>
  <si>
    <t xml:space="preserve">metamaterial structure</t>
  </si>
  <si>
    <t xml:space="preserve">Reduced subsystem-failure penalties and improved damage-control access through engineered stress routing.</t>
  </si>
  <si>
    <t xml:space="preserve">metamaterial_structure</t>
  </si>
  <si>
    <t xml:space="preserve">8</t>
  </si>
  <si>
    <t xml:space="preserve">hull_standard_tl_08</t>
  </si>
  <si>
    <t xml:space="preserve">Adaptive Lattice</t>
  </si>
  <si>
    <t xml:space="preserve">adaptive structure</t>
  </si>
  <si>
    <t xml:space="preserve">High-end integration and structural tolerance for adapted high-TL or alien components.</t>
  </si>
  <si>
    <t xml:space="preserve">adaptive_structure</t>
  </si>
  <si>
    <t xml:space="preserve">Define whether adaptation is passive or requires support electronics.</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</si>
  <si>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</si>
  <si>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</si>
  <si>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</si>
  <si>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</si>
  <si>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refit with a campaign-defining structural benefit such as exceptional field reconstruction or final installation capacity.</t>
  </si>
  <si>
    <t xml:space="preserve">programmable_matter</t>
  </si>
  <si>
    <t xml:space="preserve">Must receive a visible TL9 mechanic; name implies limited reconfiguration or reconstruction.</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</si>
  <si>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</si>
  <si>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</si>
  <si>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</si>
  <si>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</si>
  <si>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</si>
  <si>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</si>
  <si>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</si>
  <si>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</si>
  <si>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</si>
  <si>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</si>
  <si>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</si>
  <si>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</si>
  <si>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</si>
  <si>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</si>
  <si>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</si>
  <si>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</si>
  <si>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</si>
  <si>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</si>
  <si>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</si>
  <si>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</si>
  <si>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</si>
  <si>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</si>
  <si>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</si>
  <si>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</si>
  <si>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</si>
  <si>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</si>
  <si>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</si>
  <si>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</si>
  <si>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</si>
  <si>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</si>
  <si>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</si>
  <si>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</si>
  <si>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</si>
  <si>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</si>
  <si>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</si>
  <si>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</si>
  <si>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</si>
  <si>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</si>
  <si>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</si>
  <si>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</si>
  <si>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</si>
  <si>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</si>
  <si>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</si>
  <si>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</si>
  <si>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</si>
  <si>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</si>
  <si>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</si>
  <si>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</si>
  <si>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</si>
  <si>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</si>
  <si>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</si>
  <si>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</si>
  <si>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</si>
  <si>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</si>
  <si>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</si>
  <si>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</si>
  <si>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</si>
  <si>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</si>
  <si>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</si>
  <si>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</si>
  <si>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</si>
  <si>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</si>
  <si>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</si>
  <si>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</si>
  <si>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</si>
  <si>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</si>
  <si>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</si>
  <si>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</si>
  <si>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</si>
  <si>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</si>
  <si>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</si>
  <si>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</si>
  <si>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</si>
  <si>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</si>
  <si>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</si>
  <si>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</si>
  <si>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</si>
  <si>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</si>
  <si>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</si>
  <si>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</si>
  <si>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</si>
  <si>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</si>
  <si>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</si>
  <si>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</si>
  <si>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</si>
  <si>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</si>
  <si>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</si>
  <si>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</si>
  <si>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</si>
  <si>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</si>
  <si>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</si>
  <si>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</si>
  <si>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</si>
  <si>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</si>
  <si>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</si>
  <si>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</si>
  <si>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</si>
  <si>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</si>
  <si>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</si>
  <si>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</si>
  <si>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</si>
  <si>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</si>
  <si>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</si>
  <si>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</si>
  <si>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</si>
  <si>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</si>
  <si>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</si>
  <si>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</si>
  <si>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</si>
  <si>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</si>
  <si>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</si>
  <si>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</si>
  <si>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</si>
  <si>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</si>
  <si>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</si>
  <si>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</si>
  <si>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</si>
  <si>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</si>
  <si>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</si>
  <si>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</si>
  <si>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</si>
  <si>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</si>
  <si>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</si>
  <si>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</si>
  <si>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</si>
  <si>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</si>
  <si>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</si>
  <si>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</si>
  <si>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</si>
  <si>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</si>
  <si>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</si>
  <si>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</si>
  <si>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</si>
  <si>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</si>
  <si>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</si>
  <si>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</si>
  <si>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</si>
  <si>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</si>
  <si>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</si>
  <si>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</si>
  <si>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</si>
  <si>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</si>
  <si>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</si>
  <si>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</si>
  <si>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</si>
  <si>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</si>
  <si>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</si>
  <si>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</si>
  <si>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</si>
  <si>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</si>
  <si>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</si>
  <si>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</si>
  <si>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</si>
  <si>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</si>
  <si>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</si>
  <si>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</si>
  <si>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</si>
  <si>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</si>
  <si>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</si>
  <si>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</si>
  <si>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</si>
  <si>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</si>
  <si>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</si>
  <si>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</si>
  <si>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</si>
  <si>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</si>
  <si>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</si>
  <si>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</si>
  <si>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</si>
  <si>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</si>
  <si>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</si>
  <si>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</si>
  <si>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</si>
  <si>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</si>
  <si>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</si>
  <si>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</si>
  <si>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</si>
  <si>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</si>
  <si>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</si>
  <si>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</si>
  <si>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</si>
  <si>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</si>
  <si>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</si>
  <si>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</si>
  <si>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</si>
  <si>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</si>
  <si>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</si>
  <si>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</si>
  <si>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</si>
  <si>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</si>
  <si>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</si>
  <si>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</si>
  <si>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</si>
  <si>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</si>
  <si>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</si>
  <si>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</si>
  <si>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</si>
  <si>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</si>
  <si>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</si>
  <si>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</si>
  <si>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</si>
  <si>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</si>
  <si>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</si>
  <si>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</si>
  <si>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</si>
  <si>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</si>
  <si>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</si>
  <si>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</si>
  <si>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</si>
  <si>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</si>
  <si>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</si>
  <si>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</si>
  <si>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</si>
  <si>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</si>
  <si>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</si>
  <si>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</si>
  <si>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</si>
  <si>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</si>
  <si>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</si>
  <si>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</si>
  <si>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</si>
  <si>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</si>
  <si>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</si>
  <si>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</si>
  <si>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</si>
  <si>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</si>
  <si>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</si>
  <si>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</si>
  <si>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</si>
  <si>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</si>
  <si>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</si>
  <si>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</si>
  <si>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</si>
  <si>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</si>
  <si>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</si>
  <si>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</si>
  <si>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</si>
  <si>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</si>
  <si>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</si>
  <si>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</si>
  <si>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</si>
  <si>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</si>
  <si>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</si>
  <si>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</si>
  <si>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</si>
  <si>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</si>
  <si>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</si>
  <si>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</si>
  <si>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</si>
  <si>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</si>
  <si>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</si>
  <si>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</si>
  <si>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</si>
  <si>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</si>
  <si>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</si>
  <si>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</si>
  <si>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</si>
  <si>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</si>
  <si>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</si>
  <si>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</si>
  <si>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</si>
  <si>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</si>
  <si>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</si>
  <si>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</si>
  <si>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</si>
  <si>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</si>
  <si>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</si>
  <si>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</si>
  <si>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</si>
  <si>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</si>
  <si>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</si>
  <si>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</si>
  <si>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</si>
  <si>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</si>
  <si>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</si>
  <si>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</si>
  <si>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</si>
  <si>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</si>
  <si>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</si>
  <si>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</si>
  <si>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</si>
  <si>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</si>
  <si>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</si>
  <si>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</si>
  <si>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</si>
  <si>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</si>
  <si>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</si>
  <si>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</si>
  <si>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</si>
  <si>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</si>
  <si>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</si>
  <si>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</si>
  <si>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</si>
  <si>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</si>
  <si>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</si>
  <si>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</si>
  <si>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</si>
  <si>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</si>
  <si>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</si>
  <si>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</si>
  <si>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</si>
  <si>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</si>
  <si>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</si>
  <si>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</si>
  <si>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</si>
  <si>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</si>
  <si>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</si>
  <si>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</si>
  <si>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</si>
  <si>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</si>
  <si>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</si>
  <si>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</si>
  <si>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</si>
  <si>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</si>
  <si>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</si>
  <si>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</si>
  <si>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</si>
  <si>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</si>
  <si>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</si>
  <si>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</si>
  <si>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</si>
  <si>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</si>
  <si>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</si>
  <si>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</si>
  <si>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</si>
  <si>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</si>
  <si>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</si>
  <si>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</si>
  <si>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</si>
  <si>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</si>
  <si>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</si>
  <si>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</si>
  <si>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</si>
  <si>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</si>
  <si>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</si>
  <si>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</si>
  <si>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</si>
  <si>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</si>
  <si>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</si>
  <si>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</si>
  <si>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</si>
  <si>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</si>
  <si>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</si>
  <si>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</si>
  <si>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</si>
  <si>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</si>
  <si>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</si>
  <si>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</si>
  <si>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</si>
  <si>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</si>
  <si>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</si>
  <si>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</si>
  <si>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</si>
  <si>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</si>
  <si>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</si>
  <si>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</si>
  <si>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</si>
  <si>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</si>
  <si>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</si>
  <si>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</si>
  <si>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</si>
  <si>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</si>
  <si>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</si>
  <si>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</si>
  <si>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</si>
  <si>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</si>
  <si>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</si>
  <si>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</si>
  <si>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</si>
  <si>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</si>
  <si>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</si>
  <si>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</si>
  <si>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</si>
  <si>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</si>
  <si>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</si>
  <si>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</si>
  <si>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</si>
  <si>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</si>
  <si>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</si>
  <si>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</si>
  <si>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</si>
  <si>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</si>
  <si>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</si>
  <si>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</si>
  <si>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</si>
  <si>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</si>
  <si>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</si>
  <si>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</si>
  <si>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</si>
  <si>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</si>
  <si>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</si>
  <si>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</si>
  <si>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</si>
  <si>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</si>
  <si>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</si>
  <si>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</si>
  <si>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</si>
  <si>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</si>
  <si>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</si>
  <si>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</si>
  <si>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</si>
  <si>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</si>
  <si>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</si>
  <si>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</si>
  <si>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</si>
  <si>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</si>
  <si>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</si>
  <si>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</si>
  <si>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</si>
  <si>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</si>
  <si>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</si>
  <si>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</si>
  <si>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</si>
  <si>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</si>
  <si>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</si>
  <si>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</si>
  <si>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</si>
  <si>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</si>
  <si>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</si>
  <si>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</si>
  <si>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</si>
  <si>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</si>
  <si>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</si>
  <si>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</si>
  <si>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</si>
  <si>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</si>
  <si>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</si>
  <si>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</si>
  <si>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</si>
  <si>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</si>
  <si>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</si>
  <si>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</si>
  <si>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</si>
  <si>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</si>
  <si>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</si>
  <si>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</si>
  <si>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</si>
  <si>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</si>
  <si>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</si>
  <si>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</si>
  <si>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</si>
  <si>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</si>
  <si>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</si>
  <si>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</si>
  <si>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</si>
  <si>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</si>
  <si>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</si>
  <si>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</si>
  <si>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</si>
  <si>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</si>
  <si>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</si>
  <si>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</si>
  <si>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</si>
  <si>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</si>
  <si>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</si>
  <si>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</si>
  <si>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</si>
  <si>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</si>
  <si>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</si>
  <si>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</si>
  <si>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</si>
  <si>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</si>
  <si>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</si>
  <si>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</si>
  <si>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</si>
  <si>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</si>
  <si>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</si>
  <si>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</si>
  <si>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</si>
  <si>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</si>
  <si>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</si>
  <si>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</si>
  <si>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</si>
  <si>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</si>
  <si>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</si>
  <si>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</si>
  <si>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</si>
  <si>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</si>
  <si>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</si>
  <si>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</si>
  <si>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</si>
  <si>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</si>
  <si>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</si>
  <si>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</si>
  <si>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</si>
  <si>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</si>
  <si>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</si>
  <si>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</si>
  <si>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</si>
  <si>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</si>
  <si>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</si>
  <si>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</si>
  <si>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</si>
  <si>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</si>
  <si>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</si>
  <si>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</si>
  <si>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</si>
  <si>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</si>
  <si>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</si>
  <si>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</si>
  <si>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</si>
  <si>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</si>
  <si>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</si>
  <si>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</si>
  <si>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</si>
  <si>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</si>
  <si>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</si>
  <si>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</si>
  <si>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</si>
  <si>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</si>
  <si>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</si>
  <si>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</si>
  <si>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</si>
  <si>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</si>
  <si>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</si>
  <si>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</si>
  <si>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</si>
  <si>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</si>
  <si>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</si>
  <si>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</si>
  <si>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</si>
  <si>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</si>
  <si>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</si>
  <si>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</si>
  <si>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</si>
  <si>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</si>
  <si>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</si>
  <si>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</si>
  <si>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</si>
  <si>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</si>
  <si>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</si>
  <si>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</si>
  <si>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</si>
  <si>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</si>
  <si>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</si>
  <si>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</si>
  <si>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</si>
  <si>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</si>
  <si>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</si>
  <si>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</si>
  <si>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</si>
  <si>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</si>
  <si>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</si>
  <si>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</si>
  <si>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</si>
  <si>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</si>
  <si>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</si>
  <si>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</si>
  <si>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</si>
  <si>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</si>
  <si>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</si>
  <si>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</si>
  <si>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</si>
  <si>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</si>
  <si>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</si>
  <si>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</si>
  <si>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</si>
  <si>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</si>
  <si>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</si>
  <si>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</si>
  <si>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</si>
  <si>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</si>
  <si>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</si>
  <si>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</si>
  <si>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</si>
  <si>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</si>
  <si>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</si>
  <si>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</si>
  <si>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</si>
  <si>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</si>
  <si>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</si>
  <si>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</si>
  <si>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</si>
  <si>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</si>
  <si>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</si>
  <si>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</si>
  <si>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</si>
  <si>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</si>
  <si>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</si>
  <si>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</si>
  <si>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</si>
  <si>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</si>
  <si>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</si>
  <si>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</si>
  <si>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</si>
  <si>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</si>
  <si>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</si>
  <si>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</si>
  <si>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</si>
  <si>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</si>
  <si>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</si>
  <si>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</si>
  <si>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</si>
  <si>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</si>
  <si>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</si>
  <si>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</si>
  <si>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</si>
  <si>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</si>
  <si>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</si>
  <si>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</si>
  <si>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</si>
  <si>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</si>
  <si>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</si>
  <si>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</si>
  <si>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</si>
  <si>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</si>
  <si>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</si>
  <si>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</si>
  <si>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</si>
  <si>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</si>
  <si>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</si>
  <si>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</si>
  <si>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</si>
  <si>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</si>
  <si>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</si>
  <si>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</si>
  <si>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</si>
  <si>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</si>
  <si>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</si>
  <si>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</si>
  <si>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</si>
  <si>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</si>
  <si>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</si>
  <si>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</si>
  <si>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</si>
  <si>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</si>
  <si>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</si>
  <si>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</si>
  <si>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</si>
  <si>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</si>
  <si>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</si>
  <si>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</si>
  <si>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</si>
  <si>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</si>
  <si>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</si>
  <si>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</si>
  <si>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</si>
  <si>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</si>
  <si>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</si>
  <si>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</si>
  <si>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</si>
  <si>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</si>
  <si>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</si>
  <si>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</si>
  <si>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</si>
  <si>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</si>
  <si>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</si>
  <si>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</si>
  <si>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</si>
  <si>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</si>
  <si>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</si>
  <si>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</si>
  <si>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</si>
  <si>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</si>
  <si>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</si>
  <si>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</si>
  <si>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</si>
  <si>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</si>
  <si>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</si>
  <si>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</si>
  <si>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</si>
  <si>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</si>
  <si>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</si>
  <si>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</si>
  <si>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</si>
  <si>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</si>
  <si>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</si>
  <si>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</si>
  <si>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</si>
  <si>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</si>
  <si>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</si>
  <si>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</si>
  <si>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</si>
  <si>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</si>
  <si>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</si>
  <si>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</si>
  <si>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</si>
  <si>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</si>
  <si>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</si>
  <si>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</si>
  <si>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</si>
  <si>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</si>
  <si>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</si>
  <si>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</si>
  <si>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</si>
  <si>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</si>
  <si>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</si>
  <si>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</si>
  <si>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</si>
  <si>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</si>
  <si>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</si>
  <si>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</si>
  <si>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</si>
  <si>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</si>
  <si>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</si>
  <si>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</si>
  <si>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</si>
  <si>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</si>
  <si>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</si>
  <si>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</si>
  <si>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</si>
  <si>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</si>
  <si>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</si>
  <si>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</si>
  <si>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</si>
  <si>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</si>
  <si>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</si>
  <si>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</si>
  <si>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</si>
  <si>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</si>
  <si>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</si>
  <si>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</si>
  <si>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</si>
  <si>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</si>
  <si>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</si>
  <si>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</si>
  <si>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</si>
  <si>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</si>
  <si>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</si>
  <si>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</si>
  <si>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</si>
  <si>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</si>
  <si>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</si>
  <si>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</si>
  <si>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</si>
  <si>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</si>
  <si>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</si>
  <si>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</si>
  <si>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</si>
  <si>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</si>
  <si>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</si>
  <si>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</si>
  <si>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</si>
  <si>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</si>
  <si>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</si>
  <si>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</si>
  <si>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</si>
  <si>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</si>
  <si>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</si>
  <si>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</si>
  <si>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</si>
  <si>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</si>
  <si>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</si>
  <si>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</si>
  <si>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</si>
  <si>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</si>
  <si>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</si>
  <si>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</si>
  <si>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</si>
  <si>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</si>
  <si>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</si>
  <si>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</si>
  <si>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</si>
  <si>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</si>
  <si>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</si>
  <si>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</si>
  <si>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</si>
  <si>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</si>
  <si>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</si>
  <si>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</si>
  <si>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</si>
  <si>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</si>
  <si>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</si>
  <si>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</si>
  <si>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</si>
  <si>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</si>
  <si>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</si>
  <si>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</si>
  <si>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</si>
  <si>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</si>
  <si>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</si>
  <si>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</si>
  <si>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</si>
  <si>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</si>
  <si>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</si>
  <si>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</si>
  <si>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</si>
  <si>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</si>
  <si>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</si>
  <si>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</si>
  <si>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</si>
  <si>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</si>
  <si>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</si>
  <si>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</si>
  <si>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</si>
  <si>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</si>
  <si>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</si>
  <si>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</si>
  <si>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</si>
  <si>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</si>
  <si>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</si>
  <si>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</si>
  <si>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</si>
  <si>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</si>
  <si>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</si>
  <si>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</si>
  <si>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</si>
  <si>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</si>
  <si>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</si>
  <si>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</si>
  <si>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</si>
  <si>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</si>
  <si>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</si>
  <si>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</si>
  <si>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</si>
  <si>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</si>
  <si>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</si>
  <si>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</si>
  <si>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</si>
  <si>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</si>
  <si>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</si>
  <si>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</si>
  <si>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</si>
  <si>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</si>
  <si>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</si>
  <si>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</si>
  <si>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</si>
  <si>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</si>
  <si>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</si>
  <si>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</si>
  <si>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</si>
  <si>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</si>
  <si>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</si>
  <si>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</si>
  <si>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</si>
  <si>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</si>
  <si>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</si>
  <si>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</si>
  <si>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</si>
  <si>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</si>
  <si>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</si>
  <si>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</si>
  <si>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</si>
  <si>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</si>
  <si>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</si>
  <si>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</si>
  <si>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</si>
  <si>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</si>
  <si>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</si>
  <si>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</si>
  <si>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</si>
  <si>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</si>
  <si>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</si>
  <si>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</si>
  <si>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</si>
  <si>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</si>
  <si>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</si>
  <si>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</si>
  <si>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</si>
  <si>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</si>
  <si>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</si>
  <si>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</si>
  <si>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</si>
  <si>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</si>
  <si>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</si>
  <si>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</si>
  <si>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</si>
  <si>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</si>
  <si>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</si>
  <si>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</si>
  <si>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</si>
  <si>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</si>
  <si>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</si>
  <si>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</si>
  <si>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</si>
  <si>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</si>
  <si>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</si>
  <si>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</si>
  <si>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</si>
  <si>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</si>
  <si>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</si>
  <si>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</si>
  <si>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</si>
  <si>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</si>
  <si>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</si>
  <si>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</si>
  <si>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</si>
  <si>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</si>
  <si>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</si>
  <si>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</si>
  <si>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</si>
  <si>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</si>
  <si>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</si>
  <si>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</si>
  <si>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</si>
  <si>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</si>
  <si>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</si>
  <si>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</si>
  <si>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</si>
  <si>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</si>
  <si>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</si>
  <si>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</si>
  <si>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</si>
  <si>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</si>
  <si>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</si>
  <si>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</si>
  <si>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</si>
  <si>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</si>
  <si>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</si>
  <si>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</si>
  <si>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</si>
  <si>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</si>
  <si>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</si>
  <si>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</si>
  <si>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</si>
  <si>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</si>
  <si>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</si>
  <si>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</si>
  <si>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</si>
  <si>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</si>
  <si>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</si>
  <si>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</si>
  <si>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</si>
  <si>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</si>
  <si>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</si>
  <si>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</si>
  <si>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</si>
  <si>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</si>
  <si>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</si>
  <si>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</si>
  <si>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</si>
  <si>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</si>
  <si>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</si>
  <si>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</si>
  <si>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</si>
  <si>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</si>
  <si>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</si>
  <si>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</si>
  <si>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</si>
  <si>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</si>
  <si>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</si>
  <si>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</si>
  <si>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</si>
  <si>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</si>
  <si>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</si>
  <si>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</si>
  <si>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</si>
  <si>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</si>
  <si>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</si>
  <si>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</si>
  <si>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</si>
  <si>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</si>
  <si>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</si>
  <si>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</si>
  <si>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</si>
  <si>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</si>
  <si>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</si>
  <si>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</si>
  <si>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</si>
  <si>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</si>
  <si>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</si>
  <si>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</si>
  <si>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</si>
  <si>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</si>
  <si>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</si>
  <si>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</si>
  <si>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</si>
  <si>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</si>
  <si>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</si>
  <si>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</si>
  <si>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</si>
  <si>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</si>
  <si>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</si>
  <si>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</si>
  <si>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</si>
  <si>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</si>
  <si>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</si>
  <si>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</si>
  <si>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</si>
  <si>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</si>
  <si>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</si>
  <si>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</si>
  <si>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</si>
  <si>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</si>
  <si>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</si>
  <si>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</si>
  <si>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</si>
  <si>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</si>
  <si>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</si>
  <si>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</si>
  <si>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</si>
  <si>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</si>
  <si>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</si>
  <si>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</si>
  <si>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</si>
  <si>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</si>
  <si>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</si>
  <si>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</si>
  <si>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</si>
  <si>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</si>
  <si>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</si>
  <si>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</si>
  <si>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</si>
  <si>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</si>
  <si>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</si>
  <si>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</si>
  <si>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</si>
  <si>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</si>
  <si>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</si>
  <si>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</si>
  <si>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</si>
  <si>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</si>
  <si>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</si>
  <si>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</si>
  <si>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</si>
  <si>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</si>
  <si>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</si>
  <si>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</si>
  <si>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</si>
  <si>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</si>
  <si>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</si>
  <si>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</si>
  <si>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</si>
  <si>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</si>
  <si>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</si>
  <si>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</si>
  <si>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</si>
  <si>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</si>
  <si>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</si>
  <si>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</si>
  <si>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</si>
  <si>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</si>
  <si>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</si>
  <si>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</si>
  <si>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</si>
  <si>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</si>
  <si>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</si>
  <si>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</si>
  <si>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</si>
  <si>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</si>
  <si>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</si>
  <si>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</si>
  <si>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</si>
  <si>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</si>
  <si>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</si>
  <si>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</si>
  <si>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</si>
  <si>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</si>
  <si>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</si>
  <si>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</si>
  <si>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</si>
  <si>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</si>
  <si>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</si>
  <si>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</si>
  <si>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</si>
  <si>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</si>
  <si>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</si>
  <si>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</si>
  <si>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</si>
  <si>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</si>
  <si>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</si>
  <si>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</si>
  <si>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</si>
  <si>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</si>
  <si>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</si>
  <si>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</si>
  <si>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</si>
  <si>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</si>
  <si>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</si>
  <si>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</si>
  <si>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</si>
  <si>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</si>
  <si>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</si>
  <si>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</si>
  <si>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</si>
  <si>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</si>
  <si>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</si>
  <si>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</si>
  <si>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</si>
  <si>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</si>
  <si>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</si>
  <si>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</si>
  <si>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</si>
  <si>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</si>
  <si>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</si>
  <si>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</si>
  <si>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</si>
  <si>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</si>
  <si>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</si>
  <si>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</si>
  <si>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</si>
  <si>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</si>
  <si>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</si>
  <si>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</si>
  <si>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</si>
  <si>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</si>
  <si>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</si>
  <si>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</si>
  <si>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</si>
  <si>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</si>
  <si>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</si>
  <si>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</si>
  <si>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</si>
  <si>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</si>
  <si>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</si>
  <si>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</si>
  <si>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</si>
  <si>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</si>
  <si>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</si>
  <si>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</si>
  <si>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</si>
  <si>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</si>
  <si>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</si>
  <si>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</si>
  <si>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</si>
  <si>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</si>
  <si>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</si>
  <si>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</si>
  <si>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</si>
  <si>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</si>
  <si>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</si>
  <si>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</si>
  <si>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</si>
  <si>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</si>
  <si>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</si>
  <si>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</si>
  <si>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</si>
  <si>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</si>
  <si>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</si>
  <si>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</si>
  <si>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</si>
  <si>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</si>
  <si>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</si>
  <si>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</si>
  <si>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</si>
  <si>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</si>
  <si>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</si>
  <si>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</si>
  <si>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</si>
  <si>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</si>
  <si>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</si>
  <si>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</si>
  <si>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</si>
  <si>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</si>
  <si>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</si>
  <si>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</si>
  <si>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</si>
  <si>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</si>
  <si>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</si>
  <si>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</si>
  <si>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</si>
  <si>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</si>
  <si>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</si>
  <si>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</si>
  <si>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</si>
  <si>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</si>
  <si>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</si>
  <si>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</si>
  <si>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</si>
  <si>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</si>
  <si>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</si>
  <si>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</si>
  <si>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</si>
  <si>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</si>
  <si>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</si>
  <si>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</si>
  <si>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</si>
  <si>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</si>
  <si>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</si>
  <si>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</si>
  <si>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</si>
  <si>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</si>
  <si>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</si>
  <si>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</si>
  <si>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</si>
  <si>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</si>
  <si>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</si>
  <si>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</si>
  <si>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</si>
  <si>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</si>
  <si>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</si>
  <si>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</si>
  <si>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</si>
  <si>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</si>
  <si>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</si>
  <si>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</si>
  <si>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</si>
  <si>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</si>
  <si>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</si>
  <si>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</si>
  <si>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</si>
  <si>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</si>
  <si>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</si>
  <si>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</si>
  <si>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</si>
  <si>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</si>
  <si>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</si>
  <si>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</si>
  <si>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</si>
  <si>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</si>
  <si>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</si>
  <si>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</si>
  <si>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</si>
  <si>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</si>
  <si>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</si>
  <si>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</si>
  <si>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</si>
  <si>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</si>
  <si>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</si>
  <si>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</si>
  <si>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</si>
  <si>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</si>
  <si>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</si>
  <si>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</si>
  <si>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</si>
  <si>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</si>
  <si>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</si>
  <si>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</si>
  <si>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</si>
  <si>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</si>
  <si>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</si>
  <si>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</si>
  <si>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</si>
  <si>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</si>
  <si>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</si>
  <si>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</si>
  <si>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</si>
  <si>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</si>
  <si>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</si>
  <si>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</si>
  <si>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</si>
  <si>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</si>
  <si>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</si>
  <si>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</si>
  <si>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</si>
  <si>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</si>
  <si>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</si>
  <si>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</si>
  <si>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</si>
  <si>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</si>
  <si>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</si>
  <si>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</si>
  <si>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</si>
  <si>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</si>
  <si>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</si>
  <si>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</si>
  <si>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</si>
  <si>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</si>
  <si>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</si>
  <si>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</si>
  <si>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</si>
  <si>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</si>
  <si>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</si>
  <si>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</si>
  <si>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</si>
  <si>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</si>
  <si>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</si>
  <si>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</si>
  <si>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</si>
  <si>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</si>
  <si>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</si>
  <si>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</si>
  <si>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</si>
  <si>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</si>
  <si>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</si>
  <si>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</si>
  <si>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</si>
  <si>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</si>
  <si>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</si>
  <si>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</si>
  <si>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</si>
  <si>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</si>
  <si>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</si>
  <si>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</si>
  <si>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</si>
  <si>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</si>
  <si>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</si>
  <si>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</si>
  <si>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</si>
  <si>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</si>
  <si>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</si>
  <si>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</si>
  <si>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</si>
  <si>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</si>
  <si>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</si>
  <si>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</si>
  <si>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</si>
  <si>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</si>
  <si>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</si>
  <si>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</si>
  <si>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</si>
  <si>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</si>
  <si>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</si>
  <si>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</si>
  <si>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</si>
  <si>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</si>
  <si>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</si>
  <si>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</si>
  <si>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</si>
  <si>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</si>
  <si>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</si>
  <si>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</si>
  <si>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</si>
  <si>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</si>
  <si>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</si>
  <si>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</si>
  <si>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</si>
  <si>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</si>
  <si>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</si>
  <si>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</si>
  <si>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</si>
  <si>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</si>
  <si>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</si>
  <si>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</si>
  <si>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</si>
  <si>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</si>
  <si>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</si>
  <si>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</si>
  <si>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</si>
  <si>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</si>
  <si>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Checkpoint 23-46 Design Decisions</t>
  </si>
  <si>
    <t xml:space="preserve">Decisions through D-428 are consolidated in Concept v0.4s. Checkpoint 46 confirms dynamic weapon-choice viability without requiring family parity or changing accepted mechanics.</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</si>
  <si>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</si>
  <si>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</si>
  <si>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</si>
  <si>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</si>
  <si>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</si>
  <si>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</si>
  <si>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</si>
  <si>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</si>
  <si>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</si>
  <si>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</si>
  <si>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</si>
  <si>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</si>
  <si>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</si>
  <si>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</si>
  <si>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</si>
  <si>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</si>
  <si>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</si>
  <si>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</si>
  <si>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</si>
  <si>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</si>
  <si>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</si>
  <si>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</si>
  <si>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</si>
  <si>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</si>
  <si>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</si>
  <si>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</si>
  <si>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</si>
  <si>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</si>
  <si>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</si>
  <si>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</si>
  <si>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</si>
  <si>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</si>
  <si>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</si>
  <si>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</si>
  <si>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</si>
  <si>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</si>
  <si>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</si>
  <si>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</si>
  <si>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</si>
  <si>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</si>
  <si>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</si>
  <si>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</si>
  <si>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</si>
  <si>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</si>
  <si>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</si>
  <si>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</si>
  <si>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</si>
  <si>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</si>
  <si>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</si>
  <si>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</si>
  <si>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</si>
  <si>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</si>
  <si>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</si>
  <si>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</si>
  <si>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</si>
  <si>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</si>
  <si>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</si>
  <si>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</si>
  <si>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</si>
  <si>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</si>
  <si>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</si>
  <si>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</si>
  <si>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</si>
  <si>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</si>
  <si>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</si>
  <si>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</si>
  <si>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</si>
  <si>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</si>
  <si>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</si>
  <si>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</si>
  <si>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</si>
  <si>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</si>
  <si>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</si>
  <si>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</si>
  <si>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</si>
  <si>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</si>
  <si>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</si>
  <si>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</si>
  <si>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</si>
  <si>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</si>
  <si>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</si>
  <si>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</si>
  <si>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</si>
  <si>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</si>
  <si>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</si>
  <si>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</si>
  <si>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</si>
  <si>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</si>
  <si>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</si>
  <si>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</si>
  <si>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</si>
  <si>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</si>
  <si>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</si>
  <si>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</si>
  <si>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</si>
  <si>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</si>
  <si>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</si>
  <si>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</si>
  <si>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</si>
  <si>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</si>
  <si>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</si>
  <si>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</si>
  <si>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</si>
  <si>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</si>
  <si>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</si>
  <si>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</si>
  <si>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</si>
  <si>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</si>
  <si>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</si>
  <si>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</si>
  <si>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</si>
  <si>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</si>
  <si>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</si>
  <si>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</si>
  <si>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</si>
  <si>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</si>
  <si>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</si>
  <si>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</si>
  <si>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</si>
  <si>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</si>
  <si>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</si>
  <si>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</si>
  <si>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</si>
  <si>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</si>
  <si>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</si>
  <si>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</si>
  <si>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</si>
  <si>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</si>
  <si>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</si>
  <si>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</si>
  <si>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</si>
  <si>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</si>
  <si>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</si>
  <si>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</si>
  <si>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</si>
  <si>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</si>
  <si>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</si>
  <si>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</si>
  <si>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</si>
  <si>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</si>
  <si>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</si>
  <si>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</si>
  <si>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</si>
  <si>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</si>
  <si>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</si>
  <si>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</si>
  <si>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</si>
  <si>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</si>
  <si>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</si>
  <si>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</si>
  <si>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</si>
  <si>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</si>
  <si>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</si>
  <si>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</si>
  <si>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</si>
  <si>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</si>
  <si>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</si>
  <si>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</si>
  <si>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</si>
  <si>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</si>
  <si>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</si>
  <si>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</si>
  <si>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</si>
  <si>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</si>
  <si>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</si>
  <si>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</si>
  <si>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</si>
  <si>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</si>
  <si>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</si>
  <si>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</si>
  <si>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</si>
  <si>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</si>
  <si>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</si>
  <si>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</si>
  <si>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</si>
  <si>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</si>
  <si>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</si>
  <si>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</si>
  <si>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</si>
  <si>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</si>
  <si>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</si>
  <si>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</si>
  <si>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</si>
  <si>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</si>
  <si>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</si>
  <si>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</si>
  <si>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</si>
  <si>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</si>
  <si>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</si>
  <si>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</si>
  <si>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</si>
  <si>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</si>
  <si>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</si>
  <si>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</si>
  <si>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</si>
  <si>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</si>
  <si>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</si>
  <si>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</si>
  <si>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</si>
  <si>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</si>
  <si>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</si>
  <si>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</si>
  <si>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</si>
  <si>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</si>
  <si>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</si>
  <si>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</si>
  <si>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</si>
  <si>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</si>
  <si>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</si>
  <si>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</si>
  <si>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</si>
  <si>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</si>
  <si>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</si>
  <si>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</si>
  <si>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</si>
  <si>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</si>
  <si>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</si>
  <si>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</si>
  <si>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</si>
  <si>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</si>
  <si>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</si>
  <si>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</si>
  <si>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</si>
  <si>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</si>
  <si>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</si>
  <si>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</si>
  <si>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</si>
  <si>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</si>
  <si>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</si>
  <si>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</si>
  <si>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</si>
  <si>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</si>
  <si>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</si>
  <si>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</si>
  <si>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</si>
  <si>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</si>
  <si>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</si>
  <si>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</si>
  <si>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</si>
  <si>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</si>
  <si>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</si>
  <si>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</si>
  <si>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</si>
  <si>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</si>
  <si>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</si>
  <si>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</si>
  <si>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</si>
  <si>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</si>
  <si>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</si>
  <si>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</si>
  <si>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</si>
  <si>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</si>
  <si>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</si>
  <si>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</si>
  <si>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</si>
  <si>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</si>
  <si>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</si>
  <si>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</si>
  <si>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</si>
  <si>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</si>
  <si>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</si>
  <si>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</si>
  <si>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</si>
  <si>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</si>
  <si>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</si>
  <si>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</si>
  <si>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</si>
  <si>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</si>
  <si>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</si>
  <si>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</si>
  <si>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</si>
  <si>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</si>
  <si>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</si>
  <si>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</si>
  <si>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</si>
  <si>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</si>
  <si>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</si>
  <si>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</si>
  <si>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</si>
  <si>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</si>
  <si>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</si>
  <si>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</si>
  <si>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</si>
  <si>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</si>
  <si>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</si>
  <si>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</si>
  <si>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</si>
  <si>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</si>
  <si>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</si>
  <si>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</si>
  <si>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</si>
  <si>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</si>
  <si>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</si>
  <si>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</si>
  <si>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</si>
  <si>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</si>
  <si>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</si>
  <si>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</si>
  <si>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</si>
  <si>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</si>
  <si>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</si>
  <si>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</si>
  <si>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</si>
  <si>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</si>
  <si>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</si>
  <si>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</si>
  <si>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</si>
  <si>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</si>
  <si>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</si>
  <si>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</si>
  <si>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</si>
  <si>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</si>
  <si>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</si>
  <si>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</si>
  <si>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</si>
  <si>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</si>
  <si>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</si>
  <si>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</si>
  <si>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</si>
  <si>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</si>
  <si>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</si>
  <si>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</si>
  <si>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</si>
  <si>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</si>
  <si>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</si>
  <si>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</si>
  <si>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</si>
  <si>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</si>
  <si>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</si>
  <si>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</si>
  <si>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</si>
  <si>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</si>
  <si>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</si>
  <si>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</si>
  <si>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</si>
  <si>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</si>
  <si>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</si>
  <si>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</si>
  <si>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</si>
  <si>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</si>
  <si>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</si>
  <si>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</si>
  <si>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</si>
  <si>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</si>
  <si>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</si>
  <si>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</si>
  <si>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</si>
  <si>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</si>
  <si>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</si>
  <si>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</si>
  <si>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</si>
  <si>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</si>
  <si>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</si>
  <si>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</si>
  <si>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</si>
  <si>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</si>
  <si>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</si>
  <si>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</si>
  <si>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</si>
  <si>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</si>
  <si>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</si>
  <si>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</si>
  <si>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</si>
  <si>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</si>
  <si>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</si>
  <si>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</si>
  <si>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</si>
  <si>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</si>
  <si>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</si>
  <si>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</si>
  <si>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</si>
  <si>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</si>
  <si>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</si>
  <si>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</si>
  <si>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</si>
  <si>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</si>
  <si>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</si>
  <si>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</si>
  <si>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</si>
  <si>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</si>
  <si>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</si>
  <si>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</si>
  <si>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</si>
  <si>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</si>
  <si>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</si>
  <si>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</si>
  <si>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</si>
  <si>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</si>
  <si>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</si>
  <si>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</si>
  <si>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</si>
  <si>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</si>
  <si>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</si>
  <si>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</si>
  <si>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</si>
  <si>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</si>
  <si>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</si>
  <si>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</si>
  <si>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</si>
  <si>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</si>
  <si>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</si>
  <si>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</si>
  <si>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</si>
  <si>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</si>
  <si>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</si>
  <si>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</si>
  <si>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</si>
  <si>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</si>
  <si>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</si>
  <si>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</si>
  <si>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</si>
  <si>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</si>
  <si>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</si>
  <si>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</si>
  <si>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</si>
  <si>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</si>
  <si>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</si>
  <si>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</si>
  <si>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</si>
  <si>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</si>
  <si>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</si>
  <si>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</si>
  <si>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</si>
  <si>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</si>
  <si>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</si>
  <si>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</si>
  <si>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</si>
  <si>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</si>
  <si>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</si>
  <si>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</si>
  <si>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</si>
  <si>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</si>
  <si>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</si>
  <si>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</si>
  <si>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</si>
  <si>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</si>
  <si>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</si>
  <si>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</si>
  <si>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</si>
  <si>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</si>
  <si>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</si>
  <si>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</si>
  <si>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</si>
  <si>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</si>
  <si>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</si>
  <si>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</si>
  <si>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</si>
  <si>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</si>
  <si>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</si>
  <si>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</si>
  <si>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</si>
  <si>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</si>
  <si>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</si>
  <si>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</si>
  <si>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</si>
  <si>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</si>
  <si>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</si>
  <si>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</si>
  <si>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</si>
  <si>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</si>
  <si>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</si>
  <si>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</si>
  <si>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</si>
  <si>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</si>
  <si>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</si>
  <si>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</si>
  <si>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</si>
  <si>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</si>
  <si>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</si>
  <si>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</si>
  <si>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</si>
  <si>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</si>
  <si>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</si>
  <si>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</si>
  <si>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</si>
  <si>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</si>
  <si>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</si>
  <si>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</si>
  <si>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</si>
  <si>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</si>
  <si>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</si>
  <si>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</si>
  <si>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</si>
  <si>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</si>
  <si>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</si>
  <si>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</si>
  <si>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</si>
  <si>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</si>
  <si>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</si>
  <si>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</si>
  <si>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</si>
  <si>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</si>
  <si>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</si>
  <si>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</si>
  <si>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</si>
  <si>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</si>
  <si>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</si>
  <si>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</si>
  <si>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</si>
  <si>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</si>
  <si>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</si>
  <si>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</si>
  <si>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</si>
  <si>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</si>
  <si>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D-419</t>
  </si>
  <si>
    <t xml:space="preserve">Accept Checkpoint 45a as the native validation baseline. Use Armor Step plus Conservative Direct Fire as the leading provisional TL2 reference and Hull Step plus Conservative Direct Fire as the structural control; neither is production data.</t>
  </si>
  <si>
    <t xml:space="preserve">Checkpoint 46 candidate-only direction</t>
  </si>
  <si>
    <t xml:space="preserve">D-420</t>
  </si>
  <si>
    <t xml:space="preserve">Require dynamic same-TL cross-family confirmation before promoting a TL2 reference package. Fixed close-combat dominance alone does not establish compulsory overall choice.</t>
  </si>
  <si>
    <t xml:space="preserve">D-421</t>
  </si>
  <si>
    <t xml:space="preserve">Preserve the established Preferred Range doctrines: Kinetic closes, Energy seeks a middle band, and Missile seeks standoff range.</t>
  </si>
  <si>
    <t xml:space="preserve">D-422</t>
  </si>
  <si>
    <t xml:space="preserve">Test every unordered weapon-family pair in both orientations from starting ranges 1 through 6 with paired random streams.</t>
  </si>
  <si>
    <t xml:space="preserve">D-423</t>
  </si>
  <si>
    <t xml:space="preserve">Retain fixed ranges 2 through 4 as separate mutual-envelope controls rather than general balance gates.</t>
  </si>
  <si>
    <t xml:space="preserve">D-424</t>
  </si>
  <si>
    <t xml:space="preserve">Report pooled outcomes, decisive coverage, starting-range sensitivity, role expression, and orientation effects.</t>
  </si>
  <si>
    <t xml:space="preserve">D-425</t>
  </si>
  <si>
    <t xml:space="preserve">Do not require exact family parity. Range-defined and era-specific advantages are acceptable when alternatives remain meaningful.</t>
  </si>
  <si>
    <t xml:space="preserve">D-426</t>
  </si>
  <si>
    <t xml:space="preserve">Treat broad dominance and irrelevance as non-blocking review signals.</t>
  </si>
  <si>
    <t xml:space="preserve">D-427</t>
  </si>
  <si>
    <t xml:space="preserve">If a compulsory choice appears, adjust family-consistent characteristics, costs, counters, limitations, or TL progression rather than converging identities.</t>
  </si>
  <si>
    <t xml:space="preserve">D-428</t>
  </si>
  <si>
    <t xml:space="preserve">Checkpoint 46 promotes no profile or weapon value automatically.</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</si>
  <si>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</si>
  <si>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</si>
  <si>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</si>
  <si>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</si>
  <si>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</si>
  <si>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</si>
  <si>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</si>
  <si>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</si>
  <si>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</si>
  <si>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</si>
  <si>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</si>
  <si>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</si>
  <si>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</si>
  <si>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</si>
  <si>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</si>
  <si>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</si>
  <si>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</si>
  <si>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</si>
  <si>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</si>
  <si>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</si>
  <si>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</si>
  <si>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</si>
  <si>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</si>
  <si>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</si>
  <si>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</si>
  <si>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</si>
  <si>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</si>
  <si>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</si>
  <si>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</si>
  <si>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</si>
  <si>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</si>
  <si>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</si>
  <si>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</si>
  <si>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</si>
  <si>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</si>
  <si>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</si>
  <si>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</si>
  <si>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</si>
  <si>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</si>
  <si>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</si>
  <si>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</si>
  <si>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</si>
  <si>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</si>
  <si>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</si>
  <si>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</si>
  <si>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</si>
  <si>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</si>
  <si>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</si>
  <si>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</si>
  <si>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</si>
  <si>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</si>
  <si>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</si>
  <si>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</si>
  <si>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</si>
  <si>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</si>
  <si>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</si>
  <si>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</si>
  <si>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</si>
  <si>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</si>
  <si>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</si>
  <si>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</si>
  <si>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</si>
  <si>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</si>
  <si>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</si>
  <si>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</si>
  <si>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</si>
  <si>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</si>
  <si>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</si>
  <si>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</si>
  <si>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</si>
  <si>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</si>
  <si>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</si>
  <si>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</si>
  <si>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</si>
  <si>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</si>
  <si>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</si>
  <si>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</si>
  <si>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</si>
  <si>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</si>
  <si>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</si>
  <si>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</si>
  <si>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</si>
  <si>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</si>
  <si>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</si>
  <si>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</si>
  <si>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</si>
  <si>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</si>
  <si>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</si>
  <si>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</si>
  <si>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</si>
  <si>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</si>
  <si>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</si>
  <si>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</si>
  <si>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</si>
  <si>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</si>
  <si>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</si>
  <si>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</si>
  <si>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</si>
  <si>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</si>
  <si>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</si>
  <si>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</si>
  <si>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</si>
  <si>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</si>
  <si>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</si>
  <si>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</si>
  <si>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</si>
  <si>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</si>
  <si>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</si>
  <si>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</si>
  <si>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</si>
  <si>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</si>
  <si>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</si>
  <si>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</si>
  <si>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</si>
  <si>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</si>
  <si>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</si>
  <si>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</si>
  <si>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</si>
  <si>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</si>
  <si>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</si>
  <si>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</si>
  <si>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</si>
  <si>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</si>
  <si>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</si>
  <si>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</si>
  <si>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</si>
  <si>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</si>
  <si>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</si>
  <si>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</si>
  <si>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</si>
  <si>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</si>
  <si>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</si>
  <si>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</si>
  <si>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</si>
  <si>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</si>
  <si>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</si>
  <si>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</si>
  <si>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</si>
  <si>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</si>
  <si>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</si>
  <si>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</si>
  <si>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</si>
  <si>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</si>
  <si>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</si>
  <si>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</si>
  <si>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</si>
  <si>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</si>
  <si>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</si>
  <si>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</si>
  <si>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</si>
  <si>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</si>
  <si>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</si>
  <si>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</si>
  <si>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</si>
  <si>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</si>
  <si>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</si>
  <si>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</si>
  <si>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</si>
  <si>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</si>
  <si>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</si>
  <si>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</si>
  <si>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</si>
  <si>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</si>
  <si>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</si>
  <si>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</si>
  <si>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</si>
  <si>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</si>
  <si>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</si>
  <si>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</si>
  <si>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</si>
  <si>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</si>
  <si>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</si>
  <si>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</si>
  <si>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</si>
  <si>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</si>
  <si>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</si>
  <si>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</si>
  <si>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</si>
  <si>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</si>
  <si>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</si>
  <si>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</si>
  <si>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</si>
  <si>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</si>
  <si>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</si>
  <si>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</si>
  <si>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</si>
  <si>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</si>
  <si>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</si>
  <si>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</si>
  <si>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</si>
  <si>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</si>
  <si>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</si>
  <si>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</si>
  <si>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</si>
  <si>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</si>
  <si>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</si>
  <si>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</si>
  <si>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</si>
  <si>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</si>
  <si>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</si>
  <si>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</si>
  <si>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</si>
  <si>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</si>
  <si>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</si>
  <si>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</si>
  <si>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</si>
  <si>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</si>
  <si>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</si>
  <si>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</si>
  <si>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</si>
  <si>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</si>
  <si>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</si>
  <si>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</si>
  <si>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</si>
  <si>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</si>
  <si>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</si>
  <si>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</si>
  <si>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</si>
  <si>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</si>
  <si>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</si>
  <si>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</si>
  <si>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</si>
  <si>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</si>
  <si>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</si>
  <si>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</si>
  <si>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</si>
  <si>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</si>
  <si>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</si>
  <si>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</si>
  <si>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</si>
  <si>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</si>
  <si>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</si>
  <si>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</si>
  <si>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</si>
  <si>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</si>
  <si>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</si>
  <si>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</si>
  <si>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</si>
  <si>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</si>
  <si>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</si>
  <si>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</si>
  <si>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</si>
  <si>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</si>
  <si>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</si>
  <si>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</si>
  <si>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</si>
  <si>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</si>
  <si>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</si>
  <si>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</si>
  <si>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</si>
  <si>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</si>
  <si>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</si>
  <si>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</si>
  <si>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</si>
  <si>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</si>
  <si>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</si>
  <si>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</si>
  <si>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</si>
  <si>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</si>
  <si>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</si>
  <si>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</si>
  <si>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</si>
  <si>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</si>
  <si>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</si>
  <si>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</si>
  <si>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</si>
  <si>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</si>
  <si>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</si>
  <si>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</si>
  <si>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</si>
  <si>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</si>
  <si>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</si>
  <si>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</si>
  <si>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</si>
  <si>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</si>
  <si>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</si>
  <si>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</si>
  <si>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</si>
  <si>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</si>
  <si>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</si>
  <si>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</si>
  <si>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</si>
  <si>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</si>
  <si>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</si>
  <si>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</si>
  <si>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</si>
  <si>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</si>
  <si>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</si>
  <si>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</si>
  <si>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</si>
  <si>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</si>
  <si>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</si>
  <si>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</si>
  <si>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</si>
  <si>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</si>
  <si>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</si>
  <si>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</si>
  <si>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</si>
  <si>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</si>
  <si>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</si>
  <si>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</si>
  <si>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</si>
  <si>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</si>
  <si>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</si>
  <si>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</si>
  <si>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</si>
  <si>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</si>
  <si>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</si>
  <si>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</si>
  <si>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</si>
  <si>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</si>
  <si>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</si>
  <si>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</si>
  <si>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</si>
  <si>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</si>
  <si>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</si>
  <si>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</si>
  <si>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</si>
  <si>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</si>
  <si>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</si>
  <si>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</si>
  <si>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</si>
  <si>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</si>
  <si>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</si>
  <si>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</si>
  <si>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</si>
  <si>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</si>
  <si>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</si>
  <si>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</si>
  <si>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</si>
  <si>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</si>
  <si>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</si>
  <si>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</si>
  <si>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</si>
  <si>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</si>
  <si>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</si>
  <si>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</si>
  <si>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</si>
  <si>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</si>
  <si>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</si>
  <si>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</si>
  <si>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</si>
  <si>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</si>
  <si>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</si>
  <si>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</si>
  <si>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</si>
  <si>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</si>
  <si>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</si>
  <si>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</si>
  <si>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</si>
  <si>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</si>
  <si>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</si>
  <si>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</si>
  <si>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</si>
  <si>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</si>
  <si>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</si>
  <si>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</si>
  <si>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</si>
  <si>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</si>
  <si>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</si>
  <si>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</si>
  <si>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</si>
  <si>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</si>
  <si>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</si>
  <si>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</si>
  <si>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</si>
  <si>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</si>
  <si>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</si>
  <si>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</si>
  <si>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</si>
  <si>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</si>
  <si>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</si>
  <si>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</si>
  <si>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</si>
  <si>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</si>
  <si>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</si>
  <si>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</si>
  <si>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</si>
  <si>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</si>
  <si>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</si>
  <si>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</si>
  <si>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</si>
  <si>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</si>
  <si>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</si>
  <si>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</si>
  <si>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</si>
  <si>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</si>
  <si>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</si>
  <si>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</si>
  <si>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</si>
  <si>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</si>
  <si>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</si>
  <si>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</si>
  <si>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</si>
  <si>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</si>
  <si>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</si>
  <si>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</si>
  <si>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</si>
  <si>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</si>
  <si>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</si>
  <si>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</si>
  <si>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</si>
  <si>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</si>
  <si>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</si>
  <si>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</si>
  <si>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</si>
  <si>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</si>
  <si>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</si>
  <si>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</si>
  <si>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</si>
  <si>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</si>
  <si>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</si>
  <si>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</si>
  <si>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</si>
  <si>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</si>
  <si>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</si>
  <si>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</si>
  <si>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</si>
  <si>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</si>
  <si>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</si>
  <si>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</si>
  <si>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</si>
  <si>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</si>
  <si>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</si>
  <si>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</si>
  <si>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</si>
  <si>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</si>
  <si>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</si>
  <si>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</si>
  <si>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</si>
  <si>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</si>
  <si>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</si>
  <si>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</si>
  <si>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</si>
  <si>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</si>
  <si>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</si>
  <si>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</si>
  <si>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</si>
  <si>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</si>
  <si>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</si>
  <si>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</si>
  <si>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</si>
  <si>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</si>
  <si>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</si>
  <si>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</si>
  <si>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</si>
  <si>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</si>
  <si>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</si>
  <si>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</si>
  <si>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</si>
  <si>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</si>
  <si>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</si>
  <si>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</si>
  <si>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</si>
  <si>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</si>
  <si>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</si>
  <si>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</si>
  <si>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</si>
  <si>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</si>
  <si>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</si>
  <si>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</si>
  <si>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</si>
  <si>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</si>
  <si>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</si>
  <si>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</si>
  <si>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</si>
  <si>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</si>
  <si>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</si>
  <si>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</si>
  <si>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</si>
  <si>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</si>
  <si>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</si>
  <si>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</si>
  <si>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</si>
  <si>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</si>
  <si>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</si>
  <si>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</si>
  <si>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</si>
  <si>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</si>
  <si>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</si>
  <si>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</si>
  <si>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</si>
  <si>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</si>
  <si>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</si>
  <si>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</si>
  <si>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</si>
  <si>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</si>
  <si>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</si>
  <si>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</si>
  <si>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</si>
  <si>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</si>
  <si>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</si>
  <si>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</si>
  <si>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</si>
  <si>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</si>
  <si>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</si>
  <si>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</si>
  <si>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</si>
  <si>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</si>
  <si>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</si>
  <si>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</si>
  <si>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</si>
  <si>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</si>
  <si>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</si>
  <si>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</si>
  <si>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</si>
  <si>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</si>
  <si>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</si>
  <si>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</si>
  <si>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</si>
  <si>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</si>
  <si>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</si>
  <si>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</si>
  <si>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</si>
  <si>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</si>
  <si>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</si>
  <si>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</si>
  <si>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</si>
  <si>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</si>
  <si>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</si>
  <si>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</si>
  <si>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</si>
  <si>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</si>
  <si>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</si>
  <si>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</si>
  <si>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</si>
  <si>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</si>
  <si>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</si>
  <si>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</si>
  <si>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</si>
  <si>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</si>
  <si>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</si>
  <si>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</si>
  <si>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</si>
  <si>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</si>
  <si>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</si>
  <si>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</si>
  <si>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</si>
  <si>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</si>
  <si>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</si>
  <si>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</si>
  <si>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</si>
  <si>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</si>
  <si>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</si>
  <si>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</si>
  <si>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</si>
  <si>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</si>
  <si>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</si>
  <si>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</si>
  <si>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</si>
  <si>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</si>
  <si>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</si>
  <si>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</si>
  <si>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</si>
  <si>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</si>
  <si>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</si>
  <si>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</si>
  <si>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</si>
  <si>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</si>
  <si>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</si>
  <si>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</si>
  <si>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</si>
  <si>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</si>
  <si>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</si>
  <si>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</si>
  <si>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</si>
  <si>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</si>
  <si>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</si>
  <si>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</si>
  <si>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</si>
  <si>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</si>
  <si>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</si>
  <si>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</si>
  <si>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</si>
  <si>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</si>
  <si>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</si>
  <si>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</si>
  <si>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</si>
  <si>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</si>
  <si>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</si>
  <si>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</si>
  <si>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</si>
  <si>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</si>
  <si>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</si>
  <si>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</si>
  <si>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</si>
  <si>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</si>
  <si>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</si>
  <si>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</si>
  <si>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</si>
  <si>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</si>
  <si>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</si>
  <si>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</si>
  <si>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</si>
  <si>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</si>
  <si>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</si>
  <si>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</si>
  <si>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</si>
  <si>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</si>
  <si>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</si>
  <si>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</si>
  <si>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</si>
  <si>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</si>
  <si>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</si>
  <si>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</si>
  <si>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</si>
  <si>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</si>
  <si>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</si>
  <si>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</si>
  <si>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</si>
  <si>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</si>
  <si>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</si>
  <si>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</si>
  <si>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</si>
  <si>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</si>
  <si>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</si>
  <si>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</si>
  <si>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</si>
  <si>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</si>
  <si>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</si>
  <si>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</si>
  <si>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</si>
  <si>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</si>
  <si>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</si>
  <si>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</si>
  <si>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</si>
  <si>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</si>
  <si>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</si>
  <si>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</si>
  <si>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</si>
  <si>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</si>
  <si>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</si>
  <si>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</si>
  <si>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</si>
  <si>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</si>
  <si>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</si>
  <si>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</si>
  <si>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</si>
  <si>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</si>
  <si>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</si>
  <si>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</si>
  <si>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</si>
  <si>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</si>
  <si>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</si>
  <si>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</si>
  <si>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</si>
  <si>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</si>
  <si>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</si>
  <si>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</si>
  <si>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</si>
  <si>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</si>
  <si>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</si>
  <si>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</si>
  <si>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</si>
  <si>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</si>
  <si>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</si>
  <si>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</si>
  <si>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</si>
  <si>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</si>
  <si>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</si>
  <si>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</si>
  <si>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</si>
  <si>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</si>
  <si>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</si>
  <si>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</si>
  <si>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</si>
  <si>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</si>
  <si>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</si>
  <si>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</si>
  <si>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</si>
  <si>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</si>
  <si>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</si>
  <si>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</si>
  <si>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</si>
  <si>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</si>
  <si>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</si>
  <si>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</si>
  <si>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</si>
  <si>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</si>
  <si>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</si>
  <si>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</si>
  <si>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</si>
  <si>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</si>
  <si>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</si>
  <si>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</si>
  <si>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</si>
  <si>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</si>
  <si>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</si>
  <si>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</si>
  <si>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</si>
  <si>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</si>
  <si>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</si>
  <si>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</si>
  <si>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</si>
  <si>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</si>
  <si>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</si>
  <si>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</si>
  <si>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</si>
  <si>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</si>
  <si>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</si>
  <si>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</si>
  <si>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</si>
  <si>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</si>
  <si>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</si>
  <si>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</si>
  <si>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</si>
  <si>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</si>
  <si>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</si>
  <si>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</si>
  <si>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</si>
  <si>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</si>
  <si>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</si>
  <si>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</si>
  <si>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</si>
  <si>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</si>
  <si>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</si>
  <si>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</si>
  <si>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</si>
  <si>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</si>
  <si>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</si>
  <si>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</si>
  <si>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</si>
  <si>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</si>
  <si>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</si>
  <si>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</si>
  <si>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</si>
  <si>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</si>
  <si>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</si>
  <si>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</si>
  <si>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</si>
  <si>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</si>
  <si>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</si>
  <si>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</si>
  <si>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</si>
  <si>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</si>
  <si>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</si>
  <si>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</si>
  <si>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</si>
  <si>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</si>
  <si>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</si>
  <si>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</si>
  <si>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</si>
  <si>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</si>
  <si>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</si>
  <si>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</si>
  <si>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</si>
  <si>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</si>
  <si>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</si>
  <si>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</si>
  <si>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</si>
  <si>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</si>
  <si>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</si>
  <si>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</si>
  <si>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</si>
  <si>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</si>
  <si>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</si>
  <si>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</si>
  <si>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</si>
  <si>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</si>
  <si>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</si>
  <si>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</si>
  <si>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</si>
  <si>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</si>
  <si>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</si>
  <si>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</si>
  <si>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</si>
  <si>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</si>
  <si>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</si>
  <si>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</si>
  <si>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</si>
  <si>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</si>
  <si>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</si>
  <si>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</si>
  <si>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</si>
  <si>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</si>
  <si>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</si>
  <si>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</si>
  <si>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</si>
  <si>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</si>
  <si>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</si>
  <si>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</si>
  <si>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</si>
  <si>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</si>
  <si>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</si>
  <si>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</si>
  <si>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</si>
  <si>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</si>
  <si>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</si>
  <si>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</si>
  <si>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</si>
  <si>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</si>
  <si>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</si>
  <si>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</si>
  <si>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</si>
  <si>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</si>
  <si>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</si>
  <si>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</si>
  <si>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</si>
  <si>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</si>
  <si>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</si>
  <si>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</si>
  <si>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</si>
  <si>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</si>
  <si>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</si>
  <si>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</si>
  <si>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</si>
  <si>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</si>
  <si>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</si>
  <si>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</si>
  <si>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</si>
  <si>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</si>
  <si>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</si>
  <si>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</si>
  <si>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</si>
  <si>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</si>
  <si>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</si>
  <si>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</si>
  <si>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</si>
  <si>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</si>
  <si>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</si>
  <si>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</si>
  <si>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</si>
  <si>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</si>
  <si>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</si>
  <si>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</si>
  <si>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</si>
  <si>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</si>
  <si>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</si>
  <si>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</si>
  <si>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</si>
  <si>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</si>
  <si>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</si>
  <si>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</si>
  <si>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</si>
  <si>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</si>
  <si>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</si>
  <si>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</si>
  <si>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</si>
  <si>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</si>
  <si>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</si>
  <si>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</si>
  <si>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</si>
  <si>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</si>
  <si>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</si>
  <si>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</si>
  <si>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</si>
  <si>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</si>
  <si>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</si>
  <si>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</si>
  <si>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</si>
  <si>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</si>
  <si>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</si>
  <si>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</si>
  <si>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</si>
  <si>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</si>
  <si>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</si>
  <si>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</si>
  <si>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</si>
  <si>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</si>
  <si>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</si>
  <si>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</si>
  <si>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</si>
  <si>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</si>
  <si>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</si>
  <si>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</si>
  <si>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</si>
  <si>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</si>
  <si>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</si>
  <si>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</si>
  <si>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</si>
  <si>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</si>
  <si>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</si>
  <si>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</si>
  <si>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</si>
  <si>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</si>
  <si>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</si>
  <si>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</si>
  <si>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</si>
  <si>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</si>
  <si>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</si>
  <si>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</si>
  <si>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</si>
  <si>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</si>
  <si>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</si>
  <si>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</si>
  <si>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</si>
  <si>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</si>
  <si>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</si>
  <si>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</si>
  <si>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</si>
  <si>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</si>
  <si>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</si>
  <si>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</si>
  <si>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</si>
  <si>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</si>
  <si>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</si>
  <si>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</si>
  <si>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</si>
  <si>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</si>
  <si>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</si>
  <si>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</si>
  <si>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</si>
  <si>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</si>
  <si>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</si>
  <si>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</si>
  <si>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</si>
  <si>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</si>
  <si>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</si>
  <si>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</si>
  <si>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</si>
  <si>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</si>
  <si>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</si>
  <si>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</si>
  <si>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</si>
  <si>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</si>
  <si>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</si>
  <si>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</si>
  <si>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</si>
  <si>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</si>
  <si>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</si>
  <si>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</si>
  <si>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</si>
  <si>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</si>
  <si>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</si>
  <si>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</si>
  <si>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</si>
  <si>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</si>
  <si>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</si>
  <si>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</si>
  <si>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</si>
  <si>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</si>
  <si>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</si>
  <si>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</si>
  <si>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</si>
  <si>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</si>
  <si>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</si>
  <si>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</si>
  <si>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</si>
  <si>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</si>
  <si>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</si>
  <si>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</si>
  <si>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</si>
  <si>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</si>
  <si>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</si>
  <si>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</si>
  <si>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</si>
  <si>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</si>
  <si>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</si>
  <si>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</si>
  <si>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</si>
  <si>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</si>
  <si>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</si>
  <si>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</si>
  <si>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</si>
  <si>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</si>
  <si>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</si>
  <si>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</si>
  <si>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</si>
  <si>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</si>
  <si>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</si>
  <si>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</si>
  <si>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</si>
  <si>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</si>
  <si>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</si>
  <si>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</si>
  <si>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</si>
  <si>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</si>
  <si>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</si>
  <si>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</si>
  <si>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</si>
  <si>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</si>
  <si>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</si>
  <si>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</si>
  <si>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</si>
  <si>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</si>
  <si>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</si>
  <si>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</si>
  <si>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</si>
  <si>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</si>
  <si>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</si>
  <si>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</si>
  <si>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</si>
  <si>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</si>
  <si>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</si>
  <si>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</si>
  <si>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</si>
  <si>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</si>
  <si>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</si>
  <si>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</si>
  <si>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</si>
  <si>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</si>
  <si>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</si>
  <si>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</si>
  <si>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</si>
  <si>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</si>
  <si>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</si>
  <si>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</si>
  <si>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</si>
  <si>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</si>
  <si>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</si>
  <si>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</si>
  <si>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</si>
  <si>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</si>
  <si>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</si>
  <si>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</si>
  <si>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</si>
  <si>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</si>
  <si>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</si>
  <si>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</si>
  <si>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</si>
  <si>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</si>
  <si>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</si>
  <si>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</si>
  <si>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</si>
  <si>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</si>
  <si>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</si>
  <si>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</si>
  <si>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</si>
  <si>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</si>
  <si>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</si>
  <si>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</si>
  <si>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</si>
  <si>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</si>
  <si>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</si>
  <si>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</si>
  <si>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</si>
  <si>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</si>
  <si>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</si>
  <si>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</si>
  <si>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</si>
  <si>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</si>
  <si>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</si>
  <si>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</si>
  <si>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</si>
  <si>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</si>
  <si>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</si>
  <si>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</si>
  <si>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</si>
  <si>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</si>
  <si>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</si>
  <si>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</si>
  <si>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</si>
  <si>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</si>
  <si>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</si>
  <si>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</si>
  <si>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</si>
  <si>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</si>
  <si>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</si>
  <si>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</si>
  <si>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</si>
  <si>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</si>
  <si>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</si>
  <si>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</si>
  <si>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</si>
  <si>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</si>
  <si>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</si>
  <si>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</si>
  <si>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</si>
  <si>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</si>
  <si>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</si>
  <si>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</si>
  <si>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</si>
  <si>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</si>
  <si>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</si>
  <si>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</si>
  <si>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</si>
  <si>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</si>
  <si>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</si>
  <si>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</si>
  <si>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</si>
  <si>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</si>
  <si>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</si>
  <si>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</si>
  <si>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</si>
  <si>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</si>
  <si>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</si>
  <si>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</si>
  <si>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</si>
  <si>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</si>
  <si>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</si>
  <si>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</si>
  <si>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</si>
  <si>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</si>
  <si>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</si>
  <si>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</si>
  <si>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</si>
  <si>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</si>
  <si>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</si>
  <si>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</si>
  <si>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</si>
  <si>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</si>
  <si>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</si>
  <si>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</si>
  <si>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</si>
  <si>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</si>
  <si>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</si>
  <si>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</si>
  <si>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</si>
  <si>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</si>
  <si>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</si>
  <si>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</si>
  <si>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</si>
  <si>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</si>
  <si>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</si>
  <si>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</si>
  <si>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</si>
  <si>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</si>
  <si>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</si>
  <si>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</si>
  <si>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</si>
  <si>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</si>
  <si>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</si>
  <si>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</si>
  <si>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</si>
  <si>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</si>
  <si>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</si>
  <si>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</si>
  <si>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</si>
  <si>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</si>
  <si>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</si>
  <si>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</si>
  <si>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</si>
  <si>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</si>
  <si>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</si>
  <si>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</si>
  <si>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</si>
  <si>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</si>
  <si>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</si>
  <si>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</si>
  <si>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</si>
  <si>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</si>
  <si>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</si>
  <si>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</si>
  <si>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</si>
  <si>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</si>
  <si>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</si>
  <si>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</si>
  <si>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</si>
  <si>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</si>
  <si>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</si>
  <si>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</si>
  <si>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</si>
  <si>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</si>
  <si>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</si>
  <si>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</si>
  <si>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</si>
  <si>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</si>
  <si>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</si>
  <si>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</si>
  <si>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</si>
  <si>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</si>
  <si>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</si>
  <si>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</si>
  <si>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</si>
  <si>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</si>
  <si>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</si>
  <si>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</si>
  <si>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</si>
  <si>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</si>
  <si>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</si>
  <si>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</si>
  <si>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</si>
  <si>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</si>
  <si>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</si>
  <si>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</si>
  <si>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</si>
  <si>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</si>
  <si>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</si>
  <si>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</si>
  <si>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</si>
  <si>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</si>
  <si>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</si>
  <si>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</si>
  <si>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</si>
  <si>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</si>
  <si>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</si>
  <si>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</si>
  <si>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</si>
  <si>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</si>
  <si>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</si>
  <si>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</si>
  <si>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</si>
  <si>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</si>
  <si>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</si>
  <si>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</si>
  <si>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</si>
  <si>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</si>
  <si>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</si>
  <si>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</si>
  <si>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</si>
  <si>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</si>
  <si>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</si>
  <si>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</si>
  <si>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</si>
  <si>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</si>
  <si>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</si>
  <si>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</si>
  <si>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</si>
  <si>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</si>
  <si>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</si>
  <si>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</si>
  <si>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</si>
  <si>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</si>
  <si>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</si>
  <si>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</si>
  <si>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</si>
  <si>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</si>
  <si>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</si>
  <si>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</si>
  <si>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</si>
  <si>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</si>
  <si>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</si>
  <si>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</si>
  <si>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</si>
  <si>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</si>
  <si>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</si>
  <si>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</si>
  <si>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</si>
  <si>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</si>
  <si>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</si>
  <si>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</si>
  <si>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</si>
  <si>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</si>
  <si>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</si>
  <si>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</si>
  <si>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</si>
  <si>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</si>
  <si>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</si>
  <si>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</si>
  <si>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</si>
  <si>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</si>
  <si>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</si>
  <si>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</si>
  <si>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</si>
  <si>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</si>
  <si>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</si>
  <si>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</si>
  <si>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</si>
  <si>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</si>
  <si>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</si>
  <si>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</si>
  <si>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</si>
  <si>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</si>
  <si>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</si>
  <si>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</si>
  <si>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</si>
  <si>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</si>
  <si>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</si>
  <si>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</si>
  <si>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</si>
  <si>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</si>
  <si>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</si>
  <si>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</si>
  <si>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</si>
  <si>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</si>
  <si>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</si>
  <si>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</si>
  <si>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</si>
  <si>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</si>
  <si>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</si>
  <si>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</si>
  <si>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</si>
  <si>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</si>
  <si>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</si>
  <si>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</si>
  <si>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</si>
  <si>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</si>
  <si>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</si>
  <si>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</si>
  <si>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</si>
  <si>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</si>
  <si>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</si>
  <si>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</si>
  <si>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</si>
  <si>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</si>
  <si>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</si>
  <si>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</si>
  <si>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</si>
  <si>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</si>
  <si>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</si>
  <si>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</si>
  <si>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</si>
  <si>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</si>
  <si>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</si>
  <si>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</si>
  <si>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</si>
  <si>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</si>
  <si>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</si>
  <si>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</si>
  <si>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</si>
  <si>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</si>
  <si>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</si>
  <si>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</si>
  <si>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</si>
  <si>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</si>
  <si>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</si>
  <si>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</si>
  <si>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</si>
  <si>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</si>
  <si>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</si>
  <si>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</si>
  <si>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</si>
  <si>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</si>
  <si>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</si>
  <si>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</si>
  <si>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</si>
  <si>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</si>
  <si>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</si>
  <si>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</si>
  <si>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</si>
  <si>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</si>
  <si>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</si>
  <si>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</si>
  <si>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</si>
  <si>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</si>
  <si>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</si>
  <si>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</si>
  <si>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</si>
  <si>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</si>
  <si>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</si>
  <si>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</si>
  <si>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</si>
  <si>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</si>
  <si>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</si>
  <si>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</si>
  <si>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</si>
  <si>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</si>
  <si>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</si>
  <si>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</si>
  <si>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</si>
  <si>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</si>
  <si>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</si>
  <si>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</si>
  <si>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</si>
  <si>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</si>
  <si>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</si>
  <si>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</si>
  <si>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</si>
  <si>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</si>
  <si>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</si>
  <si>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</si>
  <si>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</si>
  <si>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</si>
  <si>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</si>
  <si>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</si>
  <si>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</si>
  <si>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</si>
  <si>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</si>
  <si>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</si>
  <si>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</si>
  <si>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</si>
  <si>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</si>
  <si>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</si>
  <si>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</si>
  <si>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</si>
  <si>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</si>
  <si>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</si>
  <si>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</si>
  <si>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</si>
  <si>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</si>
  <si>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</si>
  <si>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</si>
  <si>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</si>
  <si>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</si>
  <si>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</si>
  <si>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</si>
  <si>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</si>
  <si>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</si>
  <si>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</si>
  <si>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</si>
  <si>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</si>
  <si>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</si>
  <si>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</si>
  <si>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</si>
  <si>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</si>
  <si>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</si>
  <si>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</si>
  <si>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</si>
  <si>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</si>
  <si>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</si>
  <si>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</si>
  <si>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</si>
  <si>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</si>
  <si>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</si>
  <si>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</si>
  <si>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</si>
  <si>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</si>
  <si>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</si>
  <si>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</si>
  <si>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</si>
  <si>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</si>
  <si>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</si>
  <si>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</si>
  <si>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</si>
  <si>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</si>
  <si>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</si>
  <si>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</si>
  <si>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</si>
  <si>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</si>
  <si>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</si>
  <si>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</si>
  <si>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</si>
  <si>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</si>
  <si>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</si>
  <si>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</si>
  <si>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</si>
  <si>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</si>
  <si>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</si>
  <si>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</si>
  <si>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</si>
  <si>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</si>
  <si>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</si>
  <si>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</si>
  <si>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</si>
  <si>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</si>
  <si>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</si>
  <si>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</si>
  <si>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</si>
  <si>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</si>
  <si>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</si>
  <si>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</si>
  <si>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</si>
  <si>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</si>
  <si>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</si>
  <si>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</si>
  <si>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</si>
  <si>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</si>
  <si>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</si>
  <si>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</si>
  <si>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</si>
  <si>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</si>
  <si>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</si>
  <si>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</si>
  <si>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</si>
  <si>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</si>
  <si>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</si>
  <si>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</si>
  <si>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</si>
  <si>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</si>
  <si>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</si>
  <si>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</si>
  <si>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</si>
  <si>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</si>
  <si>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</si>
  <si>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</si>
  <si>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</si>
  <si>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</si>
  <si>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</si>
  <si>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</si>
  <si>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</si>
  <si>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</si>
  <si>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</si>
  <si>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</si>
  <si>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</si>
  <si>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</si>
  <si>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</si>
  <si>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</si>
  <si>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</si>
  <si>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</si>
  <si>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</si>
  <si>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</si>
  <si>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</si>
  <si>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</si>
  <si>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</si>
  <si>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</si>
  <si>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</si>
  <si>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</si>
  <si>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</si>
  <si>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</si>
  <si>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</si>
  <si>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</si>
  <si>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</si>
  <si>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</si>
  <si>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</si>
  <si>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</si>
  <si>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</si>
  <si>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</si>
  <si>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</si>
  <si>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</si>
  <si>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</si>
  <si>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</si>
  <si>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</si>
  <si>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</si>
  <si>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</si>
  <si>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</si>
  <si>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</si>
  <si>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</si>
  <si>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</si>
  <si>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</si>
  <si>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</si>
  <si>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</si>
  <si>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</si>
  <si>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</si>
  <si>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</si>
  <si>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</si>
  <si>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</si>
  <si>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</si>
  <si>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</si>
  <si>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</si>
  <si>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</si>
  <si>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</si>
  <si>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</si>
  <si>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</si>
  <si>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</si>
  <si>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</si>
  <si>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</si>
  <si>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</si>
  <si>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</si>
  <si>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</si>
  <si>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</si>
  <si>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</si>
  <si>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</si>
  <si>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</si>
  <si>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</si>
  <si>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</si>
  <si>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</si>
  <si>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</si>
  <si>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</si>
  <si>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</si>
  <si>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</si>
  <si>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</si>
  <si>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</si>
  <si>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</si>
  <si>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</si>
  <si>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</si>
  <si>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</si>
  <si>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</si>
  <si>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</si>
  <si>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</si>
  <si>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</si>
  <si>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</si>
  <si>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</si>
  <si>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</si>
  <si>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</si>
  <si>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</si>
  <si>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</si>
  <si>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</si>
  <si>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</si>
  <si>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</si>
  <si>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</si>
  <si>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</si>
  <si>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</si>
  <si>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</si>
  <si>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</si>
  <si>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</si>
  <si>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</si>
  <si>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</si>
  <si>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</si>
  <si>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</si>
  <si>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</si>
  <si>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</si>
  <si>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</si>
  <si>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</si>
  <si>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</si>
  <si>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</si>
  <si>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</si>
  <si>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</si>
  <si>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</si>
  <si>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</si>
  <si>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</si>
  <si>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</si>
  <si>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</si>
  <si>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</si>
  <si>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</si>
  <si>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</si>
  <si>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</si>
  <si>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</si>
  <si>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</si>
  <si>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</si>
  <si>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</si>
  <si>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</si>
  <si>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</si>
  <si>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</si>
  <si>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</si>
  <si>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</si>
  <si>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</si>
  <si>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</si>
  <si>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</si>
  <si>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</si>
  <si>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</si>
  <si>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</si>
  <si>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</si>
  <si>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</si>
  <si>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</si>
  <si>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</si>
  <si>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</si>
  <si>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</si>
  <si>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</si>
  <si>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</si>
  <si>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</si>
  <si>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</si>
  <si>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</si>
  <si>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</si>
  <si>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</si>
  <si>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</si>
  <si>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</si>
  <si>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</si>
  <si>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</si>
  <si>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</si>
  <si>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</si>
  <si>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</si>
  <si>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</si>
  <si>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</si>
  <si>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</si>
  <si>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</si>
  <si>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</si>
  <si>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</si>
  <si>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</si>
  <si>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</si>
  <si>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</si>
  <si>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</si>
  <si>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</si>
  <si>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</si>
  <si>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</si>
  <si>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</si>
  <si>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</si>
  <si>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</si>
  <si>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</si>
  <si>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</si>
  <si>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</si>
  <si>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</si>
  <si>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</si>
  <si>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</si>
  <si>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</si>
  <si>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</si>
  <si>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</si>
  <si>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</si>
  <si>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</si>
  <si>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</si>
  <si>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</si>
  <si>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</si>
  <si>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</si>
  <si>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</si>
  <si>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</si>
  <si>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</si>
  <si>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</si>
  <si>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</si>
  <si>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</si>
  <si>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</si>
  <si>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</si>
  <si>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</si>
  <si>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</si>
  <si>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</si>
  <si>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</si>
  <si>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</si>
  <si>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</si>
  <si>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</si>
  <si>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</si>
  <si>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</si>
  <si>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</si>
  <si>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</si>
  <si>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</si>
  <si>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</si>
  <si>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</si>
  <si>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</si>
  <si>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</si>
  <si>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</si>
  <si>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</si>
  <si>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</si>
  <si>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</si>
  <si>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</si>
  <si>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</si>
  <si>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</si>
  <si>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</si>
  <si>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</si>
  <si>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</si>
  <si>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</si>
  <si>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</si>
  <si>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</si>
  <si>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</si>
  <si>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</si>
  <si>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</si>
  <si>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</si>
  <si>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</si>
  <si>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</si>
  <si>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</si>
  <si>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</si>
  <si>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</si>
  <si>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</si>
  <si>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</si>
  <si>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</si>
  <si>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</si>
  <si>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</si>
  <si>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</si>
  <si>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</si>
  <si>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</si>
  <si>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</si>
  <si>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</si>
  <si>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</si>
  <si>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</si>
  <si>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</si>
  <si>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</si>
  <si>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</si>
  <si>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</si>
  <si>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</si>
  <si>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</si>
  <si>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</si>
  <si>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</si>
  <si>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</si>
  <si>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</si>
  <si>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</si>
  <si>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</si>
  <si>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</si>
  <si>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</si>
  <si>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</si>
  <si>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</si>
  <si>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</si>
  <si>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</si>
  <si>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</si>
  <si>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</si>
  <si>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</si>
  <si>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</si>
  <si>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</si>
  <si>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</si>
  <si>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</si>
  <si>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</si>
  <si>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</si>
  <si>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</si>
  <si>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</si>
  <si>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</si>
  <si>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</si>
  <si>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</si>
  <si>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</si>
  <si>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</si>
  <si>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</si>
  <si>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</si>
  <si>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</si>
  <si>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</si>
  <si>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</si>
  <si>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</si>
  <si>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</si>
  <si>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</si>
  <si>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</si>
  <si>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</si>
  <si>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</si>
  <si>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</si>
  <si>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</si>
  <si>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</si>
  <si>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</si>
  <si>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</si>
  <si>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</si>
  <si>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</si>
  <si>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</si>
  <si>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</si>
  <si>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</si>
  <si>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</si>
  <si>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</si>
  <si>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</si>
  <si>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</si>
  <si>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</si>
  <si>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</si>
  <si>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</si>
  <si>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</si>
  <si>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</si>
  <si>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</si>
  <si>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</si>
  <si>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</si>
  <si>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</si>
  <si>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</si>
  <si>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</si>
  <si>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</si>
  <si>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</si>
  <si>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</si>
  <si>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</si>
  <si>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</si>
  <si>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</si>
  <si>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</si>
  <si>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</si>
  <si>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</si>
  <si>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</si>
  <si>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</si>
  <si>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</si>
  <si>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</si>
  <si>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</si>
  <si>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</si>
  <si>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</si>
  <si>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</si>
  <si>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</si>
  <si>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</si>
  <si>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</si>
  <si>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</si>
  <si>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</si>
  <si>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</si>
  <si>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</si>
  <si>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</si>
  <si>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</si>
  <si>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</si>
  <si>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</si>
  <si>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</si>
  <si>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</si>
  <si>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</si>
  <si>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</si>
  <si>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</si>
  <si>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</si>
  <si>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</si>
  <si>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</si>
  <si>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</si>
  <si>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</si>
  <si>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</si>
  <si>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</si>
  <si>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</si>
  <si>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</si>
  <si>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</si>
  <si>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</si>
  <si>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</si>
  <si>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</si>
  <si>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</si>
  <si>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</si>
  <si>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</si>
  <si>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</si>
  <si>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</si>
  <si>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</si>
  <si>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</si>
  <si>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</si>
  <si>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</si>
  <si>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</si>
  <si>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</si>
  <si>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</si>
  <si>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</si>
  <si>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</si>
  <si>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</si>
  <si>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</si>
  <si>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</si>
  <si>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</si>
  <si>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</si>
  <si>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</si>
  <si>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</si>
  <si>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</si>
  <si>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</si>
  <si>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</si>
  <si>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</si>
  <si>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</si>
  <si>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</si>
  <si>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</si>
  <si>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</si>
  <si>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</si>
  <si>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</si>
  <si>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</si>
  <si>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</si>
  <si>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</si>
  <si>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</si>
  <si>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</si>
  <si>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</si>
  <si>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</si>
  <si>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</si>
  <si>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</si>
  <si>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</si>
  <si>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</si>
  <si>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</si>
  <si>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</si>
  <si>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</si>
  <si>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</si>
  <si>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</si>
  <si>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</si>
  <si>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</si>
  <si>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</si>
  <si>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</si>
  <si>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</si>
  <si>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</si>
  <si>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</si>
  <si>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</si>
  <si>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</si>
  <si>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</si>
  <si>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</si>
  <si>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</si>
  <si>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</si>
  <si>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</si>
  <si>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</si>
  <si>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</si>
  <si>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</si>
  <si>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</si>
  <si>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</si>
  <si>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</si>
  <si>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</si>
  <si>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</si>
  <si>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</si>
  <si>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</si>
  <si>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</si>
  <si>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</si>
  <si>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</si>
  <si>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</si>
  <si>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</si>
  <si>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</si>
  <si>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</si>
  <si>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</si>
  <si>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</si>
  <si>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</si>
  <si>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</si>
  <si>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</si>
  <si>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</si>
  <si>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</si>
  <si>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</si>
  <si>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</si>
  <si>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</si>
  <si>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</si>
  <si>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</si>
  <si>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</si>
  <si>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</si>
  <si>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</si>
  <si>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</si>
  <si>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</si>
  <si>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</si>
  <si>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</si>
  <si>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</si>
  <si>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</si>
  <si>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</si>
  <si>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</si>
  <si>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</si>
  <si>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</si>
  <si>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</si>
  <si>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</si>
  <si>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</si>
  <si>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</si>
  <si>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</si>
  <si>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</si>
  <si>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</si>
  <si>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</si>
  <si>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</si>
  <si>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</si>
  <si>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</si>
  <si>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</si>
  <si>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</si>
  <si>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</si>
  <si>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</si>
  <si>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</si>
  <si>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</si>
  <si>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</si>
  <si>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</si>
  <si>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</si>
  <si>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</si>
  <si>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</si>
  <si>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</si>
  <si>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</si>
  <si>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</si>
  <si>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</si>
  <si>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</si>
  <si>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</si>
  <si>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</si>
  <si>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</si>
  <si>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</si>
  <si>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</si>
  <si>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</si>
  <si>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</si>
  <si>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</si>
  <si>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</si>
  <si>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</si>
  <si>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</si>
  <si>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</si>
  <si>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</si>
  <si>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</si>
  <si>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</si>
  <si>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</si>
  <si>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</si>
  <si>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</si>
  <si>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</si>
  <si>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</si>
  <si>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</si>
  <si>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</si>
  <si>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</si>
  <si>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</si>
  <si>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</si>
  <si>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</si>
  <si>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</si>
  <si>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</si>
  <si>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</si>
  <si>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</si>
  <si>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</si>
  <si>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</si>
  <si>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</si>
  <si>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</si>
  <si>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</si>
  <si>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</si>
  <si>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</si>
  <si>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</si>
  <si>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</si>
  <si>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</si>
  <si>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</si>
  <si>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</si>
  <si>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</si>
  <si>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</si>
  <si>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</si>
  <si>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</si>
  <si>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</si>
  <si>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</si>
  <si>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</si>
  <si>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</si>
  <si>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</si>
  <si>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</si>
  <si>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</si>
  <si>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</si>
  <si>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</si>
  <si>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</si>
  <si>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</si>
  <si>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</si>
  <si>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</si>
  <si>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</si>
  <si>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</si>
  <si>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</si>
  <si>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</si>
  <si>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</si>
  <si>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</si>
  <si>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</si>
  <si>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</si>
  <si>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</si>
  <si>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</si>
  <si>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</si>
  <si>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</si>
  <si>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</si>
  <si>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</si>
  <si>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</si>
  <si>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</si>
  <si>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</si>
  <si>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</si>
  <si>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</si>
  <si>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</si>
  <si>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</si>
  <si>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</si>
  <si>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</si>
  <si>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</si>
  <si>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</si>
  <si>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</si>
  <si>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</si>
  <si>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</si>
  <si>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</si>
  <si>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</si>
  <si>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</si>
  <si>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</si>
  <si>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</si>
  <si>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</si>
  <si>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</si>
  <si>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</si>
  <si>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</si>
  <si>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</si>
  <si>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</si>
  <si>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</si>
  <si>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</si>
  <si>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</si>
  <si>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</si>
  <si>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</si>
  <si>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</si>
  <si>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</si>
  <si>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</si>
  <si>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</si>
  <si>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</si>
  <si>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</si>
  <si>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</si>
  <si>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</si>
  <si>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</si>
  <si>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</si>
  <si>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</si>
  <si>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</si>
  <si>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</si>
  <si>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</si>
  <si>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</si>
  <si>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</si>
  <si>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</si>
  <si>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</si>
  <si>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</si>
  <si>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</si>
  <si>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</si>
  <si>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</si>
  <si>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</si>
  <si>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</si>
  <si>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</si>
  <si>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</si>
  <si>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</si>
  <si>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</si>
  <si>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</si>
  <si>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</si>
  <si>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</si>
  <si>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</si>
  <si>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</si>
  <si>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</si>
  <si>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</si>
  <si>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</si>
  <si>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</si>
  <si>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</si>
  <si>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</si>
  <si>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</si>
  <si>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</si>
  <si>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</si>
  <si>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</si>
  <si>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</si>
  <si>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</si>
  <si>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</si>
  <si>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</si>
  <si>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</si>
  <si>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</si>
  <si>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</si>
  <si>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</si>
  <si>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</si>
  <si>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</si>
  <si>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</si>
  <si>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</si>
  <si>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</si>
  <si>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</si>
  <si>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</si>
  <si>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</si>
  <si>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</si>
  <si>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</si>
  <si>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</si>
  <si>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</si>
  <si>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</si>
  <si>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</si>
  <si>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</si>
  <si>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</si>
  <si>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</si>
  <si>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</si>
  <si>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</si>
  <si>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</si>
  <si>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</si>
  <si>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</si>
  <si>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</si>
  <si>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</si>
  <si>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</si>
  <si>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</si>
  <si>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</si>
  <si>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</si>
  <si>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</si>
  <si>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</si>
  <si>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</si>
  <si>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</si>
  <si>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</si>
  <si>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</si>
  <si>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</si>
  <si>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</si>
  <si>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</si>
  <si>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</si>
  <si>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</si>
  <si>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</si>
  <si>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</si>
  <si>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</si>
  <si>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</si>
  <si>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</si>
  <si>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</si>
  <si>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</si>
  <si>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</si>
  <si>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</si>
  <si>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</si>
  <si>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</si>
  <si>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</si>
  <si>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</si>
  <si>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</si>
  <si>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</si>
  <si>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</si>
  <si>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</si>
  <si>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</si>
  <si>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</si>
  <si>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</si>
  <si>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</si>
  <si>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</si>
  <si>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</si>
  <si>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</si>
  <si>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</si>
  <si>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</si>
  <si>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</si>
  <si>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</si>
  <si>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</si>
  <si>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</si>
  <si>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</si>
  <si>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</si>
  <si>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</si>
  <si>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</si>
  <si>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</si>
  <si>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</si>
  <si>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</si>
  <si>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</si>
  <si>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</si>
  <si>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</si>
  <si>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</si>
  <si>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</si>
  <si>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</si>
  <si>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</si>
  <si>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</si>
  <si>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</si>
  <si>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</si>
  <si>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</si>
  <si>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</si>
  <si>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</si>
  <si>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</si>
  <si>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</si>
  <si>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</si>
  <si>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</si>
  <si>
    <t xml:space="preserve">Checkpoint 45 - TL2 Defensive Micro-Refinement Profile Matrix</t>
  </si>
  <si>
    <t xml:space="preserve">Diagnostic profiles only. Preserve family identity; review dominance and irrelevance rather than forcing equal results.</t>
  </si>
  <si>
    <t xml:space="preserve">Preferred Range</t>
  </si>
  <si>
    <t xml:space="preserve">Pursuit Combat</t>
  </si>
  <si>
    <t xml:space="preserve">Escape Control</t>
  </si>
  <si>
    <t xml:space="preserve">Design thesis</t>
  </si>
  <si>
    <t xml:space="preserve">tl2-r45-null-control</t>
  </si>
  <si>
    <t xml:space="preserve">10 / 45</t>
  </si>
  <si>
    <t xml:space="preserve">Exact TL1 combat vector under a TL2 diagnostic identifier; verifies that routing and labels create no hidden advantage.</t>
  </si>
  <si>
    <t xml:space="preserve">tl2-r45-identity-control</t>
  </si>
  <si>
    <t xml:space="preserve">Checkpoint 42 Identity Control</t>
  </si>
  <si>
    <t xml:space="preserve">retained control</t>
  </si>
  <si>
    <t xml:space="preserve">Retains the original identity-preserving package as an upper comparison control without promoting any value.</t>
  </si>
  <si>
    <t xml:space="preserve">tl2-r45-shield-tempered-control</t>
  </si>
  <si>
    <t xml:space="preserve">Checkpoint 44 Shield-Tempered Control</t>
  </si>
  <si>
    <t xml:space="preserve">Retains the best prior no-shield-increment probe so new micro-refinements can be compared to accepted attribution evidence.</t>
  </si>
  <si>
    <t xml:space="preserve">tl2-r45-structure-tempered-control</t>
  </si>
  <si>
    <t xml:space="preserve">Checkpoint 44 Structure-Tempered Control</t>
  </si>
  <si>
    <t xml:space="preserve">Retains the prior no-structure-increment probe so the cost of the TL2 shield step remains visible.</t>
  </si>
  <si>
    <t xml:space="preserve">tl2-r45-defense-neutral</t>
  </si>
  <si>
    <t xml:space="preserve">Defense-Neutral Anchor</t>
  </si>
  <si>
    <t xml:space="preserve">micro refinement probe</t>
  </si>
  <si>
    <t xml:space="preserve">Uses moderated fire control, full propulsion, power, weapons, and missile guidance while retaining TL1 Hull, Armor Integrity, and Shield Capacity.</t>
  </si>
  <si>
    <t xml:space="preserve">tl2-r45-hull-step</t>
  </si>
  <si>
    <t xml:space="preserve">Hull-Step Candidate</t>
  </si>
  <si>
    <t xml:space="preserve">13 / 4</t>
  </si>
  <si>
    <t xml:space="preserve">Adds one Hull point to the defense-neutral anchor while retaining TL1 Armor Integrity and Shield Capacity.</t>
  </si>
  <si>
    <t xml:space="preserve">tl2-r45-armor-integrity-step</t>
  </si>
  <si>
    <t xml:space="preserve">Armor-Integrity-Step Candidate</t>
  </si>
  <si>
    <t xml:space="preserve">12 / 5</t>
  </si>
  <si>
    <t xml:space="preserve">Adds one Armor Integrity point to the defense-neutral anchor while retaining TL1 Hull and Shield Capacity.</t>
  </si>
  <si>
    <t xml:space="preserve">tl2-r45-hull-step-conservative-direct-fire</t>
  </si>
  <si>
    <t xml:space="preserve">Hull Step + Conservative Direct Fire</t>
  </si>
  <si>
    <t xml:space="preserve">4 / 0 / 0 / 23 / 4</t>
  </si>
  <si>
    <t xml:space="preserve">3 / 1 / 1 / 28 / 5</t>
  </si>
  <si>
    <t xml:space="preserve">Retains the one-Hull structural step but reduces the direct-fire accuracy increment from five to three percentage points for both direct-fire families.</t>
  </si>
  <si>
    <t xml:space="preserve">tl2-r45-armor-step-conservative-direct-fire</t>
  </si>
  <si>
    <t xml:space="preserve">Armor Step + Conservative Direct Fire</t>
  </si>
  <si>
    <t xml:space="preserve">Retains the one-Armor-Integrity structural step but reduces the direct-fire accuracy increment from five to three percentage points for both direct-fire families.</t>
  </si>
  <si>
    <t xml:space="preserve">Checkpoint 45 - TL2 Defensive Micro-Refinement and Choice Viability</t>
  </si>
  <si>
    <t xml:space="preserve">Philosophy</t>
  </si>
  <si>
    <t xml:space="preserve">Reasonable feel</t>
  </si>
  <si>
    <t xml:space="preserve">Meaningful asymmetry, not exact equality</t>
  </si>
  <si>
    <t xml:space="preserve">Era-specific leaders allowed</t>
  </si>
  <si>
    <t xml:space="preserve">all review outputs</t>
  </si>
  <si>
    <t xml:space="preserve">Preserve distinct choices</t>
  </si>
  <si>
    <t xml:space="preserve">Preserve family roles</t>
  </si>
  <si>
    <t xml:space="preserve">Kinetic, Energy, Missile remain in family</t>
  </si>
  <si>
    <t xml:space="preserve">At least two meaningful differences per pair</t>
  </si>
  <si>
    <t xml:space="preserve">technology-profiles.csv and gate</t>
  </si>
  <si>
    <t xml:space="preserve">Reject convergence</t>
  </si>
  <si>
    <t xml:space="preserve">Blocking structural gate</t>
  </si>
  <si>
    <t xml:space="preserve">Defense-neutral anchor</t>
  </si>
  <si>
    <t xml:space="preserve">Hull 12; AI 4; Shield 2</t>
  </si>
  <si>
    <t xml:space="preserve">Target +12; PDS 46; full movement/power/guidance</t>
  </si>
  <si>
    <t xml:space="preserve">combat-outcome-review.csv</t>
  </si>
  <si>
    <t xml:space="preserve">Lower-bound package probe</t>
  </si>
  <si>
    <t xml:space="preserve">One-Hull step</t>
  </si>
  <si>
    <t xml:space="preserve">Hull 13; AI 4; Shield 2</t>
  </si>
  <si>
    <t xml:space="preserve">Single structural increment</t>
  </si>
  <si>
    <t xml:space="preserve">Isolate Hull feel</t>
  </si>
  <si>
    <t xml:space="preserve">One-AI step</t>
  </si>
  <si>
    <t xml:space="preserve">Hull 12; AI 5; Shield 2</t>
  </si>
  <si>
    <t xml:space="preserve">Isolate Armor Integrity feel</t>
  </si>
  <si>
    <t xml:space="preserve">Conservative direct fire</t>
  </si>
  <si>
    <t xml:space="preserve">Kinetic +3; Energy +3 accuracy over TL1</t>
  </si>
  <si>
    <t xml:space="preserve">Keep five-point relative gap and all family distinctions</t>
  </si>
  <si>
    <t xml:space="preserve">same-family-progression.csv</t>
  </si>
  <si>
    <t xml:space="preserve">Reduce offense without convergence</t>
  </si>
  <si>
    <t xml:space="preserve">Reporting</t>
  </si>
  <si>
    <t xml:space="preserve">Headline aggregate</t>
  </si>
  <si>
    <t xml:space="preserve">Pooled trial outcomes</t>
  </si>
  <si>
    <t xml:space="preserve">Always pair with decisive coverage</t>
  </si>
  <si>
    <t xml:space="preserve">Prevent low-resolution inflation</t>
  </si>
  <si>
    <t xml:space="preserve">Separate lanes</t>
  </si>
  <si>
    <t xml:space="preserve">Preferred; TL2 pursuit; TL2 escape</t>
  </si>
  <si>
    <t xml:space="preserve">Escape excluded from combat aggregate</t>
  </si>
  <si>
    <t xml:space="preserve">movement-outcome-coverage.csv</t>
  </si>
  <si>
    <t xml:space="preserve">Distinguish combat from withdrawal</t>
  </si>
  <si>
    <t xml:space="preserve">Choice</t>
  </si>
  <si>
    <t xml:space="preserve">Mutual-envelope review</t>
  </si>
  <si>
    <t xml:space="preserve">Both weapons must threaten at initial range</t>
  </si>
  <si>
    <t xml:space="preserve">&gt;75% dominance; &lt;25% irrelevance are warnings</t>
  </si>
  <si>
    <t xml:space="preserve">family-choice-viability.csv</t>
  </si>
  <si>
    <t xml:space="preserve">Detect compulsory choice</t>
  </si>
  <si>
    <t xml:space="preserve">Same-family review</t>
  </si>
  <si>
    <t xml:space="preserve">K/K, E/E, M/M independently</t>
  </si>
  <si>
    <t xml:space="preserve">&gt;80% is a warning, not automatic rejection</t>
  </si>
  <si>
    <t xml:space="preserve">Allow era trends without runaway scaling</t>
  </si>
  <si>
    <t xml:space="preserve">No automatic selection</t>
  </si>
  <si>
    <t xml:space="preserve">No exact 60% requirement</t>
  </si>
  <si>
    <t xml:space="preserve">Convergent feel, coverage, pacing, identity</t>
  </si>
  <si>
    <t xml:space="preserve">summary and review CSVs</t>
  </si>
  <si>
    <t xml:space="preserve">Preserve TL3 space</t>
  </si>
  <si>
    <t xml:space="preserve">Not promoted</t>
  </si>
  <si>
    <t xml:space="preserve">Study/catalog/reporting only</t>
  </si>
  <si>
    <t xml:space="preserve">Refine before AUX performance work</t>
  </si>
  <si>
    <t xml:space="preserve">Paired Range 2-5</t>
  </si>
  <si>
    <t xml:space="preserve">Paired ordinary movement</t>
  </si>
  <si>
    <t xml:space="preserve">Pursuit combat</t>
  </si>
  <si>
    <t xml:space="preserve">TL2 profile is pursuer</t>
  </si>
  <si>
    <t xml:space="preserve">Escape control</t>
  </si>
  <si>
    <t xml:space="preserve">TL2 profile is withdrawer</t>
  </si>
  <si>
    <t xml:space="preserve">Same-TL choice</t>
  </si>
  <si>
    <t xml:space="preserve">Selected identity grids</t>
  </si>
  <si>
    <t xml:space="preserve">New Checkpoint 45 study</t>
  </si>
  <si>
    <t xml:space="preserve">Must equal 1,188</t>
  </si>
  <si>
    <t xml:space="preserve">Accepted Checkpoint 44 corpus</t>
  </si>
  <si>
    <t xml:space="preserve">Must equal 4,302</t>
  </si>
  <si>
    <t xml:space="preserve">Reporting and Interpretation</t>
  </si>
  <si>
    <t xml:space="preserve">Signal</t>
  </si>
  <si>
    <t xml:space="preserve">Headline calculation</t>
  </si>
  <si>
    <t xml:space="preserve">Coverage rule</t>
  </si>
  <si>
    <t xml:space="preserve">Blocking?</t>
  </si>
  <si>
    <t xml:space="preserve">Acceptable asymmetry</t>
  </si>
  <si>
    <t xml:space="preserve">Unhealthy pattern</t>
  </si>
  <si>
    <t xml:space="preserve">Cross-TL package</t>
  </si>
  <si>
    <t xml:space="preserve">Pooled profile wins / pooled decisive trials</t>
  </si>
  <si>
    <t xml:space="preserve">&lt;50% insufficient; &lt;80% review</t>
  </si>
  <si>
    <t xml:space="preserve">No exact band</t>
  </si>
  <si>
    <t xml:space="preserve">Noticeable TL2 advantage</t>
  </si>
  <si>
    <t xml:space="preserve">Broad package overmatch</t>
  </si>
  <si>
    <t xml:space="preserve">Separate pooled result</t>
  </si>
  <si>
    <t xml:space="preserve">&gt;=80% ordinary combat coverage</t>
  </si>
  <si>
    <t xml:space="preserve">Coverage only</t>
  </si>
  <si>
    <t xml:space="preserve">Envelope-specific strengths</t>
  </si>
  <si>
    <t xml:space="preserve">One package wins everywhere</t>
  </si>
  <si>
    <t xml:space="preserve">TL2 Side A pursuer only</t>
  </si>
  <si>
    <t xml:space="preserve">&gt;=80% decisive coverage</t>
  </si>
  <si>
    <t xml:space="preserve">Propulsion has tactical value</t>
  </si>
  <si>
    <t xml:space="preserve">Pursuit lane never resolves</t>
  </si>
  <si>
    <t xml:space="preserve">Disengagement and resolution</t>
  </si>
  <si>
    <t xml:space="preserve">Reported separately</t>
  </si>
  <si>
    <t xml:space="preserve">Faster ship may escape</t>
  </si>
  <si>
    <t xml:space="preserve">Folded into combat percentage</t>
  </si>
  <si>
    <t xml:space="preserve">Same-family progression</t>
  </si>
  <si>
    <t xml:space="preserve">K/K, E/E, M/M separately</t>
  </si>
  <si>
    <t xml:space="preserve">&gt;=50% decisive for warning</t>
  </si>
  <si>
    <t xml:space="preserve">Era-specific family lead</t>
  </si>
  <si>
    <t xml:space="preserve">&gt;80% broad progression</t>
  </si>
  <si>
    <t xml:space="preserve">Cross-family choice</t>
  </si>
  <si>
    <t xml:space="preserve">Mutually legal fixed ranges</t>
  </si>
  <si>
    <t xml:space="preserve">Strong preferred matchup</t>
  </si>
  <si>
    <t xml:space="preserve">&gt;75% dominance or &lt;25% relevance</t>
  </si>
  <si>
    <t xml:space="preserve">Checkpoint 45 Design Decisions</t>
  </si>
  <si>
    <t xml:space="preserve">D-408</t>
  </si>
  <si>
    <t xml:space="preserve">Seek reasonable feel and meaningful choice rather than exact numerical equality.</t>
  </si>
  <si>
    <t xml:space="preserve">Checkpoint 45</t>
  </si>
  <si>
    <t xml:space="preserve">D-409</t>
  </si>
  <si>
    <t xml:space="preserve">Preserve family identity before balancing strength; do not converge characteristics to equalize results.</t>
  </si>
  <si>
    <t xml:space="preserve">D-410</t>
  </si>
  <si>
    <t xml:space="preserve">Allow era-specific Energy, Missile, or Kinetic leadership when alternatives remain credible.</t>
  </si>
  <si>
    <t xml:space="preserve">D-411</t>
  </si>
  <si>
    <t xml:space="preserve">Use family-consistent characteristics, costs, counters, limitations, and TL placement as balance knobs.</t>
  </si>
  <si>
    <t xml:space="preserve">D-412</t>
  </si>
  <si>
    <t xml:space="preserve">Temper defense first while retaining propulsion, power/logistics, guidance, and weapon roles absent contrary evidence.</t>
  </si>
  <si>
    <t xml:space="preserve">D-413</t>
  </si>
  <si>
    <t xml:space="preserve">Test separate one-Hull and one-Armor-Integrity increments.</t>
  </si>
  <si>
    <t xml:space="preserve">D-414</t>
  </si>
  <si>
    <t xml:space="preserve">Test smaller direct-fire accuracy growth while preserving Kinetic/Energy separation and identity.</t>
  </si>
  <si>
    <t xml:space="preserve">D-415</t>
  </si>
  <si>
    <t xml:space="preserve">Use pooled outcomes and decisive coverage as headline reporting.</t>
  </si>
  <si>
    <t xml:space="preserve">D-416</t>
  </si>
  <si>
    <t xml:space="preserve">Separate Preferred Range, valid pursuit combat, and escape controls.</t>
  </si>
  <si>
    <t xml:space="preserve">D-417</t>
  </si>
  <si>
    <t xml:space="preserve">Evaluate dominance only in mutually legal envelopes; retain reach stress separately.</t>
  </si>
  <si>
    <t xml:space="preserve">D-418</t>
  </si>
  <si>
    <t xml:space="preserve">Keep dominance and progression thresholds non-blocking and promote no profile automatically.</t>
  </si>
  <si>
    <t xml:space="preserve">Checkpoint 46 - TL2 Dynamic Weapon-Choice Profiles</t>
  </si>
  <si>
    <t xml:space="preserve">Two candidate-only profiles. The one-point structural distinction is isolated while weapon-family identity and range doctrines remain unchanged.</t>
  </si>
  <si>
    <t xml:space="preserve">Kinetic DAM / ACC / RNG</t>
  </si>
  <si>
    <t xml:space="preserve">Energy DAM / ACC / RNG</t>
  </si>
  <si>
    <t xml:space="preserve">Missile DAM / ACC / RNG</t>
  </si>
  <si>
    <t xml:space="preserve">Missile Guidance</t>
  </si>
  <si>
    <t xml:space="preserve">Kinetic Power</t>
  </si>
  <si>
    <t xml:space="preserve">Energy Power</t>
  </si>
  <si>
    <t xml:space="preserve">Missile Power</t>
  </si>
  <si>
    <t xml:space="preserve">micro_refinement_probe</t>
  </si>
  <si>
    <t xml:space="preserve">4 / 23 / 4</t>
  </si>
  <si>
    <t xml:space="preserve">3 / 28 / 5</t>
  </si>
  <si>
    <t xml:space="preserve">5 / 0 / 7</t>
  </si>
  <si>
    <t xml:space="preserve">dynamic-choice-confirmation-candidate-not-promoted</t>
  </si>
  <si>
    <t xml:space="preserve">Checkpoint 46 - Dynamic Weapon-Choice Confirmation</t>
  </si>
  <si>
    <t xml:space="preserve">Identity-preserving dynamic evidence. Range-defined advantages are acceptable; broad compulsory choice is the review concern.</t>
  </si>
  <si>
    <t xml:space="preserve">Leading reference</t>
  </si>
  <si>
    <t xml:space="preserve">Armor Integrity +1; conservative direct fire</t>
  </si>
  <si>
    <t xml:space="preserve">all reports</t>
  </si>
  <si>
    <t xml:space="preserve">Potential provisional TL2 anchor</t>
  </si>
  <si>
    <t xml:space="preserve">Structural control</t>
  </si>
  <si>
    <t xml:space="preserve">Hull +1; otherwise identical</t>
  </si>
  <si>
    <t xml:space="preserve">Test structural identity sensitivity</t>
  </si>
  <si>
    <t xml:space="preserve">Families</t>
  </si>
  <si>
    <t xml:space="preserve">Pair coverage</t>
  </si>
  <si>
    <t xml:space="preserve">Kinetic/Energy; Kinetic/Missile; Energy/Missile</t>
  </si>
  <si>
    <t xml:space="preserve">3 unordered pairs</t>
  </si>
  <si>
    <t xml:space="preserve">pairwise-choice-summary.csv</t>
  </si>
  <si>
    <t xml:space="preserve">Confirm meaningful choices</t>
  </si>
  <si>
    <t xml:space="preserve">Orientation</t>
  </si>
  <si>
    <t xml:space="preserve">Both side orders</t>
  </si>
  <si>
    <t xml:space="preserve">Every pair reversed</t>
  </si>
  <si>
    <t xml:space="preserve">2 orientations with paired stream</t>
  </si>
  <si>
    <t xml:space="preserve">orientation-review.csv</t>
  </si>
  <si>
    <t xml:space="preserve">Detect side/order bias</t>
  </si>
  <si>
    <t xml:space="preserve">Blocking coverage</t>
  </si>
  <si>
    <t xml:space="preserve">Dynamic</t>
  </si>
  <si>
    <t xml:space="preserve">Starting ranges</t>
  </si>
  <si>
    <t xml:space="preserve">1 through 6</t>
  </si>
  <si>
    <t xml:space="preserve">Family-specific Preferred Range</t>
  </si>
  <si>
    <t xml:space="preserve">starting-range-choice-review.csv</t>
  </si>
  <si>
    <t xml:space="preserve">Test close, middle, standoff entry</t>
  </si>
  <si>
    <t xml:space="preserve">Mutual envelope</t>
  </si>
  <si>
    <t xml:space="preserve">Ranges 2 through 4</t>
  </si>
  <si>
    <t xml:space="preserve">HoldRange2/3/4</t>
  </si>
  <si>
    <t xml:space="preserve">fixed-mutual-control.csv</t>
  </si>
  <si>
    <t xml:space="preserve">Retain close-combat diagnostic</t>
  </si>
  <si>
    <t xml:space="preserve">Headline</t>
  </si>
  <si>
    <t xml:space="preserve">Pooled outcomes + decisive coverage</t>
  </si>
  <si>
    <t xml:space="preserve">No equal-weight inflation</t>
  </si>
  <si>
    <t xml:space="preserve">all primary CSVs</t>
  </si>
  <si>
    <t xml:space="preserve">Protect interpretation</t>
  </si>
  <si>
    <t xml:space="preserve">Parity</t>
  </si>
  <si>
    <t xml:space="preserve">Not required</t>
  </si>
  <si>
    <t xml:space="preserve">Range/era advantages accepted</t>
  </si>
  <si>
    <t xml:space="preserve">family-role-expression.csv</t>
  </si>
  <si>
    <t xml:space="preserve">Preserve family uniqueness</t>
  </si>
  <si>
    <t xml:space="preserve">Non-blocking</t>
  </si>
  <si>
    <t xml:space="preserve">Warning</t>
  </si>
  <si>
    <t xml:space="preserve">Broad dominance</t>
  </si>
  <si>
    <t xml:space="preserve">&gt;75% pooled and dominant at &gt;=4 starts</t>
  </si>
  <si>
    <t xml:space="preserve">Minimum 50% decisive coverage</t>
  </si>
  <si>
    <t xml:space="preserve">Review compulsory choice</t>
  </si>
  <si>
    <t xml:space="preserve">Irrelevance</t>
  </si>
  <si>
    <t xml:space="preserve">No start with &gt;=25% share</t>
  </si>
  <si>
    <t xml:space="preserve">Review missing tactical role</t>
  </si>
  <si>
    <t xml:space="preserve">Complete evidence + judgment required</t>
  </si>
  <si>
    <t xml:space="preserve">profile-choice-overview.csv</t>
  </si>
  <si>
    <t xml:space="preserve">Protect TL3 design space</t>
  </si>
  <si>
    <t xml:space="preserve">Pairs</t>
  </si>
  <si>
    <t xml:space="preserve">Ranges / starts</t>
  </si>
  <si>
    <t xml:space="preserve">Dynamic Preferred Range</t>
  </si>
  <si>
    <t xml:space="preserve">Starting ranges 1-6</t>
  </si>
  <si>
    <t xml:space="preserve">Fixed mutual controls</t>
  </si>
  <si>
    <t xml:space="preserve">Ranges 2-4</t>
  </si>
  <si>
    <t xml:space="preserve">Checkpoint 46 primary total</t>
  </si>
  <si>
    <t xml:space="preserve">108 variants</t>
  </si>
  <si>
    <t xml:space="preserve">Retained prior trial variants</t>
  </si>
  <si>
    <t xml:space="preserve">Accepted through 45a</t>
  </si>
  <si>
    <t xml:space="preserve">Full Checkpoint 46 trial variants</t>
  </si>
  <si>
    <t xml:space="preserve">4,410 variants</t>
  </si>
  <si>
    <t xml:space="preserve">Trials at 10,000 per variant</t>
  </si>
  <si>
    <t xml:space="preserve">44.10 million trials</t>
  </si>
  <si>
    <t xml:space="preserve">Required Outputs</t>
  </si>
  <si>
    <t xml:space="preserve">Starting-range choice</t>
  </si>
  <si>
    <t xml:space="preserve">Pooled pair at each start</t>
  </si>
  <si>
    <t xml:space="preserve">Decisive coverage + share</t>
  </si>
  <si>
    <t xml:space="preserve">Range classification</t>
  </si>
  <si>
    <t xml:space="preserve">Range-defined credibility</t>
  </si>
  <si>
    <t xml:space="preserve">Required</t>
  </si>
  <si>
    <t xml:space="preserve">Pairwise summary</t>
  </si>
  <si>
    <t xml:space="preserve">All starts pooled</t>
  </si>
  <si>
    <t xml:space="preserve">Dominance / irrelevance</t>
  </si>
  <si>
    <t xml:space="preserve">Choice classification</t>
  </si>
  <si>
    <t xml:space="preserve">Identify compulsory risk</t>
  </si>
  <si>
    <t xml:space="preserve">Family role</t>
  </si>
  <si>
    <t xml:space="preserve">Close / middle / standoff / all</t>
  </si>
  <si>
    <t xml:space="preserve">Family pooled share</t>
  </si>
  <si>
    <t xml:space="preserve">Role expression</t>
  </si>
  <si>
    <t xml:space="preserve">Confirm tactical identity</t>
  </si>
  <si>
    <t xml:space="preserve">Family as Side A / Side B</t>
  </si>
  <si>
    <t xml:space="preserve">Absolute difference</t>
  </si>
  <si>
    <t xml:space="preserve">Orientation warning</t>
  </si>
  <si>
    <t xml:space="preserve">Detect order bias</t>
  </si>
  <si>
    <t xml:space="preserve">Fixed control</t>
  </si>
  <si>
    <t xml:space="preserve">Mutual-envelope share</t>
  </si>
  <si>
    <t xml:space="preserve">Close-combat diagnostic</t>
  </si>
  <si>
    <t xml:space="preserve">Retain context</t>
  </si>
  <si>
    <t xml:space="preserve">Profile overview</t>
  </si>
  <si>
    <t xml:space="preserve">Leading vs control</t>
  </si>
  <si>
    <t xml:space="preserve">Warning counts</t>
  </si>
  <si>
    <t xml:space="preserve">Candidate status</t>
  </si>
  <si>
    <t xml:space="preserve">No auto promotion</t>
  </si>
  <si>
    <t xml:space="preserve">Checkpoint 46 Design Decisions</t>
  </si>
  <si>
    <t xml:space="preserve">Checkpoint 46</t>
  </si>
</sst>
</file>

<file path=xl/styles.xml><?xml version="1.0" encoding="utf-8"?>
<styleSheet xmlns="http://schemas.openxmlformats.org/spreadsheetml/2006/main">
  <numFmts count="3">
    <numFmt numFmtId="164" formatCode="General"/>
    <numFmt numFmtId="165" formatCode="0"/>
    <numFmt numFmtId="166" formatCode="0.0%"/>
  </numFmts>
  <fonts count="30">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s>
  <fills count="13">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1F2"/>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s>
  <borders count="5">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5" fontId="13" fillId="6" borderId="2" xfId="0" applyFont="true" applyBorder="true" applyAlignment="true" applyProtection="false">
      <alignment horizontal="center" vertical="top" textRotation="0" wrapText="true" indent="0" shrinkToFit="false"/>
      <protection locked="true" hidden="false"/>
    </xf>
    <xf numFmtId="164" fontId="13"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5" fontId="13" fillId="0"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21" fillId="7" borderId="0" xfId="0" applyFont="true" applyBorder="true" applyAlignment="true" applyProtection="false">
      <alignment horizontal="general" vertical="center" textRotation="0" wrapText="true" indent="0" shrinkToFit="false"/>
      <protection locked="true" hidden="false"/>
    </xf>
    <xf numFmtId="164" fontId="22" fillId="8" borderId="0"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9" fillId="8" borderId="0" xfId="0" applyFont="true" applyBorder="true" applyAlignment="true" applyProtection="false">
      <alignment horizontal="general" vertical="center" textRotation="0" wrapText="true" indent="0" shrinkToFit="false"/>
      <protection locked="true" hidden="false"/>
    </xf>
    <xf numFmtId="164" fontId="20" fillId="1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9" fillId="8" borderId="0" xfId="0" applyFont="true" applyBorder="false" applyAlignment="true" applyProtection="false">
      <alignment horizontal="general" vertical="center" textRotation="0" wrapText="true" indent="0" shrinkToFit="false"/>
      <protection locked="true" hidden="false"/>
    </xf>
    <xf numFmtId="164" fontId="24" fillId="8" borderId="3" xfId="0" applyFont="true" applyBorder="true" applyAlignment="true" applyProtection="false">
      <alignment horizontal="general" vertical="center" textRotation="0" wrapText="false" indent="0" shrinkToFit="false"/>
      <protection locked="true" hidden="false"/>
    </xf>
    <xf numFmtId="164" fontId="11" fillId="10" borderId="3"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25" fillId="8" borderId="3" xfId="0" applyFont="true" applyBorder="true" applyAlignment="true" applyProtection="false">
      <alignment horizontal="general" vertical="center" textRotation="0" wrapText="false" indent="0" shrinkToFit="false"/>
      <protection locked="true" hidden="false"/>
    </xf>
    <xf numFmtId="166" fontId="26" fillId="0" borderId="3" xfId="0" applyFont="true" applyBorder="true" applyAlignment="true" applyProtection="false">
      <alignment horizontal="general" vertical="center" textRotation="0" wrapText="true" indent="0" shrinkToFit="false"/>
      <protection locked="true" hidden="false"/>
    </xf>
    <xf numFmtId="164" fontId="27" fillId="11" borderId="3" xfId="0" applyFont="true" applyBorder="true" applyAlignment="true" applyProtection="false">
      <alignment horizontal="general" vertical="center" textRotation="0" wrapText="true" indent="0" shrinkToFit="false"/>
      <protection locked="true" hidden="false"/>
    </xf>
    <xf numFmtId="166" fontId="28" fillId="11" borderId="3" xfId="0" applyFont="true" applyBorder="true" applyAlignment="true" applyProtection="false">
      <alignment horizontal="general" vertical="center" textRotation="0" wrapText="true" indent="0" shrinkToFit="false"/>
      <protection locked="true" hidden="false"/>
    </xf>
    <xf numFmtId="164" fontId="29" fillId="0" borderId="3"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6" fontId="26" fillId="4" borderId="3" xfId="0" applyFont="true" applyBorder="true" applyAlignment="true" applyProtection="false">
      <alignment horizontal="general" vertical="center" textRotation="0" wrapText="true" indent="0" shrinkToFit="false"/>
      <protection locked="true" hidden="false"/>
    </xf>
    <xf numFmtId="164" fontId="8" fillId="12" borderId="3" xfId="0" applyFont="true" applyBorder="true" applyAlignment="true" applyProtection="false">
      <alignment horizontal="general" vertical="center" textRotation="0" wrapText="true" indent="0" shrinkToFit="false"/>
      <protection locked="true" hidden="false"/>
    </xf>
    <xf numFmtId="166" fontId="26" fillId="12"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4" fillId="8" borderId="4" xfId="0" applyFont="true" applyBorder="true" applyAlignment="true" applyProtection="false">
      <alignment horizontal="left"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true" indent="0" shrinkToFit="false"/>
      <protection locked="true" hidden="false"/>
    </xf>
    <xf numFmtId="164" fontId="27" fillId="11" borderId="3" xfId="0" applyFont="true" applyBorder="true" applyAlignment="true" applyProtection="false">
      <alignment horizontal="left" vertical="center" textRotation="0" wrapText="true" indent="0" shrinkToFit="false"/>
      <protection locked="true" hidden="false"/>
    </xf>
    <xf numFmtId="164" fontId="27" fillId="11"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24" fillId="8" borderId="4" xfId="0" applyFont="true" applyBorder="true" applyAlignment="true" applyProtection="false">
      <alignment horizontal="general" vertical="center" textRotation="0" wrapText="false" indent="0" shrinkToFit="false"/>
      <protection locked="true" hidden="false"/>
    </xf>
    <xf numFmtId="164" fontId="25" fillId="8" borderId="4"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F7F9FC"/>
      <rgbColor rgb="FFE2F0D9"/>
      <rgbColor rgb="FFE4DFEC"/>
      <rgbColor rgb="FF99CCFF"/>
      <rgbColor rgb="FFFF99CC"/>
      <rgbColor rgb="FFCC99FF"/>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33.xml.rels><?xml version="1.0" encoding="UTF-8"?>
<Relationships xmlns="http://schemas.openxmlformats.org/package/2006/relationships"><Relationship Id="rId1" Type="http://schemas.openxmlformats.org/officeDocument/2006/relationships/drawing" Target="../drawings/drawing19.xml"/>
</Relationships>
</file>

<file path=xl/worksheets/_rels/sheet34.xml.rels><?xml version="1.0" encoding="UTF-8"?>
<Relationships xmlns="http://schemas.openxmlformats.org/package/2006/relationships"><Relationship Id="rId1" Type="http://schemas.openxmlformats.org/officeDocument/2006/relationships/drawing" Target="../drawings/drawing20.xml"/>
</Relationships>
</file>

<file path=xl/worksheets/_rels/sheet35.xml.rels><?xml version="1.0" encoding="UTF-8"?>
<Relationships xmlns="http://schemas.openxmlformats.org/package/2006/relationships"><Relationship Id="rId1" Type="http://schemas.openxmlformats.org/officeDocument/2006/relationships/drawing" Target="../drawings/drawing21.xml"/>
</Relationships>
</file>

<file path=xl/worksheets/_rels/sheet36.xml.rels><?xml version="1.0" encoding="UTF-8"?>
<Relationships xmlns="http://schemas.openxmlformats.org/package/2006/relationships"><Relationship Id="rId1" Type="http://schemas.openxmlformats.org/officeDocument/2006/relationships/drawing" Target="../drawings/drawing22.xml"/>
</Relationships>
</file>

<file path=xl/worksheets/_rels/sheet37.xml.rels><?xml version="1.0" encoding="UTF-8"?>
<Relationships xmlns="http://schemas.openxmlformats.org/package/2006/relationships"><Relationship Id="rId1" Type="http://schemas.openxmlformats.org/officeDocument/2006/relationships/drawing" Target="../drawings/drawing23.xml"/>
</Relationships>
</file>

<file path=xl/worksheets/_rels/sheet39.xml.rels><?xml version="1.0" encoding="UTF-8"?>
<Relationships xmlns="http://schemas.openxmlformats.org/package/2006/relationships"><Relationship Id="rId1" Type="http://schemas.openxmlformats.org/officeDocument/2006/relationships/drawing" Target="../drawings/drawing24.xml"/>
</Relationships>
</file>

<file path=xl/worksheets/_rels/sheet41.xml.rels><?xml version="1.0" encoding="UTF-8"?>
<Relationships xmlns="http://schemas.openxmlformats.org/package/2006/relationships"><Relationship Id="rId1" Type="http://schemas.openxmlformats.org/officeDocument/2006/relationships/drawing" Target="../drawings/drawing2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4" customFormat="false" ht="45" hidden="false" customHeight="true" outlineLevel="0" collapsed="false">
      <c r="A4" s="4" t="s">
        <v>2</v>
      </c>
      <c r="B4" s="5" t="s">
        <v>3</v>
      </c>
      <c r="C4" s="5"/>
      <c r="D4" s="5"/>
      <c r="E4" s="5"/>
      <c r="F4" s="5"/>
      <c r="G4" s="5"/>
      <c r="H4" s="5"/>
    </row>
    <row r="5" customFormat="false" ht="37.5" hidden="false" customHeight="true" outlineLevel="0" collapsed="false">
      <c r="A5" s="4" t="s">
        <v>4</v>
      </c>
      <c r="B5" s="6" t="s">
        <v>5</v>
      </c>
      <c r="C5" s="6"/>
      <c r="D5" s="6"/>
      <c r="E5" s="6"/>
      <c r="F5" s="6"/>
      <c r="G5" s="6"/>
      <c r="H5" s="6"/>
    </row>
    <row r="6" customFormat="false" ht="37.5" hidden="false" customHeight="true" outlineLevel="0" collapsed="false">
      <c r="A6" s="4" t="s">
        <v>6</v>
      </c>
      <c r="B6" s="6" t="s">
        <v>7</v>
      </c>
      <c r="C6" s="6"/>
      <c r="D6" s="6"/>
      <c r="E6" s="6"/>
      <c r="F6" s="6"/>
      <c r="G6" s="6"/>
      <c r="H6" s="6"/>
    </row>
    <row r="7" customFormat="false" ht="37.5" hidden="false" customHeight="true" outlineLevel="0" collapsed="false">
      <c r="A7" s="4" t="s">
        <v>8</v>
      </c>
      <c r="B7" s="6" t="s">
        <v>9</v>
      </c>
      <c r="C7" s="6"/>
      <c r="D7" s="6"/>
      <c r="E7" s="6"/>
      <c r="F7" s="6"/>
      <c r="G7" s="6"/>
      <c r="H7" s="6"/>
    </row>
    <row r="8" customFormat="false" ht="48" hidden="false" customHeight="true" outlineLevel="0" collapsed="false">
      <c r="A8" s="4" t="s">
        <v>10</v>
      </c>
      <c r="B8" s="6" t="s">
        <v>11</v>
      </c>
      <c r="C8" s="6"/>
      <c r="D8" s="6"/>
      <c r="E8" s="6"/>
      <c r="F8" s="6"/>
      <c r="G8" s="6"/>
      <c r="H8" s="6"/>
    </row>
    <row r="9" customFormat="false" ht="51.75" hidden="false" customHeight="true" outlineLevel="0" collapsed="false">
      <c r="A9" s="4" t="s">
        <v>12</v>
      </c>
      <c r="B9" s="6" t="s">
        <v>13</v>
      </c>
      <c r="C9" s="6"/>
      <c r="D9" s="6"/>
      <c r="E9" s="6"/>
      <c r="F9" s="6"/>
      <c r="G9" s="6"/>
      <c r="H9" s="6"/>
    </row>
    <row r="10" customFormat="false" ht="42" hidden="false" customHeight="true" outlineLevel="0" collapsed="false">
      <c r="A10" s="4" t="s">
        <v>14</v>
      </c>
      <c r="B10" s="6" t="s">
        <v>15</v>
      </c>
      <c r="C10" s="6"/>
      <c r="D10" s="6"/>
      <c r="E10" s="6"/>
      <c r="F10" s="6"/>
      <c r="G10" s="6"/>
      <c r="H10" s="6"/>
    </row>
    <row r="11" customFormat="false" ht="37.5" hidden="false" customHeight="true" outlineLevel="0" collapsed="false">
      <c r="A11" s="4" t="s">
        <v>16</v>
      </c>
      <c r="B11" s="5" t="s">
        <v>17</v>
      </c>
      <c r="C11" s="5"/>
      <c r="D11" s="5"/>
      <c r="E11" s="5"/>
      <c r="F11" s="5"/>
      <c r="G11" s="5"/>
      <c r="H11" s="5"/>
    </row>
    <row r="12" customFormat="false" ht="60" hidden="false" customHeight="true" outlineLevel="0" collapsed="false">
      <c r="A12" s="4" t="s">
        <v>18</v>
      </c>
      <c r="B12" s="7" t="s">
        <v>19</v>
      </c>
      <c r="C12" s="7"/>
      <c r="D12" s="7"/>
      <c r="E12" s="7"/>
      <c r="F12" s="7"/>
      <c r="G12" s="7"/>
      <c r="H12" s="7"/>
    </row>
  </sheetData>
  <mergeCells count="11">
    <mergeCell ref="A1:H1"/>
    <mergeCell ref="A2:H2"/>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8" t="s">
        <v>20</v>
      </c>
      <c r="B1" s="8"/>
      <c r="C1" s="8"/>
      <c r="D1" s="8"/>
      <c r="E1" s="8"/>
      <c r="F1" s="8"/>
      <c r="G1" s="8"/>
      <c r="H1" s="8"/>
      <c r="I1" s="8"/>
    </row>
    <row r="2" customFormat="false" ht="42" hidden="false" customHeight="true" outlineLevel="0" collapsed="false">
      <c r="A2" s="9" t="s">
        <v>21</v>
      </c>
      <c r="B2" s="9"/>
      <c r="C2" s="9"/>
      <c r="D2" s="9"/>
      <c r="E2" s="9"/>
      <c r="F2" s="9"/>
      <c r="G2" s="9"/>
      <c r="H2" s="9"/>
      <c r="I2" s="9"/>
    </row>
    <row r="3" customFormat="false" ht="7.5" hidden="false" customHeight="true" outlineLevel="0" collapsed="false"/>
    <row r="4" customFormat="false" ht="30" hidden="false" customHeight="true" outlineLevel="0" collapsed="false">
      <c r="A4" s="10" t="s">
        <v>22</v>
      </c>
      <c r="B4" s="10" t="s">
        <v>23</v>
      </c>
      <c r="C4" s="10" t="s">
        <v>24</v>
      </c>
      <c r="D4" s="10" t="s">
        <v>25</v>
      </c>
      <c r="E4" s="10" t="s">
        <v>26</v>
      </c>
      <c r="F4" s="10" t="s">
        <v>27</v>
      </c>
      <c r="G4" s="10" t="s">
        <v>28</v>
      </c>
      <c r="H4" s="10" t="s">
        <v>29</v>
      </c>
      <c r="I4" s="10" t="s">
        <v>30</v>
      </c>
    </row>
    <row r="5" customFormat="false" ht="42" hidden="false" customHeight="true" outlineLevel="0" collapsed="false">
      <c r="A5" s="11" t="s">
        <v>31</v>
      </c>
      <c r="B5" s="12" t="s">
        <v>32</v>
      </c>
      <c r="C5" s="12" t="s">
        <v>33</v>
      </c>
      <c r="D5" s="13" t="n">
        <v>12</v>
      </c>
      <c r="E5" s="14" t="s">
        <v>34</v>
      </c>
      <c r="F5" s="12" t="s">
        <v>35</v>
      </c>
      <c r="G5" s="15" t="s">
        <v>36</v>
      </c>
      <c r="H5" s="12" t="s">
        <v>37</v>
      </c>
      <c r="I5" s="12" t="s">
        <v>38</v>
      </c>
    </row>
    <row r="6" customFormat="false" ht="42" hidden="false" customHeight="true" outlineLevel="0" collapsed="false">
      <c r="A6" s="11" t="s">
        <v>31</v>
      </c>
      <c r="B6" s="12" t="s">
        <v>39</v>
      </c>
      <c r="C6" s="12" t="s">
        <v>40</v>
      </c>
      <c r="D6" s="13" t="n">
        <v>1</v>
      </c>
      <c r="E6" s="14" t="s">
        <v>41</v>
      </c>
      <c r="F6" s="12" t="s">
        <v>42</v>
      </c>
      <c r="G6" s="15" t="s">
        <v>36</v>
      </c>
      <c r="H6" s="12" t="s">
        <v>43</v>
      </c>
      <c r="I6" s="12" t="s">
        <v>44</v>
      </c>
    </row>
    <row r="7" customFormat="false" ht="42" hidden="false" customHeight="true" outlineLevel="0" collapsed="false">
      <c r="A7" s="11" t="s">
        <v>31</v>
      </c>
      <c r="B7" s="12" t="s">
        <v>45</v>
      </c>
      <c r="C7" s="12" t="s">
        <v>46</v>
      </c>
      <c r="D7" s="13" t="n">
        <v>0</v>
      </c>
      <c r="E7" s="14" t="s">
        <v>47</v>
      </c>
      <c r="F7" s="12" t="s">
        <v>42</v>
      </c>
      <c r="G7" s="15" t="s">
        <v>36</v>
      </c>
      <c r="H7" s="12" t="s">
        <v>48</v>
      </c>
      <c r="I7" s="12" t="s">
        <v>49</v>
      </c>
    </row>
    <row r="8" customFormat="false" ht="42" hidden="false" customHeight="true" outlineLevel="0" collapsed="false">
      <c r="A8" s="11" t="s">
        <v>50</v>
      </c>
      <c r="B8" s="12" t="s">
        <v>51</v>
      </c>
      <c r="C8" s="12" t="s">
        <v>52</v>
      </c>
      <c r="D8" s="13" t="n">
        <v>100</v>
      </c>
      <c r="E8" s="14" t="s">
        <v>53</v>
      </c>
      <c r="F8" s="12" t="s">
        <v>35</v>
      </c>
      <c r="G8" s="15" t="s">
        <v>36</v>
      </c>
      <c r="H8" s="12" t="s">
        <v>54</v>
      </c>
      <c r="I8" s="12" t="s">
        <v>55</v>
      </c>
    </row>
    <row r="9" customFormat="false" ht="42" hidden="false" customHeight="true" outlineLevel="0" collapsed="false">
      <c r="A9" s="11" t="s">
        <v>50</v>
      </c>
      <c r="B9" s="12" t="s">
        <v>56</v>
      </c>
      <c r="C9" s="12" t="s">
        <v>57</v>
      </c>
      <c r="D9" s="13" t="n">
        <v>10</v>
      </c>
      <c r="E9" s="14" t="s">
        <v>58</v>
      </c>
      <c r="F9" s="12" t="s">
        <v>35</v>
      </c>
      <c r="G9" s="15" t="s">
        <v>36</v>
      </c>
      <c r="H9" s="12" t="s">
        <v>59</v>
      </c>
      <c r="I9" s="12" t="s">
        <v>60</v>
      </c>
    </row>
    <row r="10" customFormat="false" ht="42" hidden="false" customHeight="true" outlineLevel="0" collapsed="false">
      <c r="A10" s="11" t="s">
        <v>50</v>
      </c>
      <c r="B10" s="12" t="s">
        <v>61</v>
      </c>
      <c r="C10" s="12" t="s">
        <v>62</v>
      </c>
      <c r="D10" s="13" t="n">
        <v>10</v>
      </c>
      <c r="E10" s="14" t="s">
        <v>63</v>
      </c>
      <c r="F10" s="12" t="s">
        <v>35</v>
      </c>
      <c r="G10" s="15" t="s">
        <v>36</v>
      </c>
      <c r="H10" s="12" t="s">
        <v>64</v>
      </c>
      <c r="I10" s="12" t="s">
        <v>65</v>
      </c>
    </row>
    <row r="11" customFormat="false" ht="42" hidden="false" customHeight="true" outlineLevel="0" collapsed="false">
      <c r="A11" s="11" t="s">
        <v>50</v>
      </c>
      <c r="B11" s="12" t="s">
        <v>66</v>
      </c>
      <c r="C11" s="12" t="s">
        <v>67</v>
      </c>
      <c r="D11" s="13" t="n">
        <v>51</v>
      </c>
      <c r="E11" s="14" t="s">
        <v>68</v>
      </c>
      <c r="F11" s="12" t="s">
        <v>35</v>
      </c>
      <c r="G11" s="15" t="s">
        <v>36</v>
      </c>
      <c r="H11" s="12" t="s">
        <v>69</v>
      </c>
      <c r="I11" s="12" t="s">
        <v>70</v>
      </c>
    </row>
    <row r="12" customFormat="false" ht="42" hidden="false" customHeight="true" outlineLevel="0" collapsed="false">
      <c r="A12" s="11" t="s">
        <v>50</v>
      </c>
      <c r="B12" s="12" t="s">
        <v>71</v>
      </c>
      <c r="C12" s="12" t="s">
        <v>72</v>
      </c>
      <c r="D12" s="13" t="n">
        <v>21</v>
      </c>
      <c r="E12" s="14" t="s">
        <v>68</v>
      </c>
      <c r="F12" s="12" t="s">
        <v>35</v>
      </c>
      <c r="G12" s="15" t="s">
        <v>36</v>
      </c>
      <c r="H12" s="12" t="s">
        <v>73</v>
      </c>
      <c r="I12" s="12" t="s">
        <v>74</v>
      </c>
    </row>
    <row r="13" customFormat="false" ht="42" hidden="false" customHeight="true" outlineLevel="0" collapsed="false">
      <c r="A13" s="11" t="s">
        <v>50</v>
      </c>
      <c r="B13" s="12" t="s">
        <v>75</v>
      </c>
      <c r="C13" s="12" t="s">
        <v>76</v>
      </c>
      <c r="D13" s="13" t="n">
        <v>10</v>
      </c>
      <c r="E13" s="14" t="s">
        <v>68</v>
      </c>
      <c r="F13" s="12" t="s">
        <v>35</v>
      </c>
      <c r="G13" s="15" t="s">
        <v>36</v>
      </c>
      <c r="H13" s="12" t="s">
        <v>77</v>
      </c>
      <c r="I13" s="12" t="s">
        <v>78</v>
      </c>
    </row>
    <row r="14" customFormat="false" ht="42" hidden="false" customHeight="true" outlineLevel="0" collapsed="false">
      <c r="A14" s="11" t="s">
        <v>50</v>
      </c>
      <c r="B14" s="12" t="s">
        <v>79</v>
      </c>
      <c r="C14" s="12" t="s">
        <v>80</v>
      </c>
      <c r="D14" s="13" t="n">
        <v>10</v>
      </c>
      <c r="E14" s="14" t="s">
        <v>63</v>
      </c>
      <c r="F14" s="12" t="s">
        <v>81</v>
      </c>
      <c r="G14" s="15" t="s">
        <v>36</v>
      </c>
      <c r="H14" s="12" t="s">
        <v>82</v>
      </c>
      <c r="I14" s="12" t="s">
        <v>83</v>
      </c>
    </row>
    <row r="15" customFormat="false" ht="42" hidden="false" customHeight="true" outlineLevel="0" collapsed="false">
      <c r="A15" s="11" t="s">
        <v>50</v>
      </c>
      <c r="B15" s="12" t="s">
        <v>84</v>
      </c>
      <c r="C15" s="12" t="s">
        <v>85</v>
      </c>
      <c r="D15" s="13" t="n">
        <v>20</v>
      </c>
      <c r="E15" s="14" t="s">
        <v>63</v>
      </c>
      <c r="F15" s="12" t="s">
        <v>81</v>
      </c>
      <c r="G15" s="15" t="s">
        <v>36</v>
      </c>
      <c r="H15" s="12" t="s">
        <v>86</v>
      </c>
      <c r="I15" s="12" t="s">
        <v>87</v>
      </c>
    </row>
    <row r="16" customFormat="false" ht="42" hidden="false" customHeight="true" outlineLevel="0" collapsed="false">
      <c r="A16" s="11" t="s">
        <v>50</v>
      </c>
      <c r="B16" s="12" t="s">
        <v>88</v>
      </c>
      <c r="C16" s="12" t="s">
        <v>89</v>
      </c>
      <c r="D16" s="13" t="n">
        <v>30</v>
      </c>
      <c r="E16" s="14" t="s">
        <v>63</v>
      </c>
      <c r="F16" s="12" t="s">
        <v>81</v>
      </c>
      <c r="G16" s="15" t="s">
        <v>36</v>
      </c>
      <c r="H16" s="12" t="s">
        <v>90</v>
      </c>
      <c r="I16" s="12" t="s">
        <v>91</v>
      </c>
    </row>
    <row r="17" customFormat="false" ht="42" hidden="false" customHeight="true" outlineLevel="0" collapsed="false">
      <c r="A17" s="11" t="s">
        <v>92</v>
      </c>
      <c r="B17" s="12" t="s">
        <v>93</v>
      </c>
      <c r="C17" s="12" t="s">
        <v>94</v>
      </c>
      <c r="D17" s="13" t="n">
        <v>0</v>
      </c>
      <c r="E17" s="14" t="s">
        <v>95</v>
      </c>
      <c r="F17" s="12" t="s">
        <v>96</v>
      </c>
      <c r="G17" s="15" t="s">
        <v>36</v>
      </c>
      <c r="H17" s="12" t="s">
        <v>97</v>
      </c>
      <c r="I17" s="12" t="s">
        <v>98</v>
      </c>
    </row>
    <row r="18" customFormat="false" ht="42" hidden="false" customHeight="true" outlineLevel="0" collapsed="false">
      <c r="A18" s="11" t="s">
        <v>92</v>
      </c>
      <c r="B18" s="12" t="s">
        <v>99</v>
      </c>
      <c r="C18" s="12" t="s">
        <v>100</v>
      </c>
      <c r="D18" s="13" t="n">
        <v>4</v>
      </c>
      <c r="E18" s="14" t="s">
        <v>101</v>
      </c>
      <c r="F18" s="12" t="s">
        <v>96</v>
      </c>
      <c r="G18" s="15" t="s">
        <v>36</v>
      </c>
      <c r="H18" s="12" t="s">
        <v>102</v>
      </c>
      <c r="I18" s="12" t="s">
        <v>103</v>
      </c>
    </row>
    <row r="19" customFormat="false" ht="42" hidden="false" customHeight="true" outlineLevel="0" collapsed="false">
      <c r="A19" s="11" t="s">
        <v>92</v>
      </c>
      <c r="B19" s="12" t="s">
        <v>104</v>
      </c>
      <c r="C19" s="12" t="s">
        <v>105</v>
      </c>
      <c r="D19" s="13" t="n">
        <v>2</v>
      </c>
      <c r="E19" s="14" t="s">
        <v>106</v>
      </c>
      <c r="F19" s="12" t="s">
        <v>107</v>
      </c>
      <c r="G19" s="15" t="s">
        <v>36</v>
      </c>
      <c r="H19" s="12" t="s">
        <v>108</v>
      </c>
      <c r="I19" s="12" t="s">
        <v>109</v>
      </c>
    </row>
    <row r="20" customFormat="false" ht="42" hidden="false" customHeight="true" outlineLevel="0" collapsed="false">
      <c r="A20" s="11" t="s">
        <v>92</v>
      </c>
      <c r="B20" s="12" t="s">
        <v>110</v>
      </c>
      <c r="C20" s="12" t="s">
        <v>111</v>
      </c>
      <c r="D20" s="13" t="n">
        <v>1</v>
      </c>
      <c r="E20" s="14" t="s">
        <v>112</v>
      </c>
      <c r="F20" s="12" t="s">
        <v>113</v>
      </c>
      <c r="G20" s="15" t="s">
        <v>36</v>
      </c>
      <c r="H20" s="12" t="s">
        <v>114</v>
      </c>
      <c r="I20" s="12" t="s">
        <v>115</v>
      </c>
    </row>
    <row r="21" customFormat="false" ht="42" hidden="false" customHeight="true" outlineLevel="0" collapsed="false">
      <c r="A21" s="11" t="s">
        <v>92</v>
      </c>
      <c r="B21" s="12" t="s">
        <v>116</v>
      </c>
      <c r="C21" s="12" t="s">
        <v>117</v>
      </c>
      <c r="D21" s="13" t="n">
        <v>1</v>
      </c>
      <c r="E21" s="14" t="s">
        <v>118</v>
      </c>
      <c r="F21" s="12" t="s">
        <v>113</v>
      </c>
      <c r="G21" s="15" t="s">
        <v>36</v>
      </c>
      <c r="H21" s="12" t="s">
        <v>119</v>
      </c>
      <c r="I21" s="12" t="s">
        <v>120</v>
      </c>
    </row>
    <row r="22" customFormat="false" ht="42" hidden="false" customHeight="true" outlineLevel="0" collapsed="false">
      <c r="A22" s="11" t="s">
        <v>92</v>
      </c>
      <c r="B22" s="12" t="s">
        <v>121</v>
      </c>
      <c r="C22" s="12" t="s">
        <v>122</v>
      </c>
      <c r="D22" s="13" t="n">
        <v>2</v>
      </c>
      <c r="E22" s="14" t="s">
        <v>123</v>
      </c>
      <c r="F22" s="12" t="s">
        <v>113</v>
      </c>
      <c r="G22" s="15" t="s">
        <v>36</v>
      </c>
      <c r="H22" s="12" t="s">
        <v>124</v>
      </c>
      <c r="I22" s="12" t="s">
        <v>125</v>
      </c>
    </row>
    <row r="23" customFormat="false" ht="42" hidden="false" customHeight="true" outlineLevel="0" collapsed="false">
      <c r="A23" s="11" t="s">
        <v>92</v>
      </c>
      <c r="B23" s="12" t="s">
        <v>126</v>
      </c>
      <c r="C23" s="12" t="s">
        <v>127</v>
      </c>
      <c r="D23" s="13" t="n">
        <v>0</v>
      </c>
      <c r="E23" s="14" t="s">
        <v>112</v>
      </c>
      <c r="F23" s="12" t="s">
        <v>128</v>
      </c>
      <c r="G23" s="15" t="s">
        <v>36</v>
      </c>
      <c r="H23" s="12" t="s">
        <v>129</v>
      </c>
      <c r="I23" s="12" t="s">
        <v>130</v>
      </c>
    </row>
    <row r="24" customFormat="false" ht="42" hidden="false" customHeight="true" outlineLevel="0" collapsed="false">
      <c r="A24" s="11" t="s">
        <v>92</v>
      </c>
      <c r="B24" s="12" t="s">
        <v>131</v>
      </c>
      <c r="C24" s="12" t="s">
        <v>132</v>
      </c>
      <c r="D24" s="13" t="n">
        <v>1</v>
      </c>
      <c r="E24" s="14" t="s">
        <v>123</v>
      </c>
      <c r="F24" s="12" t="s">
        <v>128</v>
      </c>
      <c r="G24" s="15" t="s">
        <v>36</v>
      </c>
      <c r="H24" s="12" t="s">
        <v>133</v>
      </c>
      <c r="I24" s="12" t="s">
        <v>134</v>
      </c>
    </row>
    <row r="25" customFormat="false" ht="42" hidden="false" customHeight="true" outlineLevel="0" collapsed="false">
      <c r="A25" s="11" t="s">
        <v>92</v>
      </c>
      <c r="B25" s="12" t="s">
        <v>135</v>
      </c>
      <c r="C25" s="12" t="s">
        <v>136</v>
      </c>
      <c r="D25" s="13" t="n">
        <v>1</v>
      </c>
      <c r="E25" s="14" t="s">
        <v>137</v>
      </c>
      <c r="F25" s="12" t="s">
        <v>138</v>
      </c>
      <c r="G25" s="15" t="s">
        <v>36</v>
      </c>
      <c r="H25" s="12" t="s">
        <v>139</v>
      </c>
      <c r="I25" s="12" t="s">
        <v>140</v>
      </c>
    </row>
    <row r="26" customFormat="false" ht="42" hidden="false" customHeight="true" outlineLevel="0" collapsed="false">
      <c r="A26" s="11" t="s">
        <v>92</v>
      </c>
      <c r="B26" s="12" t="s">
        <v>141</v>
      </c>
      <c r="C26" s="12" t="s">
        <v>142</v>
      </c>
      <c r="D26" s="13" t="n">
        <v>1</v>
      </c>
      <c r="E26" s="14" t="s">
        <v>143</v>
      </c>
      <c r="F26" s="12" t="s">
        <v>138</v>
      </c>
      <c r="G26" s="15" t="s">
        <v>36</v>
      </c>
      <c r="H26" s="12" t="s">
        <v>144</v>
      </c>
      <c r="I26" s="12" t="s">
        <v>145</v>
      </c>
    </row>
    <row r="27" customFormat="false" ht="42" hidden="false" customHeight="true" outlineLevel="0" collapsed="false">
      <c r="A27" s="11" t="s">
        <v>92</v>
      </c>
      <c r="B27" s="12" t="s">
        <v>146</v>
      </c>
      <c r="C27" s="12" t="s">
        <v>147</v>
      </c>
      <c r="D27" s="13" t="n">
        <v>1</v>
      </c>
      <c r="E27" s="14" t="s">
        <v>137</v>
      </c>
      <c r="F27" s="12" t="s">
        <v>148</v>
      </c>
      <c r="G27" s="15" t="s">
        <v>36</v>
      </c>
      <c r="H27" s="12" t="s">
        <v>149</v>
      </c>
      <c r="I27" s="12" t="s">
        <v>150</v>
      </c>
    </row>
    <row r="28" customFormat="false" ht="42" hidden="false" customHeight="true" outlineLevel="0" collapsed="false">
      <c r="A28" s="11" t="s">
        <v>92</v>
      </c>
      <c r="B28" s="12" t="s">
        <v>151</v>
      </c>
      <c r="C28" s="12" t="s">
        <v>152</v>
      </c>
      <c r="D28" s="13" t="n">
        <v>2</v>
      </c>
      <c r="E28" s="14" t="s">
        <v>106</v>
      </c>
      <c r="F28" s="12" t="s">
        <v>153</v>
      </c>
      <c r="G28" s="15" t="s">
        <v>36</v>
      </c>
      <c r="H28" s="12" t="s">
        <v>154</v>
      </c>
      <c r="I28" s="12" t="s">
        <v>155</v>
      </c>
    </row>
    <row r="29" customFormat="false" ht="42" hidden="false" customHeight="true" outlineLevel="0" collapsed="false">
      <c r="A29" s="11" t="s">
        <v>92</v>
      </c>
      <c r="B29" s="12" t="s">
        <v>156</v>
      </c>
      <c r="C29" s="12" t="s">
        <v>157</v>
      </c>
      <c r="D29" s="13" t="n">
        <v>2</v>
      </c>
      <c r="E29" s="14" t="s">
        <v>158</v>
      </c>
      <c r="F29" s="12" t="s">
        <v>159</v>
      </c>
      <c r="G29" s="15" t="s">
        <v>36</v>
      </c>
      <c r="H29" s="12" t="s">
        <v>160</v>
      </c>
      <c r="I29" s="12" t="s">
        <v>161</v>
      </c>
    </row>
    <row r="30" customFormat="false" ht="42" hidden="false" customHeight="true" outlineLevel="0" collapsed="false">
      <c r="A30" s="11" t="s">
        <v>92</v>
      </c>
      <c r="B30" s="12" t="s">
        <v>162</v>
      </c>
      <c r="C30" s="12" t="s">
        <v>163</v>
      </c>
      <c r="D30" s="13" t="n">
        <v>1</v>
      </c>
      <c r="E30" s="14" t="s">
        <v>164</v>
      </c>
      <c r="F30" s="12" t="s">
        <v>165</v>
      </c>
      <c r="G30" s="15" t="s">
        <v>36</v>
      </c>
      <c r="H30" s="12" t="s">
        <v>166</v>
      </c>
      <c r="I30" s="12" t="s">
        <v>167</v>
      </c>
    </row>
    <row r="31" customFormat="false" ht="42" hidden="false" customHeight="true" outlineLevel="0" collapsed="false">
      <c r="A31" s="11" t="s">
        <v>92</v>
      </c>
      <c r="B31" s="12" t="s">
        <v>168</v>
      </c>
      <c r="C31" s="12" t="s">
        <v>169</v>
      </c>
      <c r="D31" s="13" t="n">
        <v>1</v>
      </c>
      <c r="E31" s="14" t="s">
        <v>170</v>
      </c>
      <c r="F31" s="12" t="s">
        <v>165</v>
      </c>
      <c r="G31" s="15" t="s">
        <v>36</v>
      </c>
      <c r="H31" s="12" t="s">
        <v>171</v>
      </c>
      <c r="I31" s="12" t="s">
        <v>172</v>
      </c>
    </row>
    <row r="32" customFormat="false" ht="42" hidden="false" customHeight="true" outlineLevel="0" collapsed="false">
      <c r="A32" s="11" t="s">
        <v>92</v>
      </c>
      <c r="B32" s="12" t="s">
        <v>173</v>
      </c>
      <c r="C32" s="12" t="s">
        <v>174</v>
      </c>
      <c r="D32" s="13" t="n">
        <v>1</v>
      </c>
      <c r="E32" s="14" t="s">
        <v>170</v>
      </c>
      <c r="F32" s="12" t="s">
        <v>165</v>
      </c>
      <c r="G32" s="15" t="s">
        <v>36</v>
      </c>
      <c r="H32" s="12" t="s">
        <v>175</v>
      </c>
      <c r="I32" s="12" t="s">
        <v>176</v>
      </c>
    </row>
    <row r="33" customFormat="false" ht="42" hidden="false" customHeight="true" outlineLevel="0" collapsed="false">
      <c r="A33" s="11" t="s">
        <v>92</v>
      </c>
      <c r="B33" s="12" t="s">
        <v>177</v>
      </c>
      <c r="C33" s="12" t="s">
        <v>178</v>
      </c>
      <c r="D33" s="13" t="n">
        <v>3</v>
      </c>
      <c r="E33" s="14" t="s">
        <v>179</v>
      </c>
      <c r="F33" s="12" t="s">
        <v>180</v>
      </c>
      <c r="G33" s="15" t="s">
        <v>36</v>
      </c>
      <c r="H33" s="12" t="s">
        <v>181</v>
      </c>
      <c r="I33" s="12" t="s">
        <v>182</v>
      </c>
    </row>
    <row r="34" customFormat="false" ht="42" hidden="false" customHeight="true" outlineLevel="0" collapsed="false">
      <c r="A34" s="11" t="s">
        <v>92</v>
      </c>
      <c r="B34" s="12" t="s">
        <v>183</v>
      </c>
      <c r="C34" s="12" t="s">
        <v>184</v>
      </c>
      <c r="D34" s="13" t="n">
        <v>3</v>
      </c>
      <c r="E34" s="14" t="s">
        <v>185</v>
      </c>
      <c r="F34" s="12" t="s">
        <v>180</v>
      </c>
      <c r="G34" s="15" t="s">
        <v>36</v>
      </c>
      <c r="H34" s="12" t="s">
        <v>186</v>
      </c>
      <c r="I34" s="12" t="s">
        <v>187</v>
      </c>
    </row>
    <row r="35" customFormat="false" ht="42" hidden="false" customHeight="true" outlineLevel="0" collapsed="false">
      <c r="A35" s="11" t="s">
        <v>92</v>
      </c>
      <c r="B35" s="12" t="s">
        <v>188</v>
      </c>
      <c r="C35" s="12" t="s">
        <v>189</v>
      </c>
      <c r="D35" s="13" t="n">
        <v>1</v>
      </c>
      <c r="E35" s="14" t="s">
        <v>190</v>
      </c>
      <c r="F35" s="12" t="s">
        <v>180</v>
      </c>
      <c r="G35" s="15" t="s">
        <v>36</v>
      </c>
      <c r="H35" s="12" t="s">
        <v>191</v>
      </c>
      <c r="I35" s="12" t="s">
        <v>192</v>
      </c>
    </row>
    <row r="36" customFormat="false" ht="42" hidden="false" customHeight="true" outlineLevel="0" collapsed="false">
      <c r="A36" s="11" t="s">
        <v>193</v>
      </c>
      <c r="B36" s="12" t="s">
        <v>194</v>
      </c>
      <c r="C36" s="12" t="s">
        <v>195</v>
      </c>
      <c r="D36" s="13" t="n">
        <v>5</v>
      </c>
      <c r="E36" s="14" t="s">
        <v>123</v>
      </c>
      <c r="F36" s="12" t="s">
        <v>196</v>
      </c>
      <c r="G36" s="15" t="s">
        <v>36</v>
      </c>
      <c r="H36" s="12" t="s">
        <v>197</v>
      </c>
      <c r="I36" s="12" t="s">
        <v>198</v>
      </c>
    </row>
    <row r="37" customFormat="false" ht="42" hidden="false" customHeight="true" outlineLevel="0" collapsed="false">
      <c r="A37" s="11" t="s">
        <v>193</v>
      </c>
      <c r="B37" s="12" t="s">
        <v>199</v>
      </c>
      <c r="C37" s="12" t="s">
        <v>200</v>
      </c>
      <c r="D37" s="13" t="n">
        <v>3</v>
      </c>
      <c r="E37" s="14" t="s">
        <v>123</v>
      </c>
      <c r="F37" s="12" t="s">
        <v>201</v>
      </c>
      <c r="G37" s="15" t="s">
        <v>36</v>
      </c>
      <c r="H37" s="12" t="s">
        <v>202</v>
      </c>
      <c r="I37" s="12" t="s">
        <v>203</v>
      </c>
    </row>
    <row r="38" customFormat="false" ht="42" hidden="false" customHeight="true" outlineLevel="0" collapsed="false">
      <c r="A38" s="11" t="s">
        <v>193</v>
      </c>
      <c r="B38" s="12" t="s">
        <v>204</v>
      </c>
      <c r="C38" s="12" t="s">
        <v>205</v>
      </c>
      <c r="D38" s="13" t="n">
        <v>1</v>
      </c>
      <c r="E38" s="14" t="s">
        <v>123</v>
      </c>
      <c r="F38" s="12" t="s">
        <v>206</v>
      </c>
      <c r="G38" s="15" t="s">
        <v>36</v>
      </c>
      <c r="H38" s="12" t="s">
        <v>207</v>
      </c>
      <c r="I38" s="12" t="s">
        <v>208</v>
      </c>
    </row>
    <row r="39" customFormat="false" ht="42" hidden="false" customHeight="true" outlineLevel="0" collapsed="false">
      <c r="A39" s="11" t="s">
        <v>193</v>
      </c>
      <c r="B39" s="12" t="s">
        <v>209</v>
      </c>
      <c r="C39" s="12" t="s">
        <v>210</v>
      </c>
      <c r="D39" s="13" t="n">
        <v>1</v>
      </c>
      <c r="E39" s="14" t="s">
        <v>137</v>
      </c>
      <c r="F39" s="12" t="s">
        <v>196</v>
      </c>
      <c r="G39" s="15" t="s">
        <v>36</v>
      </c>
      <c r="H39" s="12" t="s">
        <v>211</v>
      </c>
      <c r="I39" s="12" t="s">
        <v>212</v>
      </c>
    </row>
    <row r="40" customFormat="false" ht="42" hidden="false" customHeight="true" outlineLevel="0" collapsed="false">
      <c r="A40" s="11" t="s">
        <v>193</v>
      </c>
      <c r="B40" s="12" t="s">
        <v>213</v>
      </c>
      <c r="C40" s="12" t="s">
        <v>214</v>
      </c>
      <c r="D40" s="13" t="n">
        <v>2</v>
      </c>
      <c r="E40" s="14" t="s">
        <v>158</v>
      </c>
      <c r="F40" s="12" t="s">
        <v>196</v>
      </c>
      <c r="G40" s="15" t="s">
        <v>36</v>
      </c>
      <c r="H40" s="12" t="s">
        <v>215</v>
      </c>
      <c r="I40" s="12" t="s">
        <v>216</v>
      </c>
    </row>
    <row r="41" customFormat="false" ht="42" hidden="false" customHeight="true" outlineLevel="0" collapsed="false">
      <c r="A41" s="11" t="s">
        <v>193</v>
      </c>
      <c r="B41" s="12" t="s">
        <v>217</v>
      </c>
      <c r="C41" s="12" t="s">
        <v>218</v>
      </c>
      <c r="D41" s="13" t="n">
        <v>1</v>
      </c>
      <c r="E41" s="14" t="s">
        <v>123</v>
      </c>
      <c r="F41" s="12" t="s">
        <v>219</v>
      </c>
      <c r="G41" s="15" t="s">
        <v>36</v>
      </c>
      <c r="H41" s="12" t="s">
        <v>220</v>
      </c>
      <c r="I41" s="12" t="s">
        <v>221</v>
      </c>
    </row>
    <row r="42" customFormat="false" ht="42" hidden="false" customHeight="true" outlineLevel="0" collapsed="false">
      <c r="A42" s="11" t="s">
        <v>193</v>
      </c>
      <c r="B42" s="12" t="s">
        <v>222</v>
      </c>
      <c r="C42" s="12" t="s">
        <v>223</v>
      </c>
      <c r="D42" s="13" t="n">
        <v>0</v>
      </c>
      <c r="E42" s="14" t="s">
        <v>123</v>
      </c>
      <c r="F42" s="12" t="s">
        <v>219</v>
      </c>
      <c r="G42" s="15" t="s">
        <v>36</v>
      </c>
      <c r="H42" s="12" t="s">
        <v>224</v>
      </c>
      <c r="I42" s="12" t="s">
        <v>225</v>
      </c>
    </row>
    <row r="43" customFormat="false" ht="42" hidden="false" customHeight="true" outlineLevel="0" collapsed="false">
      <c r="A43" s="11" t="s">
        <v>193</v>
      </c>
      <c r="B43" s="12" t="s">
        <v>226</v>
      </c>
      <c r="C43" s="12" t="s">
        <v>227</v>
      </c>
      <c r="D43" s="13" t="n">
        <v>0</v>
      </c>
      <c r="E43" s="14" t="s">
        <v>123</v>
      </c>
      <c r="F43" s="12" t="s">
        <v>228</v>
      </c>
      <c r="G43" s="15" t="s">
        <v>36</v>
      </c>
      <c r="H43" s="12" t="s">
        <v>229</v>
      </c>
      <c r="I43" s="12" t="s">
        <v>230</v>
      </c>
    </row>
    <row r="44" customFormat="false" ht="42" hidden="false" customHeight="true" outlineLevel="0" collapsed="false">
      <c r="A44" s="11" t="s">
        <v>193</v>
      </c>
      <c r="B44" s="12" t="s">
        <v>231</v>
      </c>
      <c r="C44" s="12" t="s">
        <v>232</v>
      </c>
      <c r="D44" s="13" t="n">
        <v>2</v>
      </c>
      <c r="E44" s="14" t="s">
        <v>137</v>
      </c>
      <c r="F44" s="12" t="s">
        <v>233</v>
      </c>
      <c r="G44" s="15" t="s">
        <v>36</v>
      </c>
      <c r="H44" s="12" t="s">
        <v>234</v>
      </c>
      <c r="I44" s="12" t="s">
        <v>235</v>
      </c>
    </row>
    <row r="45" customFormat="false" ht="42" hidden="false" customHeight="true" outlineLevel="0" collapsed="false">
      <c r="A45" s="11" t="s">
        <v>193</v>
      </c>
      <c r="B45" s="12" t="s">
        <v>236</v>
      </c>
      <c r="C45" s="12" t="s">
        <v>237</v>
      </c>
      <c r="D45" s="13" t="n">
        <v>3</v>
      </c>
      <c r="E45" s="14" t="s">
        <v>185</v>
      </c>
      <c r="F45" s="12" t="s">
        <v>233</v>
      </c>
      <c r="G45" s="15" t="s">
        <v>36</v>
      </c>
      <c r="H45" s="12" t="s">
        <v>238</v>
      </c>
      <c r="I45" s="12" t="s">
        <v>239</v>
      </c>
    </row>
    <row r="46" customFormat="false" ht="42" hidden="false" customHeight="true" outlineLevel="0" collapsed="false">
      <c r="A46" s="11" t="s">
        <v>193</v>
      </c>
      <c r="B46" s="12" t="s">
        <v>240</v>
      </c>
      <c r="C46" s="12" t="s">
        <v>241</v>
      </c>
      <c r="D46" s="13" t="n">
        <v>1</v>
      </c>
      <c r="E46" s="14" t="s">
        <v>190</v>
      </c>
      <c r="F46" s="12" t="s">
        <v>233</v>
      </c>
      <c r="G46" s="15" t="s">
        <v>36</v>
      </c>
      <c r="H46" s="12" t="s">
        <v>242</v>
      </c>
      <c r="I46" s="12" t="s">
        <v>243</v>
      </c>
    </row>
    <row r="47" customFormat="false" ht="42" hidden="false" customHeight="true" outlineLevel="0" collapsed="false">
      <c r="A47" s="11" t="s">
        <v>193</v>
      </c>
      <c r="B47" s="12" t="s">
        <v>244</v>
      </c>
      <c r="C47" s="12" t="s">
        <v>245</v>
      </c>
      <c r="D47" s="13" t="n">
        <v>3</v>
      </c>
      <c r="E47" s="14" t="s">
        <v>246</v>
      </c>
      <c r="F47" s="12" t="s">
        <v>247</v>
      </c>
      <c r="G47" s="15" t="s">
        <v>36</v>
      </c>
      <c r="H47" s="12" t="s">
        <v>248</v>
      </c>
      <c r="I47" s="12" t="s">
        <v>249</v>
      </c>
    </row>
    <row r="48" customFormat="false" ht="42" hidden="false" customHeight="true" outlineLevel="0" collapsed="false">
      <c r="A48" s="11" t="s">
        <v>193</v>
      </c>
      <c r="B48" s="12" t="s">
        <v>250</v>
      </c>
      <c r="C48" s="12" t="s">
        <v>251</v>
      </c>
      <c r="D48" s="13" t="n">
        <v>1</v>
      </c>
      <c r="E48" s="14" t="s">
        <v>252</v>
      </c>
      <c r="F48" s="12" t="s">
        <v>247</v>
      </c>
      <c r="G48" s="15" t="s">
        <v>36</v>
      </c>
      <c r="H48" s="12" t="s">
        <v>253</v>
      </c>
      <c r="I48" s="12" t="s">
        <v>254</v>
      </c>
    </row>
    <row r="49" customFormat="false" ht="42" hidden="false" customHeight="true" outlineLevel="0" collapsed="false">
      <c r="A49" s="11" t="s">
        <v>193</v>
      </c>
      <c r="B49" s="12" t="s">
        <v>255</v>
      </c>
      <c r="C49" s="12" t="s">
        <v>256</v>
      </c>
      <c r="D49" s="13" t="n">
        <v>2</v>
      </c>
      <c r="E49" s="14" t="s">
        <v>252</v>
      </c>
      <c r="F49" s="12" t="s">
        <v>247</v>
      </c>
      <c r="G49" s="15" t="s">
        <v>36</v>
      </c>
      <c r="H49" s="12" t="s">
        <v>257</v>
      </c>
      <c r="I49" s="12" t="s">
        <v>258</v>
      </c>
    </row>
    <row r="50" customFormat="false" ht="42" hidden="false" customHeight="true" outlineLevel="0" collapsed="false">
      <c r="A50" s="11" t="s">
        <v>193</v>
      </c>
      <c r="B50" s="12" t="s">
        <v>259</v>
      </c>
      <c r="C50" s="12" t="s">
        <v>260</v>
      </c>
      <c r="D50" s="13" t="n">
        <v>60</v>
      </c>
      <c r="E50" s="14" t="s">
        <v>261</v>
      </c>
      <c r="F50" s="12" t="s">
        <v>262</v>
      </c>
      <c r="G50" s="15" t="s">
        <v>36</v>
      </c>
      <c r="H50" s="12" t="s">
        <v>263</v>
      </c>
      <c r="I50" s="12" t="s">
        <v>264</v>
      </c>
    </row>
    <row r="51" customFormat="false" ht="42" hidden="false" customHeight="true" outlineLevel="0" collapsed="false">
      <c r="A51" s="11" t="s">
        <v>193</v>
      </c>
      <c r="B51" s="12" t="s">
        <v>265</v>
      </c>
      <c r="C51" s="12" t="s">
        <v>266</v>
      </c>
      <c r="D51" s="13" t="n">
        <v>1</v>
      </c>
      <c r="E51" s="14" t="s">
        <v>267</v>
      </c>
      <c r="F51" s="12" t="s">
        <v>262</v>
      </c>
      <c r="G51" s="15" t="s">
        <v>36</v>
      </c>
      <c r="H51" s="12" t="s">
        <v>268</v>
      </c>
      <c r="I51" s="12" t="s">
        <v>269</v>
      </c>
    </row>
    <row r="52" customFormat="false" ht="42" hidden="false" customHeight="true" outlineLevel="0" collapsed="false">
      <c r="A52" s="11" t="s">
        <v>193</v>
      </c>
      <c r="B52" s="12" t="s">
        <v>270</v>
      </c>
      <c r="C52" s="12" t="s">
        <v>271</v>
      </c>
      <c r="D52" s="13" t="n">
        <v>100</v>
      </c>
      <c r="E52" s="14" t="s">
        <v>267</v>
      </c>
      <c r="F52" s="12" t="s">
        <v>262</v>
      </c>
      <c r="G52" s="15" t="s">
        <v>36</v>
      </c>
      <c r="H52" s="12" t="s">
        <v>272</v>
      </c>
      <c r="I52" s="12" t="s">
        <v>273</v>
      </c>
    </row>
    <row r="53" customFormat="false" ht="42" hidden="false" customHeight="true" outlineLevel="0" collapsed="false">
      <c r="A53" s="11" t="s">
        <v>274</v>
      </c>
      <c r="B53" s="12" t="s">
        <v>275</v>
      </c>
      <c r="C53" s="12" t="s">
        <v>276</v>
      </c>
      <c r="D53" s="13" t="n">
        <v>1</v>
      </c>
      <c r="E53" s="14" t="s">
        <v>277</v>
      </c>
      <c r="F53" s="12" t="s">
        <v>278</v>
      </c>
      <c r="G53" s="15" t="s">
        <v>36</v>
      </c>
      <c r="H53" s="12" t="s">
        <v>279</v>
      </c>
      <c r="I53" s="12" t="s">
        <v>280</v>
      </c>
    </row>
    <row r="54" customFormat="false" ht="42" hidden="false" customHeight="true" outlineLevel="0" collapsed="false">
      <c r="A54" s="11" t="s">
        <v>274</v>
      </c>
      <c r="B54" s="12" t="s">
        <v>281</v>
      </c>
      <c r="C54" s="12" t="s">
        <v>282</v>
      </c>
      <c r="D54" s="13" t="n">
        <v>24</v>
      </c>
      <c r="E54" s="14" t="s">
        <v>283</v>
      </c>
      <c r="F54" s="12" t="s">
        <v>35</v>
      </c>
      <c r="G54" s="15" t="s">
        <v>36</v>
      </c>
      <c r="H54" s="12" t="s">
        <v>284</v>
      </c>
      <c r="I54" s="12" t="s">
        <v>285</v>
      </c>
    </row>
    <row r="55" customFormat="false" ht="42" hidden="false" customHeight="true" outlineLevel="0" collapsed="false">
      <c r="A55" s="11" t="s">
        <v>274</v>
      </c>
      <c r="B55" s="12" t="s">
        <v>286</v>
      </c>
      <c r="C55" s="12" t="s">
        <v>287</v>
      </c>
      <c r="D55" s="13" t="n">
        <v>1</v>
      </c>
      <c r="E55" s="14" t="s">
        <v>288</v>
      </c>
      <c r="F55" s="12" t="s">
        <v>278</v>
      </c>
      <c r="G55" s="15" t="s">
        <v>36</v>
      </c>
      <c r="H55" s="12" t="s">
        <v>289</v>
      </c>
      <c r="I55" s="12" t="s">
        <v>290</v>
      </c>
    </row>
    <row r="56" customFormat="false" ht="42" hidden="false" customHeight="true" outlineLevel="0" collapsed="false">
      <c r="A56" s="11" t="s">
        <v>274</v>
      </c>
      <c r="B56" s="12" t="s">
        <v>291</v>
      </c>
      <c r="C56" s="12" t="s">
        <v>292</v>
      </c>
      <c r="D56" s="13" t="n">
        <v>1</v>
      </c>
      <c r="E56" s="14" t="s">
        <v>293</v>
      </c>
      <c r="F56" s="12" t="s">
        <v>278</v>
      </c>
      <c r="G56" s="15" t="s">
        <v>36</v>
      </c>
      <c r="H56" s="12" t="s">
        <v>294</v>
      </c>
      <c r="I56" s="12" t="s">
        <v>295</v>
      </c>
    </row>
    <row r="57" customFormat="false" ht="42" hidden="false" customHeight="true" outlineLevel="0" collapsed="false">
      <c r="A57" s="11" t="s">
        <v>274</v>
      </c>
      <c r="B57" s="12" t="s">
        <v>296</v>
      </c>
      <c r="C57" s="12" t="s">
        <v>297</v>
      </c>
      <c r="D57" s="13" t="n">
        <v>2</v>
      </c>
      <c r="E57" s="14" t="s">
        <v>298</v>
      </c>
      <c r="F57" s="12" t="s">
        <v>278</v>
      </c>
      <c r="G57" s="15" t="s">
        <v>36</v>
      </c>
      <c r="H57" s="12" t="s">
        <v>299</v>
      </c>
      <c r="I57" s="12" t="s">
        <v>300</v>
      </c>
    </row>
    <row r="58" customFormat="false" ht="42" hidden="false" customHeight="true" outlineLevel="0" collapsed="false">
      <c r="A58" s="11" t="s">
        <v>274</v>
      </c>
      <c r="B58" s="12" t="s">
        <v>301</v>
      </c>
      <c r="C58" s="12" t="s">
        <v>302</v>
      </c>
      <c r="D58" s="13" t="n">
        <v>1</v>
      </c>
      <c r="E58" s="14" t="s">
        <v>303</v>
      </c>
      <c r="F58" s="12" t="s">
        <v>278</v>
      </c>
      <c r="G58" s="15" t="s">
        <v>36</v>
      </c>
      <c r="H58" s="12" t="s">
        <v>304</v>
      </c>
      <c r="I58" s="12" t="s">
        <v>305</v>
      </c>
    </row>
    <row r="59" customFormat="false" ht="42" hidden="false" customHeight="true" outlineLevel="0" collapsed="false">
      <c r="A59" s="11" t="s">
        <v>274</v>
      </c>
      <c r="B59" s="12" t="s">
        <v>306</v>
      </c>
      <c r="C59" s="12" t="s">
        <v>307</v>
      </c>
      <c r="D59" s="13" t="n">
        <v>1</v>
      </c>
      <c r="E59" s="14" t="s">
        <v>308</v>
      </c>
      <c r="F59" s="12" t="s">
        <v>278</v>
      </c>
      <c r="G59" s="15" t="s">
        <v>36</v>
      </c>
      <c r="H59" s="12" t="s">
        <v>309</v>
      </c>
      <c r="I59" s="12" t="s">
        <v>310</v>
      </c>
    </row>
    <row r="60" customFormat="false" ht="42" hidden="false" customHeight="true" outlineLevel="0" collapsed="false">
      <c r="A60" s="11" t="s">
        <v>274</v>
      </c>
      <c r="B60" s="12" t="s">
        <v>311</v>
      </c>
      <c r="C60" s="12" t="s">
        <v>312</v>
      </c>
      <c r="D60" s="13" t="n">
        <v>1</v>
      </c>
      <c r="E60" s="14" t="s">
        <v>137</v>
      </c>
      <c r="F60" s="12" t="s">
        <v>278</v>
      </c>
      <c r="G60" s="15" t="s">
        <v>36</v>
      </c>
      <c r="H60" s="12" t="s">
        <v>313</v>
      </c>
      <c r="I60" s="12" t="s">
        <v>314</v>
      </c>
    </row>
    <row r="61" customFormat="false" ht="42" hidden="false" customHeight="true" outlineLevel="0" collapsed="false">
      <c r="A61" s="11" t="s">
        <v>274</v>
      </c>
      <c r="B61" s="12" t="s">
        <v>315</v>
      </c>
      <c r="C61" s="12" t="s">
        <v>316</v>
      </c>
      <c r="D61" s="13" t="n">
        <v>2</v>
      </c>
      <c r="E61" s="14" t="s">
        <v>283</v>
      </c>
      <c r="F61" s="12" t="s">
        <v>278</v>
      </c>
      <c r="G61" s="15" t="s">
        <v>36</v>
      </c>
      <c r="H61" s="12" t="s">
        <v>317</v>
      </c>
      <c r="I61" s="12" t="s">
        <v>318</v>
      </c>
    </row>
    <row r="62" customFormat="false" ht="42" hidden="false" customHeight="true" outlineLevel="0" collapsed="false">
      <c r="A62" s="11" t="s">
        <v>274</v>
      </c>
      <c r="B62" s="12" t="s">
        <v>319</v>
      </c>
      <c r="C62" s="12" t="s">
        <v>320</v>
      </c>
      <c r="D62" s="13" t="n">
        <v>2</v>
      </c>
      <c r="E62" s="14" t="s">
        <v>158</v>
      </c>
      <c r="F62" s="12" t="s">
        <v>278</v>
      </c>
      <c r="G62" s="15" t="s">
        <v>36</v>
      </c>
      <c r="H62" s="12" t="s">
        <v>321</v>
      </c>
      <c r="I62" s="12" t="s">
        <v>322</v>
      </c>
    </row>
    <row r="63" customFormat="false" ht="42" hidden="false" customHeight="true" outlineLevel="0" collapsed="false">
      <c r="A63" s="11" t="s">
        <v>274</v>
      </c>
      <c r="B63" s="12" t="s">
        <v>323</v>
      </c>
      <c r="C63" s="12" t="s">
        <v>324</v>
      </c>
      <c r="D63" s="13" t="n">
        <v>1</v>
      </c>
      <c r="E63" s="14" t="s">
        <v>325</v>
      </c>
      <c r="F63" s="12" t="s">
        <v>326</v>
      </c>
      <c r="G63" s="15" t="s">
        <v>327</v>
      </c>
      <c r="H63" s="12" t="s">
        <v>328</v>
      </c>
      <c r="I63" s="12" t="s">
        <v>329</v>
      </c>
    </row>
    <row r="64" customFormat="false" ht="42" hidden="false" customHeight="true" outlineLevel="0" collapsed="false">
      <c r="A64" s="11" t="s">
        <v>330</v>
      </c>
      <c r="B64" s="12" t="s">
        <v>331</v>
      </c>
      <c r="C64" s="12" t="s">
        <v>332</v>
      </c>
      <c r="D64" s="13" t="n">
        <v>3</v>
      </c>
      <c r="E64" s="14" t="s">
        <v>333</v>
      </c>
      <c r="F64" s="12" t="s">
        <v>334</v>
      </c>
      <c r="G64" s="15" t="s">
        <v>36</v>
      </c>
      <c r="H64" s="12" t="s">
        <v>335</v>
      </c>
      <c r="I64" s="12" t="s">
        <v>336</v>
      </c>
    </row>
    <row r="65" customFormat="false" ht="42" hidden="false" customHeight="true" outlineLevel="0" collapsed="false">
      <c r="A65" s="11" t="s">
        <v>330</v>
      </c>
      <c r="B65" s="12" t="s">
        <v>337</v>
      </c>
      <c r="C65" s="12" t="s">
        <v>338</v>
      </c>
      <c r="D65" s="13" t="n">
        <v>5</v>
      </c>
      <c r="E65" s="14" t="s">
        <v>333</v>
      </c>
      <c r="F65" s="12" t="s">
        <v>334</v>
      </c>
      <c r="G65" s="15" t="s">
        <v>36</v>
      </c>
      <c r="H65" s="12" t="s">
        <v>339</v>
      </c>
      <c r="I65" s="12" t="s">
        <v>340</v>
      </c>
    </row>
    <row r="66" customFormat="false" ht="42" hidden="false" customHeight="true" outlineLevel="0" collapsed="false">
      <c r="A66" s="11" t="s">
        <v>330</v>
      </c>
      <c r="B66" s="12" t="s">
        <v>341</v>
      </c>
      <c r="C66" s="12" t="s">
        <v>342</v>
      </c>
      <c r="D66" s="13" t="n">
        <v>5</v>
      </c>
      <c r="E66" s="14" t="s">
        <v>333</v>
      </c>
      <c r="F66" s="12" t="s">
        <v>343</v>
      </c>
      <c r="G66" s="15" t="s">
        <v>36</v>
      </c>
      <c r="H66" s="12" t="s">
        <v>344</v>
      </c>
      <c r="I66" s="12" t="s">
        <v>345</v>
      </c>
    </row>
    <row r="67" customFormat="false" ht="42" hidden="false" customHeight="true" outlineLevel="0" collapsed="false">
      <c r="A67" s="11" t="s">
        <v>330</v>
      </c>
      <c r="B67" s="12" t="s">
        <v>346</v>
      </c>
      <c r="C67" s="12" t="s">
        <v>347</v>
      </c>
      <c r="D67" s="13" t="n">
        <v>7</v>
      </c>
      <c r="E67" s="14" t="s">
        <v>333</v>
      </c>
      <c r="F67" s="12" t="s">
        <v>343</v>
      </c>
      <c r="G67" s="15" t="s">
        <v>36</v>
      </c>
      <c r="H67" s="12" t="s">
        <v>348</v>
      </c>
      <c r="I67" s="12" t="s">
        <v>349</v>
      </c>
    </row>
    <row r="68" customFormat="false" ht="42" hidden="false" customHeight="true" outlineLevel="0" collapsed="false">
      <c r="A68" s="11" t="s">
        <v>330</v>
      </c>
      <c r="B68" s="12" t="s">
        <v>350</v>
      </c>
      <c r="C68" s="12" t="s">
        <v>351</v>
      </c>
      <c r="D68" s="13" t="n">
        <v>6</v>
      </c>
      <c r="E68" s="14" t="s">
        <v>333</v>
      </c>
      <c r="F68" s="12" t="s">
        <v>343</v>
      </c>
      <c r="G68" s="15" t="s">
        <v>36</v>
      </c>
      <c r="H68" s="12" t="s">
        <v>352</v>
      </c>
      <c r="I68" s="12" t="s">
        <v>353</v>
      </c>
    </row>
    <row r="69" customFormat="false" ht="42" hidden="false" customHeight="true" outlineLevel="0" collapsed="false">
      <c r="A69" s="11" t="s">
        <v>330</v>
      </c>
      <c r="B69" s="12" t="s">
        <v>354</v>
      </c>
      <c r="C69" s="12" t="s">
        <v>355</v>
      </c>
      <c r="D69" s="13" t="n">
        <v>9</v>
      </c>
      <c r="E69" s="14" t="s">
        <v>333</v>
      </c>
      <c r="F69" s="12" t="s">
        <v>343</v>
      </c>
      <c r="G69" s="15" t="s">
        <v>36</v>
      </c>
      <c r="H69" s="12" t="s">
        <v>356</v>
      </c>
      <c r="I69" s="12" t="s">
        <v>357</v>
      </c>
    </row>
    <row r="70" customFormat="false" ht="42" hidden="false" customHeight="true" outlineLevel="0" collapsed="false">
      <c r="A70" s="11" t="s">
        <v>330</v>
      </c>
      <c r="B70" s="12" t="s">
        <v>358</v>
      </c>
      <c r="C70" s="12" t="s">
        <v>359</v>
      </c>
      <c r="D70" s="13" t="n">
        <v>2</v>
      </c>
      <c r="E70" s="14" t="s">
        <v>360</v>
      </c>
      <c r="F70" s="12" t="s">
        <v>361</v>
      </c>
      <c r="G70" s="15" t="s">
        <v>36</v>
      </c>
      <c r="H70" s="12" t="s">
        <v>362</v>
      </c>
      <c r="I70" s="12" t="s">
        <v>363</v>
      </c>
    </row>
    <row r="71" customFormat="false" ht="42" hidden="false" customHeight="true" outlineLevel="0" collapsed="false">
      <c r="A71" s="11" t="s">
        <v>330</v>
      </c>
      <c r="B71" s="12" t="s">
        <v>364</v>
      </c>
      <c r="C71" s="12" t="s">
        <v>365</v>
      </c>
      <c r="D71" s="13" t="n">
        <v>1</v>
      </c>
      <c r="E71" s="14" t="s">
        <v>366</v>
      </c>
      <c r="F71" s="12" t="s">
        <v>367</v>
      </c>
      <c r="G71" s="15" t="s">
        <v>36</v>
      </c>
      <c r="H71" s="12" t="s">
        <v>368</v>
      </c>
      <c r="I71" s="12" t="s">
        <v>369</v>
      </c>
    </row>
    <row r="72" customFormat="false" ht="42" hidden="false" customHeight="true" outlineLevel="0" collapsed="false">
      <c r="A72" s="11" t="s">
        <v>330</v>
      </c>
      <c r="B72" s="12" t="s">
        <v>370</v>
      </c>
      <c r="C72" s="12" t="s">
        <v>371</v>
      </c>
      <c r="D72" s="13" t="n">
        <v>1</v>
      </c>
      <c r="E72" s="14" t="s">
        <v>372</v>
      </c>
      <c r="F72" s="12" t="s">
        <v>373</v>
      </c>
      <c r="G72" s="15" t="s">
        <v>36</v>
      </c>
      <c r="H72" s="12" t="s">
        <v>374</v>
      </c>
      <c r="I72" s="12" t="s">
        <v>375</v>
      </c>
    </row>
    <row r="73" customFormat="false" ht="42" hidden="false" customHeight="true" outlineLevel="0" collapsed="false">
      <c r="A73" s="11" t="s">
        <v>330</v>
      </c>
      <c r="B73" s="12" t="s">
        <v>376</v>
      </c>
      <c r="C73" s="12" t="s">
        <v>377</v>
      </c>
      <c r="D73" s="13" t="n">
        <v>1</v>
      </c>
      <c r="E73" s="14" t="s">
        <v>303</v>
      </c>
      <c r="F73" s="12" t="s">
        <v>378</v>
      </c>
      <c r="G73" s="15" t="s">
        <v>36</v>
      </c>
      <c r="H73" s="12" t="s">
        <v>379</v>
      </c>
      <c r="I73" s="12" t="s">
        <v>380</v>
      </c>
    </row>
    <row r="74" customFormat="false" ht="42" hidden="false" customHeight="true" outlineLevel="0" collapsed="false">
      <c r="A74" s="11" t="s">
        <v>330</v>
      </c>
      <c r="B74" s="12" t="s">
        <v>381</v>
      </c>
      <c r="C74" s="12" t="s">
        <v>382</v>
      </c>
      <c r="D74" s="13" t="n">
        <v>10</v>
      </c>
      <c r="E74" s="14" t="s">
        <v>383</v>
      </c>
      <c r="F74" s="12" t="s">
        <v>384</v>
      </c>
      <c r="G74" s="15" t="s">
        <v>36</v>
      </c>
      <c r="H74" s="12" t="s">
        <v>385</v>
      </c>
      <c r="I74" s="12" t="s">
        <v>386</v>
      </c>
    </row>
    <row r="75" customFormat="false" ht="42" hidden="false" customHeight="true" outlineLevel="0" collapsed="false">
      <c r="A75" s="11" t="s">
        <v>387</v>
      </c>
      <c r="B75" s="12" t="s">
        <v>388</v>
      </c>
      <c r="C75" s="12" t="s">
        <v>389</v>
      </c>
      <c r="D75" s="13" t="n">
        <v>20</v>
      </c>
      <c r="E75" s="14" t="s">
        <v>383</v>
      </c>
      <c r="F75" s="12" t="s">
        <v>390</v>
      </c>
      <c r="G75" s="15" t="s">
        <v>36</v>
      </c>
      <c r="H75" s="12" t="s">
        <v>391</v>
      </c>
      <c r="I75" s="12" t="s">
        <v>392</v>
      </c>
    </row>
    <row r="76" customFormat="false" ht="42" hidden="false" customHeight="true" outlineLevel="0" collapsed="false">
      <c r="A76" s="11" t="s">
        <v>387</v>
      </c>
      <c r="B76" s="12" t="s">
        <v>393</v>
      </c>
      <c r="C76" s="12" t="s">
        <v>394</v>
      </c>
      <c r="D76" s="13" t="n">
        <v>4</v>
      </c>
      <c r="E76" s="14" t="s">
        <v>395</v>
      </c>
      <c r="F76" s="12" t="s">
        <v>390</v>
      </c>
      <c r="G76" s="15" t="s">
        <v>36</v>
      </c>
      <c r="H76" s="12" t="s">
        <v>396</v>
      </c>
      <c r="I76" s="12" t="s">
        <v>397</v>
      </c>
    </row>
    <row r="77" customFormat="false" ht="42" hidden="false" customHeight="true" outlineLevel="0" collapsed="false">
      <c r="A77" s="11" t="s">
        <v>387</v>
      </c>
      <c r="B77" s="12" t="s">
        <v>398</v>
      </c>
      <c r="C77" s="12" t="s">
        <v>399</v>
      </c>
      <c r="D77" s="13" t="n">
        <v>1</v>
      </c>
      <c r="E77" s="14" t="s">
        <v>400</v>
      </c>
      <c r="F77" s="12" t="s">
        <v>390</v>
      </c>
      <c r="G77" s="15" t="s">
        <v>36</v>
      </c>
      <c r="H77" s="12" t="s">
        <v>401</v>
      </c>
      <c r="I77" s="12" t="s">
        <v>402</v>
      </c>
    </row>
    <row r="78" customFormat="false" ht="42" hidden="false" customHeight="true" outlineLevel="0" collapsed="false">
      <c r="A78" s="11" t="s">
        <v>387</v>
      </c>
      <c r="B78" s="12" t="s">
        <v>403</v>
      </c>
      <c r="C78" s="12" t="s">
        <v>404</v>
      </c>
      <c r="D78" s="13" t="n">
        <v>0</v>
      </c>
      <c r="E78" s="14" t="s">
        <v>405</v>
      </c>
      <c r="F78" s="12" t="s">
        <v>390</v>
      </c>
      <c r="G78" s="15" t="s">
        <v>36</v>
      </c>
      <c r="H78" s="12" t="s">
        <v>406</v>
      </c>
      <c r="I78" s="12" t="s">
        <v>407</v>
      </c>
    </row>
    <row r="79" customFormat="false" ht="42" hidden="false" customHeight="true" outlineLevel="0" collapsed="false">
      <c r="A79" s="11" t="s">
        <v>387</v>
      </c>
      <c r="B79" s="12" t="s">
        <v>408</v>
      </c>
      <c r="C79" s="12" t="s">
        <v>409</v>
      </c>
      <c r="D79" s="13" t="n">
        <v>4</v>
      </c>
      <c r="E79" s="14" t="s">
        <v>333</v>
      </c>
      <c r="F79" s="12" t="s">
        <v>390</v>
      </c>
      <c r="G79" s="15" t="s">
        <v>36</v>
      </c>
      <c r="H79" s="12" t="s">
        <v>410</v>
      </c>
      <c r="I79" s="12" t="s">
        <v>411</v>
      </c>
    </row>
    <row r="80" customFormat="false" ht="42" hidden="false" customHeight="true" outlineLevel="0" collapsed="false">
      <c r="A80" s="11" t="s">
        <v>387</v>
      </c>
      <c r="B80" s="12" t="s">
        <v>412</v>
      </c>
      <c r="C80" s="12" t="s">
        <v>413</v>
      </c>
      <c r="D80" s="13" t="n">
        <v>1</v>
      </c>
      <c r="E80" s="14" t="s">
        <v>414</v>
      </c>
      <c r="F80" s="12" t="s">
        <v>390</v>
      </c>
      <c r="G80" s="15" t="s">
        <v>36</v>
      </c>
      <c r="H80" s="12" t="s">
        <v>415</v>
      </c>
      <c r="I80" s="12" t="s">
        <v>416</v>
      </c>
    </row>
    <row r="81" customFormat="false" ht="42" hidden="false" customHeight="true" outlineLevel="0" collapsed="false">
      <c r="A81" s="11" t="s">
        <v>387</v>
      </c>
      <c r="B81" s="12" t="s">
        <v>417</v>
      </c>
      <c r="C81" s="12" t="s">
        <v>418</v>
      </c>
      <c r="D81" s="13" t="n">
        <v>100</v>
      </c>
      <c r="E81" s="14" t="s">
        <v>419</v>
      </c>
      <c r="F81" s="12" t="s">
        <v>35</v>
      </c>
      <c r="G81" s="15" t="s">
        <v>36</v>
      </c>
      <c r="H81" s="12" t="s">
        <v>420</v>
      </c>
      <c r="I81" s="12" t="s">
        <v>421</v>
      </c>
    </row>
    <row r="82" customFormat="false" ht="42" hidden="false" customHeight="true" outlineLevel="0" collapsed="false">
      <c r="A82" s="11" t="s">
        <v>387</v>
      </c>
      <c r="B82" s="12" t="s">
        <v>422</v>
      </c>
      <c r="C82" s="12" t="s">
        <v>423</v>
      </c>
      <c r="D82" s="13" t="n">
        <v>1</v>
      </c>
      <c r="E82" s="14" t="s">
        <v>424</v>
      </c>
      <c r="F82" s="12" t="s">
        <v>425</v>
      </c>
      <c r="G82" s="15" t="s">
        <v>426</v>
      </c>
      <c r="H82" s="12" t="s">
        <v>427</v>
      </c>
      <c r="I82" s="12" t="s">
        <v>428</v>
      </c>
    </row>
    <row r="83" customFormat="false" ht="42" hidden="false" customHeight="true" outlineLevel="0" collapsed="false">
      <c r="A83" s="11" t="s">
        <v>387</v>
      </c>
      <c r="B83" s="12" t="s">
        <v>429</v>
      </c>
      <c r="C83" s="12" t="s">
        <v>430</v>
      </c>
      <c r="D83" s="13" t="n">
        <v>1</v>
      </c>
      <c r="E83" s="14" t="s">
        <v>137</v>
      </c>
      <c r="F83" s="12" t="s">
        <v>431</v>
      </c>
      <c r="G83" s="15" t="s">
        <v>36</v>
      </c>
      <c r="H83" s="12" t="s">
        <v>432</v>
      </c>
      <c r="I83" s="12" t="s">
        <v>433</v>
      </c>
    </row>
    <row r="84" customFormat="false" ht="42" hidden="false" customHeight="true" outlineLevel="0" collapsed="false">
      <c r="A84" s="11" t="s">
        <v>387</v>
      </c>
      <c r="B84" s="12" t="s">
        <v>434</v>
      </c>
      <c r="C84" s="12" t="s">
        <v>435</v>
      </c>
      <c r="D84" s="13" t="n">
        <v>2</v>
      </c>
      <c r="E84" s="14" t="s">
        <v>395</v>
      </c>
      <c r="F84" s="12" t="s">
        <v>431</v>
      </c>
      <c r="G84" s="15" t="s">
        <v>36</v>
      </c>
      <c r="H84" s="12" t="s">
        <v>436</v>
      </c>
      <c r="I84" s="12" t="s">
        <v>437</v>
      </c>
    </row>
    <row r="85" customFormat="false" ht="42" hidden="false" customHeight="true" outlineLevel="0" collapsed="false">
      <c r="A85" s="11" t="s">
        <v>387</v>
      </c>
      <c r="B85" s="12" t="s">
        <v>438</v>
      </c>
      <c r="C85" s="12" t="s">
        <v>439</v>
      </c>
      <c r="D85" s="13" t="n">
        <v>2</v>
      </c>
      <c r="E85" s="14" t="s">
        <v>137</v>
      </c>
      <c r="F85" s="12" t="s">
        <v>431</v>
      </c>
      <c r="G85" s="15" t="s">
        <v>36</v>
      </c>
      <c r="H85" s="12" t="s">
        <v>440</v>
      </c>
      <c r="I85" s="12" t="s">
        <v>441</v>
      </c>
    </row>
    <row r="86" customFormat="false" ht="42" hidden="false" customHeight="true" outlineLevel="0" collapsed="false">
      <c r="A86" s="11" t="s">
        <v>387</v>
      </c>
      <c r="B86" s="12" t="s">
        <v>442</v>
      </c>
      <c r="C86" s="12" t="s">
        <v>443</v>
      </c>
      <c r="D86" s="13" t="n">
        <v>3</v>
      </c>
      <c r="E86" s="14" t="s">
        <v>395</v>
      </c>
      <c r="F86" s="12" t="s">
        <v>431</v>
      </c>
      <c r="G86" s="15" t="s">
        <v>36</v>
      </c>
      <c r="H86" s="12" t="s">
        <v>444</v>
      </c>
      <c r="I86" s="12" t="s">
        <v>445</v>
      </c>
    </row>
    <row r="87" customFormat="false" ht="42" hidden="false" customHeight="true" outlineLevel="0" collapsed="false">
      <c r="A87" s="11" t="s">
        <v>387</v>
      </c>
      <c r="B87" s="12" t="s">
        <v>446</v>
      </c>
      <c r="C87" s="12" t="s">
        <v>447</v>
      </c>
      <c r="D87" s="13" t="n">
        <v>25</v>
      </c>
      <c r="E87" s="14" t="s">
        <v>383</v>
      </c>
      <c r="F87" s="12" t="s">
        <v>431</v>
      </c>
      <c r="G87" s="15" t="s">
        <v>36</v>
      </c>
      <c r="H87" s="12" t="s">
        <v>448</v>
      </c>
      <c r="I87" s="12" t="s">
        <v>449</v>
      </c>
    </row>
    <row r="88" customFormat="false" ht="42" hidden="false" customHeight="true" outlineLevel="0" collapsed="false">
      <c r="A88" s="11" t="s">
        <v>387</v>
      </c>
      <c r="B88" s="12" t="s">
        <v>450</v>
      </c>
      <c r="C88" s="12" t="s">
        <v>451</v>
      </c>
      <c r="D88" s="13" t="n">
        <v>1</v>
      </c>
      <c r="E88" s="14" t="s">
        <v>400</v>
      </c>
      <c r="F88" s="12" t="s">
        <v>431</v>
      </c>
      <c r="G88" s="15" t="s">
        <v>36</v>
      </c>
      <c r="H88" s="12" t="s">
        <v>452</v>
      </c>
      <c r="I88" s="12" t="s">
        <v>453</v>
      </c>
    </row>
    <row r="89" customFormat="false" ht="42" hidden="false" customHeight="true" outlineLevel="0" collapsed="false">
      <c r="A89" s="11" t="s">
        <v>387</v>
      </c>
      <c r="B89" s="12" t="s">
        <v>454</v>
      </c>
      <c r="C89" s="12" t="s">
        <v>455</v>
      </c>
      <c r="D89" s="13" t="n">
        <v>1</v>
      </c>
      <c r="E89" s="14" t="s">
        <v>405</v>
      </c>
      <c r="F89" s="12" t="s">
        <v>431</v>
      </c>
      <c r="G89" s="15" t="s">
        <v>36</v>
      </c>
      <c r="H89" s="12" t="s">
        <v>456</v>
      </c>
      <c r="I89" s="12" t="s">
        <v>457</v>
      </c>
    </row>
    <row r="90" customFormat="false" ht="42" hidden="false" customHeight="true" outlineLevel="0" collapsed="false">
      <c r="A90" s="11" t="s">
        <v>387</v>
      </c>
      <c r="B90" s="12" t="s">
        <v>458</v>
      </c>
      <c r="C90" s="12" t="s">
        <v>459</v>
      </c>
      <c r="D90" s="13" t="n">
        <v>5</v>
      </c>
      <c r="E90" s="14" t="s">
        <v>333</v>
      </c>
      <c r="F90" s="12" t="s">
        <v>431</v>
      </c>
      <c r="G90" s="15" t="s">
        <v>36</v>
      </c>
      <c r="H90" s="12" t="s">
        <v>460</v>
      </c>
      <c r="I90" s="12" t="s">
        <v>461</v>
      </c>
    </row>
    <row r="91" customFormat="false" ht="42" hidden="false" customHeight="true" outlineLevel="0" collapsed="false">
      <c r="A91" s="11" t="s">
        <v>387</v>
      </c>
      <c r="B91" s="12" t="s">
        <v>462</v>
      </c>
      <c r="C91" s="12" t="s">
        <v>463</v>
      </c>
      <c r="D91" s="13" t="n">
        <v>3</v>
      </c>
      <c r="E91" s="14" t="s">
        <v>137</v>
      </c>
      <c r="F91" s="12" t="s">
        <v>431</v>
      </c>
      <c r="G91" s="15" t="s">
        <v>36</v>
      </c>
      <c r="H91" s="12" t="s">
        <v>464</v>
      </c>
      <c r="I91" s="12" t="s">
        <v>465</v>
      </c>
    </row>
    <row r="92" customFormat="false" ht="42" hidden="false" customHeight="true" outlineLevel="0" collapsed="false">
      <c r="A92" s="11" t="s">
        <v>387</v>
      </c>
      <c r="B92" s="12" t="s">
        <v>466</v>
      </c>
      <c r="C92" s="12" t="s">
        <v>467</v>
      </c>
      <c r="D92" s="13" t="n">
        <v>4</v>
      </c>
      <c r="E92" s="14" t="s">
        <v>395</v>
      </c>
      <c r="F92" s="12" t="s">
        <v>431</v>
      </c>
      <c r="G92" s="15" t="s">
        <v>36</v>
      </c>
      <c r="H92" s="12" t="s">
        <v>468</v>
      </c>
      <c r="I92" s="12" t="s">
        <v>469</v>
      </c>
    </row>
    <row r="93" customFormat="false" ht="42" hidden="false" customHeight="true" outlineLevel="0" collapsed="false">
      <c r="A93" s="11" t="s">
        <v>387</v>
      </c>
      <c r="B93" s="12" t="s">
        <v>470</v>
      </c>
      <c r="C93" s="12" t="s">
        <v>471</v>
      </c>
      <c r="D93" s="13" t="n">
        <v>2</v>
      </c>
      <c r="E93" s="14" t="s">
        <v>158</v>
      </c>
      <c r="F93" s="12" t="s">
        <v>431</v>
      </c>
      <c r="G93" s="15" t="s">
        <v>36</v>
      </c>
      <c r="H93" s="12" t="s">
        <v>472</v>
      </c>
      <c r="I93" s="12" t="s">
        <v>473</v>
      </c>
    </row>
    <row r="94" customFormat="false" ht="42" hidden="false" customHeight="true" outlineLevel="0" collapsed="false">
      <c r="A94" s="11" t="s">
        <v>387</v>
      </c>
      <c r="B94" s="12" t="s">
        <v>474</v>
      </c>
      <c r="C94" s="12" t="s">
        <v>475</v>
      </c>
      <c r="D94" s="13" t="n">
        <v>25</v>
      </c>
      <c r="E94" s="14" t="s">
        <v>476</v>
      </c>
      <c r="F94" s="12" t="s">
        <v>477</v>
      </c>
      <c r="G94" s="15" t="s">
        <v>36</v>
      </c>
      <c r="H94" s="12" t="s">
        <v>478</v>
      </c>
      <c r="I94" s="12" t="s">
        <v>479</v>
      </c>
    </row>
    <row r="95" customFormat="false" ht="42" hidden="false" customHeight="true" outlineLevel="0" collapsed="false">
      <c r="A95" s="11" t="s">
        <v>387</v>
      </c>
      <c r="B95" s="12" t="s">
        <v>480</v>
      </c>
      <c r="C95" s="12" t="s">
        <v>481</v>
      </c>
      <c r="D95" s="13" t="n">
        <v>0</v>
      </c>
      <c r="E95" s="14" t="s">
        <v>137</v>
      </c>
      <c r="F95" s="12" t="s">
        <v>477</v>
      </c>
      <c r="G95" s="15" t="s">
        <v>36</v>
      </c>
      <c r="H95" s="12" t="s">
        <v>482</v>
      </c>
      <c r="I95" s="12" t="s">
        <v>483</v>
      </c>
    </row>
    <row r="96" customFormat="false" ht="42" hidden="false" customHeight="true" outlineLevel="0" collapsed="false">
      <c r="A96" s="11" t="s">
        <v>387</v>
      </c>
      <c r="B96" s="12" t="s">
        <v>484</v>
      </c>
      <c r="C96" s="12" t="s">
        <v>485</v>
      </c>
      <c r="D96" s="13" t="n">
        <v>5</v>
      </c>
      <c r="E96" s="14" t="s">
        <v>395</v>
      </c>
      <c r="F96" s="12" t="s">
        <v>486</v>
      </c>
      <c r="G96" s="15" t="s">
        <v>36</v>
      </c>
      <c r="H96" s="12" t="s">
        <v>487</v>
      </c>
      <c r="I96" s="12" t="s">
        <v>488</v>
      </c>
    </row>
    <row r="97" customFormat="false" ht="42" hidden="false" customHeight="true" outlineLevel="0" collapsed="false">
      <c r="A97" s="11" t="s">
        <v>387</v>
      </c>
      <c r="B97" s="12" t="s">
        <v>489</v>
      </c>
      <c r="C97" s="12" t="s">
        <v>490</v>
      </c>
      <c r="D97" s="13" t="n">
        <v>1</v>
      </c>
      <c r="E97" s="14" t="s">
        <v>400</v>
      </c>
      <c r="F97" s="12" t="s">
        <v>486</v>
      </c>
      <c r="G97" s="15" t="s">
        <v>36</v>
      </c>
      <c r="H97" s="12" t="s">
        <v>491</v>
      </c>
      <c r="I97" s="12" t="s">
        <v>492</v>
      </c>
    </row>
    <row r="98" customFormat="false" ht="42" hidden="false" customHeight="true" outlineLevel="0" collapsed="false">
      <c r="A98" s="11" t="s">
        <v>387</v>
      </c>
      <c r="B98" s="12" t="s">
        <v>493</v>
      </c>
      <c r="C98" s="12" t="s">
        <v>494</v>
      </c>
      <c r="D98" s="13" t="n">
        <v>2</v>
      </c>
      <c r="E98" s="14" t="s">
        <v>405</v>
      </c>
      <c r="F98" s="12" t="s">
        <v>486</v>
      </c>
      <c r="G98" s="15" t="s">
        <v>36</v>
      </c>
      <c r="H98" s="12" t="s">
        <v>495</v>
      </c>
      <c r="I98" s="12" t="s">
        <v>496</v>
      </c>
    </row>
    <row r="99" customFormat="false" ht="42" hidden="false" customHeight="true" outlineLevel="0" collapsed="false">
      <c r="A99" s="11" t="s">
        <v>387</v>
      </c>
      <c r="B99" s="12" t="s">
        <v>497</v>
      </c>
      <c r="C99" s="12" t="s">
        <v>498</v>
      </c>
      <c r="D99" s="13" t="n">
        <v>2</v>
      </c>
      <c r="E99" s="14" t="s">
        <v>499</v>
      </c>
      <c r="F99" s="12" t="s">
        <v>500</v>
      </c>
      <c r="G99" s="15" t="s">
        <v>36</v>
      </c>
      <c r="H99" s="12" t="s">
        <v>501</v>
      </c>
      <c r="I99" s="12" t="s">
        <v>502</v>
      </c>
    </row>
    <row r="100" customFormat="false" ht="42" hidden="false" customHeight="true" outlineLevel="0" collapsed="false">
      <c r="A100" s="11" t="s">
        <v>387</v>
      </c>
      <c r="B100" s="12" t="s">
        <v>503</v>
      </c>
      <c r="C100" s="12" t="s">
        <v>504</v>
      </c>
      <c r="D100" s="13" t="n">
        <v>6</v>
      </c>
      <c r="E100" s="14" t="s">
        <v>505</v>
      </c>
      <c r="F100" s="12" t="s">
        <v>500</v>
      </c>
      <c r="G100" s="15" t="s">
        <v>327</v>
      </c>
      <c r="H100" s="12" t="s">
        <v>506</v>
      </c>
      <c r="I100" s="12" t="s">
        <v>507</v>
      </c>
    </row>
    <row r="101" customFormat="false" ht="42" hidden="false" customHeight="true" outlineLevel="0" collapsed="false">
      <c r="A101" s="11" t="s">
        <v>387</v>
      </c>
      <c r="B101" s="12" t="s">
        <v>508</v>
      </c>
      <c r="C101" s="12" t="s">
        <v>509</v>
      </c>
      <c r="D101" s="13" t="n">
        <v>55</v>
      </c>
      <c r="E101" s="14" t="s">
        <v>261</v>
      </c>
      <c r="F101" s="12" t="s">
        <v>500</v>
      </c>
      <c r="G101" s="15" t="s">
        <v>327</v>
      </c>
      <c r="H101" s="12" t="s">
        <v>510</v>
      </c>
      <c r="I101" s="12" t="s">
        <v>511</v>
      </c>
    </row>
    <row r="102" customFormat="false" ht="42" hidden="false" customHeight="true" outlineLevel="0" collapsed="false">
      <c r="A102" s="11" t="s">
        <v>512</v>
      </c>
      <c r="B102" s="12" t="s">
        <v>513</v>
      </c>
      <c r="C102" s="12" t="s">
        <v>514</v>
      </c>
      <c r="D102" s="13" t="n">
        <v>1</v>
      </c>
      <c r="E102" s="14" t="s">
        <v>515</v>
      </c>
      <c r="F102" s="12" t="s">
        <v>516</v>
      </c>
      <c r="G102" s="15" t="s">
        <v>36</v>
      </c>
      <c r="H102" s="12" t="s">
        <v>517</v>
      </c>
      <c r="I102" s="12" t="s">
        <v>518</v>
      </c>
    </row>
    <row r="103" customFormat="false" ht="42" hidden="false" customHeight="true" outlineLevel="0" collapsed="false">
      <c r="A103" s="11" t="s">
        <v>512</v>
      </c>
      <c r="B103" s="12" t="s">
        <v>519</v>
      </c>
      <c r="C103" s="12" t="s">
        <v>520</v>
      </c>
      <c r="D103" s="13" t="n">
        <v>1</v>
      </c>
      <c r="E103" s="14" t="s">
        <v>521</v>
      </c>
      <c r="F103" s="12" t="s">
        <v>516</v>
      </c>
      <c r="G103" s="15" t="s">
        <v>36</v>
      </c>
      <c r="H103" s="12" t="s">
        <v>522</v>
      </c>
      <c r="I103" s="12" t="s">
        <v>523</v>
      </c>
    </row>
    <row r="104" customFormat="false" ht="42" hidden="false" customHeight="true" outlineLevel="0" collapsed="false">
      <c r="A104" s="11" t="s">
        <v>512</v>
      </c>
      <c r="B104" s="12" t="s">
        <v>524</v>
      </c>
      <c r="C104" s="12" t="s">
        <v>525</v>
      </c>
      <c r="D104" s="13" t="n">
        <v>35</v>
      </c>
      <c r="E104" s="14" t="s">
        <v>261</v>
      </c>
      <c r="F104" s="12" t="s">
        <v>516</v>
      </c>
      <c r="G104" s="15" t="s">
        <v>327</v>
      </c>
      <c r="H104" s="12" t="s">
        <v>526</v>
      </c>
      <c r="I104" s="12" t="s">
        <v>527</v>
      </c>
    </row>
    <row r="105" customFormat="false" ht="42" hidden="false" customHeight="true" outlineLevel="0" collapsed="false">
      <c r="A105" s="11" t="s">
        <v>512</v>
      </c>
      <c r="B105" s="12" t="s">
        <v>528</v>
      </c>
      <c r="C105" s="12" t="s">
        <v>529</v>
      </c>
      <c r="D105" s="13" t="n">
        <v>50</v>
      </c>
      <c r="E105" s="14" t="s">
        <v>419</v>
      </c>
      <c r="F105" s="12" t="s">
        <v>516</v>
      </c>
      <c r="G105" s="15" t="s">
        <v>36</v>
      </c>
      <c r="H105" s="12" t="s">
        <v>530</v>
      </c>
      <c r="I105" s="12" t="s">
        <v>531</v>
      </c>
    </row>
    <row r="106" customFormat="false" ht="42" hidden="false" customHeight="true" outlineLevel="0" collapsed="false">
      <c r="A106" s="11" t="s">
        <v>512</v>
      </c>
      <c r="B106" s="12" t="s">
        <v>532</v>
      </c>
      <c r="C106" s="12" t="s">
        <v>533</v>
      </c>
      <c r="D106" s="13" t="n">
        <v>1</v>
      </c>
      <c r="E106" s="14" t="s">
        <v>515</v>
      </c>
      <c r="F106" s="12" t="s">
        <v>534</v>
      </c>
      <c r="G106" s="15" t="s">
        <v>36</v>
      </c>
      <c r="H106" s="12" t="s">
        <v>535</v>
      </c>
      <c r="I106" s="12" t="s">
        <v>536</v>
      </c>
    </row>
    <row r="107" customFormat="false" ht="42" hidden="false" customHeight="true" outlineLevel="0" collapsed="false">
      <c r="A107" s="11" t="s">
        <v>512</v>
      </c>
      <c r="B107" s="12" t="s">
        <v>537</v>
      </c>
      <c r="C107" s="12" t="s">
        <v>538</v>
      </c>
      <c r="D107" s="13" t="n">
        <v>50</v>
      </c>
      <c r="E107" s="14" t="s">
        <v>261</v>
      </c>
      <c r="F107" s="12" t="s">
        <v>534</v>
      </c>
      <c r="G107" s="15" t="s">
        <v>36</v>
      </c>
      <c r="H107" s="12" t="s">
        <v>539</v>
      </c>
      <c r="I107" s="12" t="s">
        <v>540</v>
      </c>
    </row>
    <row r="108" customFormat="false" ht="42" hidden="false" customHeight="true" outlineLevel="0" collapsed="false">
      <c r="A108" s="11" t="s">
        <v>512</v>
      </c>
      <c r="B108" s="12" t="s">
        <v>541</v>
      </c>
      <c r="C108" s="12" t="s">
        <v>542</v>
      </c>
      <c r="D108" s="13" t="n">
        <v>25</v>
      </c>
      <c r="E108" s="14" t="s">
        <v>543</v>
      </c>
      <c r="F108" s="12" t="s">
        <v>534</v>
      </c>
      <c r="G108" s="15" t="s">
        <v>36</v>
      </c>
      <c r="H108" s="12" t="s">
        <v>544</v>
      </c>
      <c r="I108" s="12" t="s">
        <v>545</v>
      </c>
    </row>
    <row r="109" customFormat="false" ht="42" hidden="false" customHeight="true" outlineLevel="0" collapsed="false">
      <c r="A109" s="11" t="s">
        <v>512</v>
      </c>
      <c r="B109" s="12" t="s">
        <v>546</v>
      </c>
      <c r="C109" s="12" t="s">
        <v>547</v>
      </c>
      <c r="D109" s="13" t="n">
        <v>2</v>
      </c>
      <c r="E109" s="14" t="s">
        <v>515</v>
      </c>
      <c r="F109" s="12" t="s">
        <v>548</v>
      </c>
      <c r="G109" s="15" t="s">
        <v>36</v>
      </c>
      <c r="H109" s="12" t="s">
        <v>549</v>
      </c>
      <c r="I109" s="12" t="s">
        <v>550</v>
      </c>
    </row>
    <row r="110" customFormat="false" ht="42" hidden="false" customHeight="true" outlineLevel="0" collapsed="false">
      <c r="A110" s="11" t="s">
        <v>512</v>
      </c>
      <c r="B110" s="12" t="s">
        <v>551</v>
      </c>
      <c r="C110" s="12" t="s">
        <v>552</v>
      </c>
      <c r="D110" s="13" t="n">
        <v>40</v>
      </c>
      <c r="E110" s="14" t="s">
        <v>261</v>
      </c>
      <c r="F110" s="12" t="s">
        <v>548</v>
      </c>
      <c r="G110" s="15" t="s">
        <v>36</v>
      </c>
      <c r="H110" s="12" t="s">
        <v>553</v>
      </c>
      <c r="I110" s="12" t="s">
        <v>554</v>
      </c>
    </row>
    <row r="111" customFormat="false" ht="42" hidden="false" customHeight="true" outlineLevel="0" collapsed="false">
      <c r="A111" s="11" t="s">
        <v>555</v>
      </c>
      <c r="B111" s="12" t="s">
        <v>556</v>
      </c>
      <c r="C111" s="12" t="s">
        <v>557</v>
      </c>
      <c r="D111" s="13" t="n">
        <v>3</v>
      </c>
      <c r="E111" s="14" t="s">
        <v>333</v>
      </c>
      <c r="F111" s="12" t="s">
        <v>558</v>
      </c>
      <c r="G111" s="15" t="s">
        <v>36</v>
      </c>
      <c r="H111" s="12" t="s">
        <v>559</v>
      </c>
      <c r="I111" s="12" t="s">
        <v>560</v>
      </c>
    </row>
    <row r="112" customFormat="false" ht="42" hidden="false" customHeight="true" outlineLevel="0" collapsed="false">
      <c r="A112" s="11" t="s">
        <v>555</v>
      </c>
      <c r="B112" s="12" t="s">
        <v>561</v>
      </c>
      <c r="C112" s="12" t="s">
        <v>562</v>
      </c>
      <c r="D112" s="13" t="n">
        <v>3</v>
      </c>
      <c r="E112" s="14" t="s">
        <v>563</v>
      </c>
      <c r="F112" s="12" t="s">
        <v>558</v>
      </c>
      <c r="G112" s="15" t="s">
        <v>564</v>
      </c>
      <c r="H112" s="12" t="s">
        <v>565</v>
      </c>
      <c r="I112" s="12" t="s">
        <v>566</v>
      </c>
    </row>
    <row r="113" customFormat="false" ht="42" hidden="false" customHeight="true" outlineLevel="0" collapsed="false">
      <c r="A113" s="11" t="s">
        <v>555</v>
      </c>
      <c r="B113" s="12" t="s">
        <v>567</v>
      </c>
      <c r="C113" s="12" t="s">
        <v>568</v>
      </c>
      <c r="D113" s="13" t="n">
        <v>1</v>
      </c>
      <c r="E113" s="14" t="s">
        <v>569</v>
      </c>
      <c r="F113" s="12" t="s">
        <v>558</v>
      </c>
      <c r="G113" s="15" t="s">
        <v>36</v>
      </c>
      <c r="H113" s="12" t="s">
        <v>570</v>
      </c>
      <c r="I113" s="12" t="s">
        <v>571</v>
      </c>
    </row>
    <row r="114" customFormat="false" ht="42" hidden="false" customHeight="true" outlineLevel="0" collapsed="false">
      <c r="A114" s="11" t="s">
        <v>555</v>
      </c>
      <c r="B114" s="12" t="s">
        <v>572</v>
      </c>
      <c r="C114" s="12" t="s">
        <v>573</v>
      </c>
      <c r="D114" s="13" t="n">
        <v>1</v>
      </c>
      <c r="E114" s="14" t="s">
        <v>563</v>
      </c>
      <c r="F114" s="12" t="s">
        <v>558</v>
      </c>
      <c r="G114" s="15" t="s">
        <v>564</v>
      </c>
      <c r="H114" s="12" t="s">
        <v>574</v>
      </c>
      <c r="I114" s="12" t="s">
        <v>575</v>
      </c>
    </row>
    <row r="115" customFormat="false" ht="42" hidden="false" customHeight="true" outlineLevel="0" collapsed="false">
      <c r="A115" s="11" t="s">
        <v>576</v>
      </c>
      <c r="B115" s="12" t="s">
        <v>577</v>
      </c>
      <c r="C115" s="12" t="s">
        <v>578</v>
      </c>
      <c r="D115" s="13" t="n">
        <v>1</v>
      </c>
      <c r="E115" s="14" t="s">
        <v>521</v>
      </c>
      <c r="F115" s="12" t="s">
        <v>35</v>
      </c>
      <c r="G115" s="15" t="s">
        <v>36</v>
      </c>
      <c r="H115" s="12" t="s">
        <v>579</v>
      </c>
      <c r="I115" s="12" t="s">
        <v>580</v>
      </c>
    </row>
    <row r="116" customFormat="false" ht="42" hidden="false" customHeight="true" outlineLevel="0" collapsed="false">
      <c r="A116" s="11" t="s">
        <v>576</v>
      </c>
      <c r="B116" s="12" t="s">
        <v>581</v>
      </c>
      <c r="C116" s="12" t="s">
        <v>582</v>
      </c>
      <c r="D116" s="13" t="n">
        <v>3</v>
      </c>
      <c r="E116" s="14" t="s">
        <v>583</v>
      </c>
      <c r="F116" s="12" t="s">
        <v>35</v>
      </c>
      <c r="G116" s="15" t="s">
        <v>36</v>
      </c>
      <c r="H116" s="12" t="s">
        <v>584</v>
      </c>
      <c r="I116" s="12" t="s">
        <v>585</v>
      </c>
    </row>
    <row r="117" customFormat="false" ht="42" hidden="false" customHeight="true" outlineLevel="0" collapsed="false">
      <c r="A117" s="11" t="s">
        <v>576</v>
      </c>
      <c r="B117" s="12" t="s">
        <v>586</v>
      </c>
      <c r="C117" s="12" t="s">
        <v>587</v>
      </c>
      <c r="D117" s="13" t="n">
        <v>5</v>
      </c>
      <c r="E117" s="14" t="s">
        <v>583</v>
      </c>
      <c r="F117" s="12" t="s">
        <v>588</v>
      </c>
      <c r="G117" s="15" t="s">
        <v>589</v>
      </c>
      <c r="H117" s="12" t="s">
        <v>590</v>
      </c>
      <c r="I117" s="12" t="s">
        <v>591</v>
      </c>
    </row>
    <row r="118" customFormat="false" ht="42" hidden="false" customHeight="true" outlineLevel="0" collapsed="false">
      <c r="A118" s="11" t="s">
        <v>576</v>
      </c>
      <c r="B118" s="12" t="s">
        <v>592</v>
      </c>
      <c r="C118" s="12" t="s">
        <v>593</v>
      </c>
      <c r="D118" s="13" t="n">
        <v>6</v>
      </c>
      <c r="E118" s="14" t="s">
        <v>594</v>
      </c>
      <c r="F118" s="12" t="s">
        <v>595</v>
      </c>
      <c r="G118" s="15" t="s">
        <v>596</v>
      </c>
      <c r="H118" s="12" t="s">
        <v>597</v>
      </c>
      <c r="I118" s="12" t="s">
        <v>598</v>
      </c>
    </row>
    <row r="119" customFormat="false" ht="42" hidden="false" customHeight="true" outlineLevel="0" collapsed="false">
      <c r="A119" s="11" t="s">
        <v>576</v>
      </c>
      <c r="B119" s="12" t="s">
        <v>599</v>
      </c>
      <c r="C119" s="12" t="s">
        <v>600</v>
      </c>
      <c r="D119" s="13" t="n">
        <v>70</v>
      </c>
      <c r="E119" s="14" t="s">
        <v>261</v>
      </c>
      <c r="F119" s="12" t="s">
        <v>601</v>
      </c>
      <c r="G119" s="15" t="s">
        <v>602</v>
      </c>
      <c r="H119" s="12" t="s">
        <v>603</v>
      </c>
      <c r="I119" s="12" t="s">
        <v>604</v>
      </c>
    </row>
    <row r="120" customFormat="false" ht="42" hidden="false" customHeight="true" outlineLevel="0" collapsed="false">
      <c r="A120" s="11" t="s">
        <v>576</v>
      </c>
      <c r="B120" s="12" t="s">
        <v>605</v>
      </c>
      <c r="C120" s="12" t="s">
        <v>606</v>
      </c>
      <c r="D120" s="13" t="n">
        <v>50</v>
      </c>
      <c r="E120" s="14" t="s">
        <v>261</v>
      </c>
      <c r="F120" s="12" t="s">
        <v>601</v>
      </c>
      <c r="G120" s="15" t="s">
        <v>602</v>
      </c>
      <c r="H120" s="12" t="s">
        <v>603</v>
      </c>
      <c r="I120" s="12" t="s">
        <v>607</v>
      </c>
    </row>
    <row r="121" customFormat="false" ht="42" hidden="false" customHeight="true" outlineLevel="0" collapsed="false">
      <c r="A121" s="11" t="s">
        <v>576</v>
      </c>
      <c r="B121" s="12" t="s">
        <v>608</v>
      </c>
      <c r="C121" s="12" t="s">
        <v>609</v>
      </c>
      <c r="D121" s="13" t="n">
        <v>40</v>
      </c>
      <c r="E121" s="14" t="s">
        <v>261</v>
      </c>
      <c r="F121" s="12" t="s">
        <v>610</v>
      </c>
      <c r="G121" s="15" t="s">
        <v>602</v>
      </c>
      <c r="H121" s="12" t="s">
        <v>611</v>
      </c>
      <c r="I121" s="12" t="s">
        <v>612</v>
      </c>
    </row>
    <row r="122" customFormat="false" ht="42" hidden="false" customHeight="true" outlineLevel="0" collapsed="false">
      <c r="A122" s="11" t="s">
        <v>613</v>
      </c>
      <c r="B122" s="12" t="s">
        <v>614</v>
      </c>
      <c r="C122" s="12" t="s">
        <v>615</v>
      </c>
      <c r="D122" s="13" t="n">
        <v>33.333333</v>
      </c>
      <c r="E122" s="14" t="s">
        <v>261</v>
      </c>
      <c r="F122" s="12" t="s">
        <v>616</v>
      </c>
      <c r="G122" s="15" t="s">
        <v>36</v>
      </c>
      <c r="H122" s="12" t="s">
        <v>617</v>
      </c>
      <c r="I122" s="12" t="s">
        <v>618</v>
      </c>
    </row>
    <row r="123" customFormat="false" ht="42" hidden="false" customHeight="true" outlineLevel="0" collapsed="false">
      <c r="A123" s="11" t="s">
        <v>576</v>
      </c>
      <c r="B123" s="12" t="s">
        <v>619</v>
      </c>
      <c r="C123" s="12" t="s">
        <v>620</v>
      </c>
      <c r="D123" s="13" t="n">
        <v>60</v>
      </c>
      <c r="E123" s="14" t="s">
        <v>261</v>
      </c>
      <c r="F123" s="12" t="s">
        <v>621</v>
      </c>
      <c r="G123" s="15" t="s">
        <v>36</v>
      </c>
      <c r="H123" s="12" t="s">
        <v>622</v>
      </c>
      <c r="I123" s="12" t="s">
        <v>623</v>
      </c>
    </row>
    <row r="124" customFormat="false" ht="42" hidden="false" customHeight="true" outlineLevel="0" collapsed="false">
      <c r="A124" s="11" t="s">
        <v>624</v>
      </c>
      <c r="B124" s="12" t="s">
        <v>625</v>
      </c>
      <c r="C124" s="12" t="s">
        <v>626</v>
      </c>
      <c r="D124" s="13" t="n">
        <v>1</v>
      </c>
      <c r="E124" s="14" t="s">
        <v>627</v>
      </c>
      <c r="F124" s="12" t="s">
        <v>628</v>
      </c>
      <c r="G124" s="15" t="s">
        <v>426</v>
      </c>
      <c r="H124" s="12" t="s">
        <v>629</v>
      </c>
      <c r="I124" s="12" t="s">
        <v>630</v>
      </c>
    </row>
    <row r="125" customFormat="false" ht="42" hidden="false" customHeight="true" outlineLevel="0" collapsed="false">
      <c r="A125" s="11" t="s">
        <v>624</v>
      </c>
      <c r="B125" s="12" t="s">
        <v>631</v>
      </c>
      <c r="C125" s="12" t="s">
        <v>632</v>
      </c>
      <c r="D125" s="13" t="n">
        <v>1</v>
      </c>
      <c r="E125" s="14" t="s">
        <v>633</v>
      </c>
      <c r="F125" s="12" t="s">
        <v>628</v>
      </c>
      <c r="G125" s="15" t="s">
        <v>426</v>
      </c>
      <c r="H125" s="12" t="s">
        <v>634</v>
      </c>
      <c r="I125" s="12" t="s">
        <v>635</v>
      </c>
    </row>
    <row r="126" customFormat="false" ht="42" hidden="false" customHeight="true" outlineLevel="0" collapsed="false">
      <c r="A126" s="11" t="s">
        <v>636</v>
      </c>
      <c r="B126" s="12" t="s">
        <v>637</v>
      </c>
      <c r="C126" s="12" t="s">
        <v>638</v>
      </c>
      <c r="D126" s="13" t="n">
        <v>50</v>
      </c>
      <c r="E126" s="14" t="s">
        <v>383</v>
      </c>
      <c r="F126" s="12" t="s">
        <v>639</v>
      </c>
      <c r="G126" s="15" t="s">
        <v>36</v>
      </c>
      <c r="H126" s="12" t="s">
        <v>640</v>
      </c>
      <c r="I126" s="12" t="s">
        <v>641</v>
      </c>
    </row>
    <row r="127" customFormat="false" ht="42" hidden="false" customHeight="true" outlineLevel="0" collapsed="false">
      <c r="A127" s="11" t="s">
        <v>636</v>
      </c>
      <c r="B127" s="12" t="s">
        <v>642</v>
      </c>
      <c r="C127" s="12" t="s">
        <v>643</v>
      </c>
      <c r="D127" s="13" t="n">
        <v>5</v>
      </c>
      <c r="E127" s="14" t="s">
        <v>644</v>
      </c>
      <c r="F127" s="12" t="s">
        <v>639</v>
      </c>
      <c r="G127" s="15" t="s">
        <v>36</v>
      </c>
      <c r="H127" s="12" t="s">
        <v>645</v>
      </c>
      <c r="I127" s="12" t="s">
        <v>646</v>
      </c>
    </row>
    <row r="128" customFormat="false" ht="42" hidden="false" customHeight="true" outlineLevel="0" collapsed="false">
      <c r="A128" s="11" t="s">
        <v>636</v>
      </c>
      <c r="B128" s="12" t="s">
        <v>647</v>
      </c>
      <c r="C128" s="12" t="s">
        <v>648</v>
      </c>
      <c r="D128" s="13" t="n">
        <v>5</v>
      </c>
      <c r="E128" s="14" t="s">
        <v>261</v>
      </c>
      <c r="F128" s="12" t="s">
        <v>639</v>
      </c>
      <c r="G128" s="15" t="s">
        <v>36</v>
      </c>
      <c r="H128" s="12" t="s">
        <v>649</v>
      </c>
      <c r="I128" s="12" t="s">
        <v>650</v>
      </c>
    </row>
    <row r="129" customFormat="false" ht="42" hidden="false" customHeight="true" outlineLevel="0" collapsed="false">
      <c r="A129" s="11" t="s">
        <v>636</v>
      </c>
      <c r="B129" s="12" t="s">
        <v>651</v>
      </c>
      <c r="C129" s="12" t="s">
        <v>652</v>
      </c>
      <c r="D129" s="13" t="n">
        <v>95</v>
      </c>
      <c r="E129" s="14" t="s">
        <v>261</v>
      </c>
      <c r="F129" s="12" t="s">
        <v>639</v>
      </c>
      <c r="G129" s="15" t="s">
        <v>36</v>
      </c>
      <c r="H129" s="12" t="s">
        <v>653</v>
      </c>
      <c r="I129" s="12" t="s">
        <v>654</v>
      </c>
    </row>
    <row r="130" customFormat="false" ht="42" hidden="false" customHeight="true" outlineLevel="0" collapsed="false">
      <c r="A130" s="11" t="s">
        <v>636</v>
      </c>
      <c r="B130" s="12" t="s">
        <v>655</v>
      </c>
      <c r="C130" s="12" t="s">
        <v>656</v>
      </c>
      <c r="D130" s="13" t="n">
        <v>5</v>
      </c>
      <c r="E130" s="14" t="s">
        <v>383</v>
      </c>
      <c r="F130" s="12" t="s">
        <v>384</v>
      </c>
      <c r="G130" s="15" t="s">
        <v>36</v>
      </c>
      <c r="H130" s="12" t="s">
        <v>657</v>
      </c>
      <c r="I130" s="12" t="s">
        <v>658</v>
      </c>
    </row>
    <row r="131" customFormat="false" ht="42" hidden="false" customHeight="true" outlineLevel="0" collapsed="false">
      <c r="A131" s="11" t="s">
        <v>636</v>
      </c>
      <c r="B131" s="12" t="s">
        <v>659</v>
      </c>
      <c r="C131" s="12" t="s">
        <v>660</v>
      </c>
      <c r="D131" s="13" t="n">
        <v>10</v>
      </c>
      <c r="E131" s="14" t="s">
        <v>383</v>
      </c>
      <c r="F131" s="12" t="s">
        <v>661</v>
      </c>
      <c r="G131" s="15" t="s">
        <v>36</v>
      </c>
      <c r="H131" s="12" t="s">
        <v>662</v>
      </c>
      <c r="I131" s="12" t="s">
        <v>663</v>
      </c>
    </row>
    <row r="132" customFormat="false" ht="42" hidden="false" customHeight="true" outlineLevel="0" collapsed="false">
      <c r="A132" s="11" t="s">
        <v>636</v>
      </c>
      <c r="B132" s="12" t="s">
        <v>664</v>
      </c>
      <c r="C132" s="12" t="s">
        <v>665</v>
      </c>
      <c r="D132" s="13" t="n">
        <v>5</v>
      </c>
      <c r="E132" s="14" t="s">
        <v>383</v>
      </c>
      <c r="F132" s="12" t="s">
        <v>661</v>
      </c>
      <c r="G132" s="15" t="s">
        <v>36</v>
      </c>
      <c r="H132" s="12" t="s">
        <v>666</v>
      </c>
      <c r="I132" s="12" t="s">
        <v>667</v>
      </c>
    </row>
    <row r="133" customFormat="false" ht="42" hidden="false" customHeight="true" outlineLevel="0" collapsed="false">
      <c r="A133" s="11" t="s">
        <v>636</v>
      </c>
      <c r="B133" s="12" t="s">
        <v>668</v>
      </c>
      <c r="C133" s="12" t="s">
        <v>669</v>
      </c>
      <c r="D133" s="13" t="n">
        <v>10</v>
      </c>
      <c r="E133" s="14" t="s">
        <v>383</v>
      </c>
      <c r="F133" s="12" t="s">
        <v>670</v>
      </c>
      <c r="G133" s="15" t="s">
        <v>36</v>
      </c>
      <c r="H133" s="12" t="s">
        <v>671</v>
      </c>
      <c r="I133" s="12" t="s">
        <v>672</v>
      </c>
    </row>
    <row r="134" customFormat="false" ht="42" hidden="false" customHeight="true" outlineLevel="0" collapsed="false">
      <c r="A134" s="11" t="s">
        <v>636</v>
      </c>
      <c r="B134" s="12" t="s">
        <v>673</v>
      </c>
      <c r="C134" s="12" t="s">
        <v>674</v>
      </c>
      <c r="D134" s="13" t="n">
        <v>1</v>
      </c>
      <c r="E134" s="14" t="s">
        <v>675</v>
      </c>
      <c r="F134" s="12" t="s">
        <v>639</v>
      </c>
      <c r="G134" s="15" t="s">
        <v>36</v>
      </c>
      <c r="H134" s="12" t="s">
        <v>676</v>
      </c>
      <c r="I134" s="12" t="s">
        <v>677</v>
      </c>
    </row>
    <row r="135" customFormat="false" ht="42" hidden="false" customHeight="true" outlineLevel="0" collapsed="false">
      <c r="A135" s="11" t="s">
        <v>636</v>
      </c>
      <c r="B135" s="12" t="s">
        <v>678</v>
      </c>
      <c r="C135" s="12" t="s">
        <v>679</v>
      </c>
      <c r="D135" s="13" t="n">
        <v>100</v>
      </c>
      <c r="E135" s="14" t="s">
        <v>675</v>
      </c>
      <c r="F135" s="12" t="s">
        <v>639</v>
      </c>
      <c r="G135" s="15" t="s">
        <v>36</v>
      </c>
      <c r="H135" s="12" t="s">
        <v>676</v>
      </c>
      <c r="I135" s="12" t="s">
        <v>680</v>
      </c>
    </row>
  </sheetData>
  <autoFilter ref="A4:I130"/>
  <mergeCells count="2">
    <mergeCell ref="A1:I1"/>
    <mergeCell ref="A2:I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8" t="s">
        <v>681</v>
      </c>
      <c r="B1" s="8"/>
      <c r="C1" s="8"/>
      <c r="D1" s="8"/>
      <c r="E1" s="8"/>
      <c r="F1" s="8"/>
      <c r="G1" s="8"/>
      <c r="H1" s="8"/>
      <c r="I1" s="8"/>
      <c r="J1" s="8"/>
    </row>
    <row r="2" customFormat="false" ht="33.75" hidden="false" customHeight="true" outlineLevel="0" collapsed="false">
      <c r="A2" s="9" t="s">
        <v>682</v>
      </c>
      <c r="B2" s="9"/>
      <c r="C2" s="9"/>
      <c r="D2" s="9"/>
      <c r="E2" s="9"/>
      <c r="F2" s="9"/>
      <c r="G2" s="9"/>
      <c r="H2" s="9"/>
      <c r="I2" s="9"/>
      <c r="J2" s="9"/>
    </row>
    <row r="3" customFormat="false" ht="7.5" hidden="false" customHeight="true" outlineLevel="0" collapsed="false"/>
    <row r="4" customFormat="false" ht="30" hidden="false" customHeight="true" outlineLevel="0" collapsed="false">
      <c r="A4" s="10" t="s">
        <v>683</v>
      </c>
      <c r="B4" s="10" t="s">
        <v>684</v>
      </c>
      <c r="C4" s="10" t="s">
        <v>685</v>
      </c>
      <c r="D4" s="10" t="s">
        <v>686</v>
      </c>
      <c r="E4" s="10" t="s">
        <v>687</v>
      </c>
      <c r="F4" s="10" t="s">
        <v>688</v>
      </c>
      <c r="G4" s="10" t="s">
        <v>689</v>
      </c>
      <c r="H4" s="10" t="s">
        <v>690</v>
      </c>
      <c r="I4" s="10" t="s">
        <v>691</v>
      </c>
      <c r="J4" s="10" t="s">
        <v>692</v>
      </c>
    </row>
    <row r="5" customFormat="false" ht="42" hidden="false" customHeight="true" outlineLevel="0" collapsed="false">
      <c r="A5" s="16" t="s">
        <v>693</v>
      </c>
      <c r="B5" s="16" t="s">
        <v>694</v>
      </c>
      <c r="C5" s="16" t="s">
        <v>695</v>
      </c>
      <c r="D5" s="16" t="s">
        <v>696</v>
      </c>
      <c r="E5" s="16" t="s">
        <v>697</v>
      </c>
      <c r="F5" s="16" t="s">
        <v>698</v>
      </c>
      <c r="G5" s="16" t="s">
        <v>699</v>
      </c>
      <c r="H5" s="16" t="s">
        <v>700</v>
      </c>
      <c r="I5" s="16" t="s">
        <v>701</v>
      </c>
      <c r="J5" s="16" t="s">
        <v>702</v>
      </c>
    </row>
    <row r="6" customFormat="false" ht="42" hidden="false" customHeight="true" outlineLevel="0" collapsed="false">
      <c r="A6" s="16" t="s">
        <v>703</v>
      </c>
      <c r="B6" s="16" t="s">
        <v>704</v>
      </c>
      <c r="C6" s="16" t="s">
        <v>695</v>
      </c>
      <c r="D6" s="16" t="s">
        <v>705</v>
      </c>
      <c r="E6" s="16" t="s">
        <v>697</v>
      </c>
      <c r="F6" s="16" t="s">
        <v>706</v>
      </c>
      <c r="G6" s="16" t="s">
        <v>707</v>
      </c>
      <c r="H6" s="16" t="s">
        <v>700</v>
      </c>
      <c r="I6" s="16" t="s">
        <v>701</v>
      </c>
      <c r="J6" s="16" t="s">
        <v>708</v>
      </c>
    </row>
    <row r="7" customFormat="false" ht="42" hidden="false" customHeight="true" outlineLevel="0" collapsed="false">
      <c r="A7" s="16" t="s">
        <v>709</v>
      </c>
      <c r="B7" s="16" t="s">
        <v>710</v>
      </c>
      <c r="C7" s="16" t="s">
        <v>695</v>
      </c>
      <c r="D7" s="16" t="s">
        <v>711</v>
      </c>
      <c r="E7" s="16" t="s">
        <v>697</v>
      </c>
      <c r="F7" s="16" t="s">
        <v>712</v>
      </c>
      <c r="G7" s="16" t="s">
        <v>713</v>
      </c>
      <c r="H7" s="16" t="s">
        <v>700</v>
      </c>
      <c r="I7" s="16" t="s">
        <v>701</v>
      </c>
      <c r="J7" s="16" t="s">
        <v>714</v>
      </c>
    </row>
    <row r="8" customFormat="false" ht="42" hidden="false" customHeight="true" outlineLevel="0" collapsed="false">
      <c r="A8" s="16" t="s">
        <v>715</v>
      </c>
      <c r="B8" s="16" t="s">
        <v>716</v>
      </c>
      <c r="C8" s="16" t="s">
        <v>695</v>
      </c>
      <c r="D8" s="16" t="s">
        <v>717</v>
      </c>
      <c r="E8" s="16" t="s">
        <v>718</v>
      </c>
      <c r="F8" s="16" t="s">
        <v>719</v>
      </c>
      <c r="G8" s="16" t="s">
        <v>720</v>
      </c>
      <c r="H8" s="16" t="s">
        <v>700</v>
      </c>
      <c r="I8" s="16" t="s">
        <v>721</v>
      </c>
      <c r="J8" s="16" t="s">
        <v>722</v>
      </c>
    </row>
    <row r="9" customFormat="false" ht="42" hidden="false" customHeight="true" outlineLevel="0" collapsed="false">
      <c r="A9" s="16" t="s">
        <v>723</v>
      </c>
      <c r="B9" s="16" t="s">
        <v>724</v>
      </c>
      <c r="C9" s="16" t="s">
        <v>695</v>
      </c>
      <c r="D9" s="16" t="s">
        <v>717</v>
      </c>
      <c r="E9" s="16" t="s">
        <v>725</v>
      </c>
      <c r="F9" s="16" t="s">
        <v>719</v>
      </c>
      <c r="G9" s="16" t="s">
        <v>726</v>
      </c>
      <c r="H9" s="16" t="s">
        <v>700</v>
      </c>
      <c r="I9" s="16" t="s">
        <v>721</v>
      </c>
      <c r="J9" s="16" t="s">
        <v>727</v>
      </c>
    </row>
    <row r="10" customFormat="false" ht="42" hidden="false" customHeight="true" outlineLevel="0" collapsed="false">
      <c r="A10" s="16" t="s">
        <v>728</v>
      </c>
      <c r="B10" s="16" t="s">
        <v>729</v>
      </c>
      <c r="C10" s="16" t="s">
        <v>695</v>
      </c>
      <c r="D10" s="16" t="s">
        <v>717</v>
      </c>
      <c r="E10" s="16" t="s">
        <v>730</v>
      </c>
      <c r="F10" s="16" t="s">
        <v>719</v>
      </c>
      <c r="G10" s="16" t="s">
        <v>731</v>
      </c>
      <c r="H10" s="16" t="s">
        <v>700</v>
      </c>
      <c r="I10" s="16" t="s">
        <v>721</v>
      </c>
      <c r="J10" s="16" t="s">
        <v>732</v>
      </c>
    </row>
    <row r="11" customFormat="false" ht="42" hidden="false" customHeight="true" outlineLevel="0" collapsed="false">
      <c r="A11" s="16" t="s">
        <v>733</v>
      </c>
      <c r="B11" s="16" t="s">
        <v>734</v>
      </c>
      <c r="C11" s="16" t="s">
        <v>695</v>
      </c>
      <c r="D11" s="16" t="s">
        <v>717</v>
      </c>
      <c r="E11" s="16" t="s">
        <v>735</v>
      </c>
      <c r="F11" s="16" t="s">
        <v>719</v>
      </c>
      <c r="G11" s="16" t="s">
        <v>736</v>
      </c>
      <c r="H11" s="16" t="s">
        <v>700</v>
      </c>
      <c r="I11" s="16" t="s">
        <v>737</v>
      </c>
      <c r="J11" s="16" t="s">
        <v>738</v>
      </c>
    </row>
    <row r="12" customFormat="false" ht="42" hidden="false" customHeight="true" outlineLevel="0" collapsed="false">
      <c r="A12" s="16" t="s">
        <v>739</v>
      </c>
      <c r="B12" s="16" t="s">
        <v>740</v>
      </c>
      <c r="C12" s="16" t="s">
        <v>695</v>
      </c>
      <c r="D12" s="16" t="s">
        <v>717</v>
      </c>
      <c r="E12" s="16" t="s">
        <v>741</v>
      </c>
      <c r="F12" s="16" t="s">
        <v>719</v>
      </c>
      <c r="G12" s="16" t="s">
        <v>736</v>
      </c>
      <c r="H12" s="16" t="s">
        <v>700</v>
      </c>
      <c r="I12" s="16" t="s">
        <v>737</v>
      </c>
      <c r="J12" s="16" t="s">
        <v>742</v>
      </c>
    </row>
    <row r="13" customFormat="false" ht="42" hidden="false" customHeight="true" outlineLevel="0" collapsed="false">
      <c r="A13" s="16" t="s">
        <v>743</v>
      </c>
      <c r="B13" s="16" t="s">
        <v>744</v>
      </c>
      <c r="C13" s="16" t="s">
        <v>695</v>
      </c>
      <c r="D13" s="16" t="s">
        <v>717</v>
      </c>
      <c r="E13" s="16" t="s">
        <v>745</v>
      </c>
      <c r="F13" s="16" t="s">
        <v>719</v>
      </c>
      <c r="G13" s="16" t="s">
        <v>736</v>
      </c>
      <c r="H13" s="16" t="s">
        <v>700</v>
      </c>
      <c r="I13" s="16" t="s">
        <v>746</v>
      </c>
      <c r="J13" s="16" t="s">
        <v>747</v>
      </c>
    </row>
    <row r="14" customFormat="false" ht="42" hidden="false" customHeight="true" outlineLevel="0" collapsed="false">
      <c r="A14" s="16" t="s">
        <v>748</v>
      </c>
      <c r="B14" s="16" t="s">
        <v>749</v>
      </c>
      <c r="C14" s="16" t="s">
        <v>695</v>
      </c>
      <c r="D14" s="16" t="s">
        <v>717</v>
      </c>
      <c r="E14" s="16" t="s">
        <v>750</v>
      </c>
      <c r="F14" s="16" t="s">
        <v>719</v>
      </c>
      <c r="G14" s="16" t="s">
        <v>736</v>
      </c>
      <c r="H14" s="16" t="s">
        <v>751</v>
      </c>
      <c r="I14" s="16" t="s">
        <v>752</v>
      </c>
      <c r="J14" s="16" t="s">
        <v>753</v>
      </c>
    </row>
    <row r="15" customFormat="false" ht="42" hidden="false" customHeight="true" outlineLevel="0" collapsed="false">
      <c r="A15" s="16" t="s">
        <v>754</v>
      </c>
      <c r="B15" s="16" t="s">
        <v>755</v>
      </c>
      <c r="C15" s="16" t="s">
        <v>695</v>
      </c>
      <c r="D15" s="16" t="s">
        <v>717</v>
      </c>
      <c r="E15" s="16" t="s">
        <v>756</v>
      </c>
      <c r="F15" s="16" t="s">
        <v>719</v>
      </c>
      <c r="G15" s="16" t="s">
        <v>736</v>
      </c>
      <c r="H15" s="16" t="s">
        <v>700</v>
      </c>
      <c r="I15" s="16" t="s">
        <v>752</v>
      </c>
      <c r="J15" s="16" t="s">
        <v>757</v>
      </c>
    </row>
    <row r="16" customFormat="false" ht="42" hidden="false" customHeight="true" outlineLevel="0" collapsed="false">
      <c r="A16" s="16" t="s">
        <v>758</v>
      </c>
      <c r="B16" s="16" t="s">
        <v>759</v>
      </c>
      <c r="C16" s="16" t="s">
        <v>695</v>
      </c>
      <c r="D16" s="16" t="s">
        <v>717</v>
      </c>
      <c r="E16" s="16" t="s">
        <v>760</v>
      </c>
      <c r="F16" s="16" t="s">
        <v>719</v>
      </c>
      <c r="G16" s="16" t="s">
        <v>736</v>
      </c>
      <c r="H16" s="16" t="s">
        <v>761</v>
      </c>
      <c r="I16" s="16" t="s">
        <v>752</v>
      </c>
      <c r="J16" s="16" t="s">
        <v>762</v>
      </c>
    </row>
    <row r="17" customFormat="false" ht="42" hidden="false" customHeight="true" outlineLevel="0" collapsed="false">
      <c r="A17" s="16" t="s">
        <v>763</v>
      </c>
      <c r="B17" s="16" t="s">
        <v>764</v>
      </c>
      <c r="C17" s="16" t="s">
        <v>695</v>
      </c>
      <c r="D17" s="16" t="s">
        <v>717</v>
      </c>
      <c r="E17" s="16" t="s">
        <v>765</v>
      </c>
      <c r="F17" s="16" t="s">
        <v>719</v>
      </c>
      <c r="G17" s="16" t="s">
        <v>736</v>
      </c>
      <c r="H17" s="16" t="s">
        <v>700</v>
      </c>
      <c r="I17" s="16" t="s">
        <v>766</v>
      </c>
      <c r="J17" s="16" t="s">
        <v>767</v>
      </c>
    </row>
  </sheetData>
  <autoFilter ref="A4:J17"/>
  <mergeCells count="2">
    <mergeCell ref="A1:J1"/>
    <mergeCell ref="A2:J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 width="62"/>
    <col collapsed="false" customWidth="true" hidden="false" outlineLevel="0" max="18" min="18" style="1" width="16"/>
  </cols>
  <sheetData>
    <row r="1" customFormat="false" ht="30" hidden="false" customHeight="true" outlineLevel="0" collapsed="false">
      <c r="A1" s="8" t="s">
        <v>768</v>
      </c>
      <c r="B1" s="8"/>
      <c r="C1" s="8"/>
      <c r="D1" s="8"/>
      <c r="E1" s="8"/>
      <c r="F1" s="8"/>
      <c r="G1" s="8"/>
      <c r="H1" s="8"/>
      <c r="I1" s="8"/>
      <c r="J1" s="8"/>
      <c r="K1" s="8"/>
      <c r="L1" s="8"/>
      <c r="M1" s="8"/>
      <c r="N1" s="8"/>
      <c r="O1" s="8"/>
      <c r="P1" s="8"/>
      <c r="Q1" s="8"/>
      <c r="R1" s="8"/>
    </row>
    <row r="2" customFormat="false" ht="33.75" hidden="false" customHeight="true" outlineLevel="0" collapsed="false">
      <c r="A2" s="9" t="s">
        <v>769</v>
      </c>
      <c r="B2" s="9"/>
      <c r="C2" s="9"/>
      <c r="D2" s="9"/>
      <c r="E2" s="9"/>
      <c r="F2" s="9"/>
      <c r="G2" s="9"/>
      <c r="H2" s="9"/>
      <c r="I2" s="9"/>
      <c r="J2" s="9"/>
      <c r="K2" s="9"/>
      <c r="L2" s="9"/>
      <c r="M2" s="9"/>
      <c r="N2" s="9"/>
      <c r="O2" s="9"/>
      <c r="P2" s="9"/>
      <c r="Q2" s="9"/>
      <c r="R2" s="9"/>
    </row>
    <row r="3" customFormat="false" ht="7.5" hidden="false" customHeight="true" outlineLevel="0" collapsed="false"/>
    <row r="4" customFormat="false" ht="30" hidden="false" customHeight="true" outlineLevel="0" collapsed="false">
      <c r="A4" s="10" t="s">
        <v>770</v>
      </c>
      <c r="B4" s="10" t="s">
        <v>771</v>
      </c>
      <c r="C4" s="10" t="s">
        <v>684</v>
      </c>
      <c r="D4" s="10" t="s">
        <v>772</v>
      </c>
      <c r="E4" s="10" t="s">
        <v>773</v>
      </c>
      <c r="F4" s="10" t="s">
        <v>774</v>
      </c>
      <c r="G4" s="10" t="s">
        <v>775</v>
      </c>
      <c r="H4" s="10" t="s">
        <v>776</v>
      </c>
      <c r="I4" s="10" t="s">
        <v>691</v>
      </c>
      <c r="J4" s="10" t="s">
        <v>777</v>
      </c>
      <c r="K4" s="10" t="s">
        <v>778</v>
      </c>
      <c r="L4" s="10" t="s">
        <v>779</v>
      </c>
      <c r="M4" s="10" t="s">
        <v>780</v>
      </c>
      <c r="N4" s="10" t="s">
        <v>781</v>
      </c>
      <c r="O4" s="10" t="s">
        <v>782</v>
      </c>
      <c r="P4" s="10" t="s">
        <v>783</v>
      </c>
      <c r="Q4" s="1" t="s">
        <v>784</v>
      </c>
      <c r="R4" s="1" t="s">
        <v>785</v>
      </c>
    </row>
    <row r="5" customFormat="false" ht="42" hidden="false" customHeight="true" outlineLevel="0" collapsed="false">
      <c r="A5" s="11" t="s">
        <v>786</v>
      </c>
      <c r="B5" s="12" t="s">
        <v>787</v>
      </c>
      <c r="C5" s="12" t="s">
        <v>788</v>
      </c>
      <c r="D5" s="12" t="s">
        <v>789</v>
      </c>
      <c r="E5" s="12" t="s">
        <v>790</v>
      </c>
      <c r="F5" s="12" t="s">
        <v>695</v>
      </c>
      <c r="G5" s="13" t="n">
        <v>0</v>
      </c>
      <c r="H5" s="12" t="s">
        <v>791</v>
      </c>
      <c r="I5" s="12" t="s">
        <v>792</v>
      </c>
      <c r="J5" s="12" t="s">
        <v>793</v>
      </c>
      <c r="K5" s="12" t="s">
        <v>794</v>
      </c>
      <c r="L5" s="12" t="s">
        <v>795</v>
      </c>
      <c r="M5" s="13" t="n">
        <v>1</v>
      </c>
      <c r="N5" s="12" t="s">
        <v>796</v>
      </c>
      <c r="O5" s="12" t="s">
        <v>797</v>
      </c>
      <c r="P5" s="15" t="s">
        <v>798</v>
      </c>
      <c r="Q5" s="1" t="s">
        <v>799</v>
      </c>
      <c r="R5" s="1" t="n">
        <v>5</v>
      </c>
    </row>
    <row r="6" customFormat="false" ht="42" hidden="false" customHeight="true" outlineLevel="0" collapsed="false">
      <c r="A6" s="16" t="s">
        <v>800</v>
      </c>
      <c r="B6" s="16" t="s">
        <v>787</v>
      </c>
      <c r="C6" s="16" t="s">
        <v>801</v>
      </c>
      <c r="D6" s="16" t="s">
        <v>789</v>
      </c>
      <c r="E6" s="16" t="s">
        <v>790</v>
      </c>
      <c r="F6" s="16" t="s">
        <v>695</v>
      </c>
      <c r="G6" s="17" t="n">
        <v>0</v>
      </c>
      <c r="H6" s="16" t="s">
        <v>791</v>
      </c>
      <c r="I6" s="16" t="s">
        <v>792</v>
      </c>
      <c r="J6" s="16" t="s">
        <v>802</v>
      </c>
      <c r="K6" s="16" t="s">
        <v>794</v>
      </c>
      <c r="L6" s="16" t="s">
        <v>795</v>
      </c>
      <c r="M6" s="17" t="n">
        <v>1</v>
      </c>
      <c r="N6" s="16" t="s">
        <v>803</v>
      </c>
      <c r="O6" s="16" t="s">
        <v>804</v>
      </c>
      <c r="P6" s="18" t="s">
        <v>798</v>
      </c>
      <c r="Q6" s="1" t="s">
        <v>805</v>
      </c>
      <c r="R6" s="1" t="n">
        <v>5</v>
      </c>
    </row>
    <row r="7" customFormat="false" ht="42" hidden="false" customHeight="true" outlineLevel="0" collapsed="false">
      <c r="A7" s="16" t="s">
        <v>806</v>
      </c>
      <c r="B7" s="16" t="s">
        <v>787</v>
      </c>
      <c r="C7" s="16" t="s">
        <v>807</v>
      </c>
      <c r="D7" s="16" t="s">
        <v>789</v>
      </c>
      <c r="E7" s="16" t="s">
        <v>693</v>
      </c>
      <c r="F7" s="16" t="s">
        <v>693</v>
      </c>
      <c r="G7" s="17" t="n">
        <v>2</v>
      </c>
      <c r="H7" s="16" t="s">
        <v>791</v>
      </c>
      <c r="I7" s="16" t="s">
        <v>808</v>
      </c>
      <c r="J7" s="16" t="s">
        <v>809</v>
      </c>
      <c r="K7" s="16" t="s">
        <v>794</v>
      </c>
      <c r="L7" s="16" t="s">
        <v>795</v>
      </c>
      <c r="M7" s="17" t="n">
        <v>1</v>
      </c>
      <c r="N7" s="16" t="s">
        <v>810</v>
      </c>
      <c r="O7" s="16" t="s">
        <v>811</v>
      </c>
      <c r="P7" s="18" t="s">
        <v>798</v>
      </c>
      <c r="Q7" s="1" t="s">
        <v>812</v>
      </c>
      <c r="R7" s="1" t="n">
        <v>6</v>
      </c>
    </row>
    <row r="8" customFormat="false" ht="42" hidden="false" customHeight="true" outlineLevel="0" collapsed="false">
      <c r="A8" s="16" t="s">
        <v>813</v>
      </c>
      <c r="B8" s="16" t="s">
        <v>787</v>
      </c>
      <c r="C8" s="16" t="s">
        <v>814</v>
      </c>
      <c r="D8" s="16" t="s">
        <v>789</v>
      </c>
      <c r="E8" s="16" t="s">
        <v>815</v>
      </c>
      <c r="F8" s="16" t="s">
        <v>815</v>
      </c>
      <c r="G8" s="17" t="n">
        <v>0</v>
      </c>
      <c r="H8" s="16" t="s">
        <v>791</v>
      </c>
      <c r="I8" s="16" t="s">
        <v>816</v>
      </c>
      <c r="J8" s="16" t="s">
        <v>817</v>
      </c>
      <c r="K8" s="16" t="s">
        <v>794</v>
      </c>
      <c r="L8" s="16" t="s">
        <v>795</v>
      </c>
      <c r="M8" s="17" t="n">
        <v>1</v>
      </c>
      <c r="N8" s="16" t="s">
        <v>818</v>
      </c>
      <c r="O8" s="16" t="s">
        <v>819</v>
      </c>
      <c r="P8" s="18" t="s">
        <v>798</v>
      </c>
      <c r="Q8" s="1" t="s">
        <v>820</v>
      </c>
      <c r="R8" s="1" t="n">
        <v>4</v>
      </c>
    </row>
    <row r="9" customFormat="false" ht="42" hidden="false" customHeight="true" outlineLevel="0" collapsed="false">
      <c r="A9" s="16" t="s">
        <v>821</v>
      </c>
      <c r="B9" s="16" t="s">
        <v>787</v>
      </c>
      <c r="C9" s="16" t="s">
        <v>822</v>
      </c>
      <c r="D9" s="16" t="s">
        <v>789</v>
      </c>
      <c r="E9" s="16" t="s">
        <v>823</v>
      </c>
      <c r="F9" s="16" t="s">
        <v>824</v>
      </c>
      <c r="G9" s="17" t="n">
        <v>2</v>
      </c>
      <c r="H9" s="16" t="s">
        <v>791</v>
      </c>
      <c r="I9" s="16" t="s">
        <v>816</v>
      </c>
      <c r="J9" s="16" t="s">
        <v>825</v>
      </c>
      <c r="K9" s="16" t="s">
        <v>794</v>
      </c>
      <c r="L9" s="16" t="s">
        <v>795</v>
      </c>
      <c r="M9" s="17" t="n">
        <v>1</v>
      </c>
      <c r="N9" s="16" t="s">
        <v>826</v>
      </c>
      <c r="O9" s="16" t="s">
        <v>827</v>
      </c>
      <c r="P9" s="18" t="s">
        <v>798</v>
      </c>
      <c r="Q9" s="1" t="s">
        <v>828</v>
      </c>
      <c r="R9" s="1" t="n">
        <v>2</v>
      </c>
    </row>
    <row r="10" customFormat="false" ht="42" hidden="false" customHeight="true" outlineLevel="0" collapsed="false">
      <c r="A10" s="16" t="s">
        <v>829</v>
      </c>
      <c r="B10" s="16" t="s">
        <v>787</v>
      </c>
      <c r="C10" s="16" t="s">
        <v>830</v>
      </c>
      <c r="D10" s="16" t="s">
        <v>789</v>
      </c>
      <c r="E10" s="16" t="s">
        <v>831</v>
      </c>
      <c r="F10" s="16" t="s">
        <v>832</v>
      </c>
      <c r="G10" s="17" t="n">
        <v>2</v>
      </c>
      <c r="H10" s="16" t="s">
        <v>791</v>
      </c>
      <c r="I10" s="16" t="s">
        <v>833</v>
      </c>
      <c r="J10" s="16" t="s">
        <v>834</v>
      </c>
      <c r="K10" s="16" t="s">
        <v>835</v>
      </c>
      <c r="L10" s="16" t="s">
        <v>795</v>
      </c>
      <c r="M10" s="17" t="n">
        <v>1</v>
      </c>
      <c r="N10" s="16" t="s">
        <v>836</v>
      </c>
      <c r="O10" s="16" t="s">
        <v>837</v>
      </c>
      <c r="P10" s="18" t="s">
        <v>838</v>
      </c>
      <c r="Q10" s="1" t="s">
        <v>839</v>
      </c>
      <c r="R10" s="1" t="n">
        <v>2</v>
      </c>
    </row>
    <row r="11" customFormat="false" ht="42" hidden="false" customHeight="true" outlineLevel="0" collapsed="false">
      <c r="A11" s="16" t="s">
        <v>840</v>
      </c>
      <c r="B11" s="16" t="s">
        <v>787</v>
      </c>
      <c r="C11" s="16" t="s">
        <v>841</v>
      </c>
      <c r="D11" s="16" t="s">
        <v>789</v>
      </c>
      <c r="E11" s="16" t="s">
        <v>831</v>
      </c>
      <c r="F11" s="16" t="s">
        <v>709</v>
      </c>
      <c r="G11" s="17" t="n">
        <v>2</v>
      </c>
      <c r="H11" s="16" t="s">
        <v>791</v>
      </c>
      <c r="I11" s="16" t="s">
        <v>833</v>
      </c>
      <c r="J11" s="16" t="s">
        <v>834</v>
      </c>
      <c r="K11" s="16" t="s">
        <v>794</v>
      </c>
      <c r="L11" s="16" t="s">
        <v>795</v>
      </c>
      <c r="M11" s="17" t="n">
        <v>1</v>
      </c>
      <c r="N11" s="16" t="s">
        <v>842</v>
      </c>
      <c r="O11" s="16" t="s">
        <v>843</v>
      </c>
      <c r="P11" s="18" t="s">
        <v>838</v>
      </c>
      <c r="Q11" s="1" t="s">
        <v>844</v>
      </c>
      <c r="R11" s="1" t="n">
        <v>2</v>
      </c>
    </row>
    <row r="12" customFormat="false" ht="42" hidden="false" customHeight="true" outlineLevel="0" collapsed="false">
      <c r="A12" s="16" t="s">
        <v>845</v>
      </c>
      <c r="B12" s="16" t="s">
        <v>787</v>
      </c>
      <c r="C12" s="16" t="s">
        <v>846</v>
      </c>
      <c r="D12" s="16" t="s">
        <v>789</v>
      </c>
      <c r="E12" s="16" t="s">
        <v>815</v>
      </c>
      <c r="F12" s="16" t="s">
        <v>847</v>
      </c>
      <c r="G12" s="17" t="n">
        <v>2</v>
      </c>
      <c r="H12" s="16" t="s">
        <v>791</v>
      </c>
      <c r="I12" s="16" t="s">
        <v>848</v>
      </c>
      <c r="J12" s="16" t="s">
        <v>849</v>
      </c>
      <c r="K12" s="16" t="s">
        <v>794</v>
      </c>
      <c r="L12" s="16" t="s">
        <v>795</v>
      </c>
      <c r="M12" s="17" t="n">
        <v>1</v>
      </c>
      <c r="N12" s="16" t="s">
        <v>850</v>
      </c>
      <c r="O12" s="16" t="s">
        <v>851</v>
      </c>
      <c r="P12" s="18" t="s">
        <v>798</v>
      </c>
      <c r="Q12" s="1" t="s">
        <v>852</v>
      </c>
      <c r="R12" s="1" t="n">
        <v>3</v>
      </c>
    </row>
    <row r="13" customFormat="false" ht="42" hidden="false" customHeight="true" outlineLevel="0" collapsed="false">
      <c r="A13" s="16" t="s">
        <v>853</v>
      </c>
      <c r="B13" s="16" t="s">
        <v>787</v>
      </c>
      <c r="C13" s="16" t="s">
        <v>854</v>
      </c>
      <c r="D13" s="16" t="s">
        <v>789</v>
      </c>
      <c r="E13" s="16" t="s">
        <v>855</v>
      </c>
      <c r="F13" s="16" t="s">
        <v>697</v>
      </c>
      <c r="G13" s="17" t="n">
        <v>0</v>
      </c>
      <c r="H13" s="16" t="s">
        <v>791</v>
      </c>
      <c r="I13" s="16" t="s">
        <v>856</v>
      </c>
      <c r="J13" s="16" t="s">
        <v>857</v>
      </c>
      <c r="K13" s="16" t="s">
        <v>794</v>
      </c>
      <c r="L13" s="16" t="s">
        <v>795</v>
      </c>
      <c r="M13" s="17" t="n">
        <v>4</v>
      </c>
      <c r="N13" s="16" t="s">
        <v>858</v>
      </c>
      <c r="O13" s="16" t="s">
        <v>859</v>
      </c>
      <c r="P13" s="18" t="s">
        <v>798</v>
      </c>
      <c r="Q13" s="1" t="s">
        <v>860</v>
      </c>
      <c r="R13" s="1" t="n">
        <v>7</v>
      </c>
    </row>
    <row r="14" customFormat="false" ht="42" hidden="false" customHeight="true" outlineLevel="0" collapsed="false">
      <c r="A14" s="16" t="s">
        <v>861</v>
      </c>
      <c r="B14" s="16" t="s">
        <v>787</v>
      </c>
      <c r="C14" s="16" t="s">
        <v>862</v>
      </c>
      <c r="D14" s="16" t="s">
        <v>789</v>
      </c>
      <c r="E14" s="16" t="s">
        <v>863</v>
      </c>
      <c r="F14" s="16" t="s">
        <v>697</v>
      </c>
      <c r="G14" s="17" t="n">
        <v>0</v>
      </c>
      <c r="H14" s="16" t="s">
        <v>791</v>
      </c>
      <c r="I14" s="16" t="s">
        <v>864</v>
      </c>
      <c r="J14" s="16" t="s">
        <v>865</v>
      </c>
      <c r="K14" s="16" t="s">
        <v>794</v>
      </c>
      <c r="L14" s="16" t="s">
        <v>795</v>
      </c>
      <c r="M14" s="17" t="n">
        <v>2</v>
      </c>
      <c r="N14" s="16" t="s">
        <v>866</v>
      </c>
      <c r="O14" s="16" t="s">
        <v>867</v>
      </c>
      <c r="P14" s="18" t="s">
        <v>798</v>
      </c>
      <c r="Q14" s="1" t="s">
        <v>868</v>
      </c>
      <c r="R14" s="1" t="n">
        <v>2</v>
      </c>
    </row>
    <row r="15" customFormat="false" ht="42" hidden="false" customHeight="true" outlineLevel="0" collapsed="false">
      <c r="A15" s="16" t="s">
        <v>869</v>
      </c>
      <c r="B15" s="16" t="s">
        <v>787</v>
      </c>
      <c r="C15" s="16" t="s">
        <v>870</v>
      </c>
      <c r="D15" s="16" t="s">
        <v>789</v>
      </c>
      <c r="E15" s="16" t="s">
        <v>871</v>
      </c>
      <c r="F15" s="16" t="s">
        <v>695</v>
      </c>
      <c r="G15" s="17" t="n">
        <v>0</v>
      </c>
      <c r="H15" s="16" t="s">
        <v>791</v>
      </c>
      <c r="I15" s="16" t="s">
        <v>872</v>
      </c>
      <c r="J15" s="16" t="s">
        <v>873</v>
      </c>
      <c r="K15" s="16" t="s">
        <v>794</v>
      </c>
      <c r="L15" s="16" t="s">
        <v>795</v>
      </c>
      <c r="M15" s="17" t="n">
        <v>5</v>
      </c>
      <c r="N15" s="16" t="s">
        <v>874</v>
      </c>
      <c r="O15" s="16" t="s">
        <v>875</v>
      </c>
      <c r="P15" s="18" t="s">
        <v>838</v>
      </c>
      <c r="Q15" s="1" t="s">
        <v>876</v>
      </c>
      <c r="R15" s="1" t="n">
        <v>5</v>
      </c>
    </row>
    <row r="16" customFormat="false" ht="42" hidden="false" customHeight="true" outlineLevel="0" collapsed="false">
      <c r="A16" s="16" t="s">
        <v>877</v>
      </c>
      <c r="B16" s="16" t="s">
        <v>787</v>
      </c>
      <c r="C16" s="16" t="s">
        <v>878</v>
      </c>
      <c r="D16" s="16" t="s">
        <v>789</v>
      </c>
      <c r="E16" s="16" t="s">
        <v>879</v>
      </c>
      <c r="F16" s="16" t="s">
        <v>697</v>
      </c>
      <c r="G16" s="17" t="n">
        <v>0</v>
      </c>
      <c r="H16" s="16" t="s">
        <v>791</v>
      </c>
      <c r="I16" s="16" t="s">
        <v>880</v>
      </c>
      <c r="J16" s="16" t="s">
        <v>881</v>
      </c>
      <c r="K16" s="16" t="s">
        <v>794</v>
      </c>
      <c r="L16" s="16" t="s">
        <v>795</v>
      </c>
      <c r="M16" s="17" t="n">
        <v>11</v>
      </c>
      <c r="N16" s="16" t="s">
        <v>882</v>
      </c>
      <c r="O16" s="16" t="s">
        <v>883</v>
      </c>
      <c r="P16" s="18" t="s">
        <v>798</v>
      </c>
      <c r="Q16" s="1" t="s">
        <v>884</v>
      </c>
      <c r="R16" s="1" t="n">
        <v>11</v>
      </c>
    </row>
    <row r="17" customFormat="false" ht="42" hidden="false" customHeight="true" outlineLevel="0" collapsed="false">
      <c r="A17" s="16" t="s">
        <v>885</v>
      </c>
      <c r="B17" s="16" t="s">
        <v>886</v>
      </c>
      <c r="C17" s="16" t="s">
        <v>887</v>
      </c>
      <c r="D17" s="16" t="s">
        <v>789</v>
      </c>
      <c r="E17" s="16" t="s">
        <v>693</v>
      </c>
      <c r="F17" s="16" t="s">
        <v>693</v>
      </c>
      <c r="G17" s="17" t="n">
        <v>2</v>
      </c>
      <c r="H17" s="16" t="s">
        <v>888</v>
      </c>
      <c r="I17" s="16" t="s">
        <v>701</v>
      </c>
      <c r="J17" s="16" t="s">
        <v>889</v>
      </c>
      <c r="K17" s="16" t="s">
        <v>890</v>
      </c>
      <c r="L17" s="16" t="s">
        <v>891</v>
      </c>
      <c r="M17" s="17" t="n">
        <v>10000</v>
      </c>
      <c r="N17" s="16" t="s">
        <v>892</v>
      </c>
      <c r="O17" s="16" t="s">
        <v>893</v>
      </c>
      <c r="P17" s="18" t="s">
        <v>894</v>
      </c>
      <c r="R17" s="1" t="n">
        <v>0</v>
      </c>
    </row>
    <row r="18" customFormat="false" ht="42" hidden="false" customHeight="true" outlineLevel="0" collapsed="false">
      <c r="A18" s="16" t="s">
        <v>895</v>
      </c>
      <c r="B18" s="16" t="s">
        <v>886</v>
      </c>
      <c r="C18" s="16" t="s">
        <v>896</v>
      </c>
      <c r="D18" s="16" t="s">
        <v>789</v>
      </c>
      <c r="E18" s="16" t="s">
        <v>703</v>
      </c>
      <c r="F18" s="16" t="s">
        <v>703</v>
      </c>
      <c r="G18" s="17" t="n">
        <v>2</v>
      </c>
      <c r="H18" s="16" t="s">
        <v>888</v>
      </c>
      <c r="I18" s="16" t="s">
        <v>701</v>
      </c>
      <c r="J18" s="16" t="s">
        <v>889</v>
      </c>
      <c r="K18" s="16" t="s">
        <v>890</v>
      </c>
      <c r="L18" s="16" t="s">
        <v>891</v>
      </c>
      <c r="M18" s="17" t="n">
        <v>10000</v>
      </c>
      <c r="N18" s="16" t="s">
        <v>892</v>
      </c>
      <c r="O18" s="16" t="s">
        <v>893</v>
      </c>
      <c r="P18" s="18" t="s">
        <v>894</v>
      </c>
      <c r="R18" s="1" t="n">
        <v>0</v>
      </c>
    </row>
    <row r="19" customFormat="false" ht="42" hidden="false" customHeight="true" outlineLevel="0" collapsed="false">
      <c r="A19" s="16" t="s">
        <v>897</v>
      </c>
      <c r="B19" s="16" t="s">
        <v>886</v>
      </c>
      <c r="C19" s="16" t="s">
        <v>898</v>
      </c>
      <c r="D19" s="16" t="s">
        <v>789</v>
      </c>
      <c r="E19" s="16" t="s">
        <v>709</v>
      </c>
      <c r="F19" s="16" t="s">
        <v>709</v>
      </c>
      <c r="G19" s="17" t="n">
        <v>2</v>
      </c>
      <c r="H19" s="16" t="s">
        <v>888</v>
      </c>
      <c r="I19" s="16" t="s">
        <v>701</v>
      </c>
      <c r="J19" s="16" t="s">
        <v>889</v>
      </c>
      <c r="K19" s="16" t="s">
        <v>890</v>
      </c>
      <c r="L19" s="16" t="s">
        <v>891</v>
      </c>
      <c r="M19" s="17" t="n">
        <v>10000</v>
      </c>
      <c r="N19" s="16" t="s">
        <v>892</v>
      </c>
      <c r="O19" s="16" t="s">
        <v>893</v>
      </c>
      <c r="P19" s="18" t="s">
        <v>894</v>
      </c>
      <c r="R19" s="1" t="n">
        <v>0</v>
      </c>
    </row>
    <row r="20" customFormat="false" ht="42" hidden="false" customHeight="true" outlineLevel="0" collapsed="false">
      <c r="A20" s="16" t="s">
        <v>899</v>
      </c>
      <c r="B20" s="16" t="s">
        <v>886</v>
      </c>
      <c r="C20" s="16" t="s">
        <v>900</v>
      </c>
      <c r="D20" s="16" t="s">
        <v>789</v>
      </c>
      <c r="E20" s="16" t="s">
        <v>693</v>
      </c>
      <c r="F20" s="16" t="s">
        <v>703</v>
      </c>
      <c r="G20" s="17" t="n">
        <v>2</v>
      </c>
      <c r="H20" s="16" t="s">
        <v>888</v>
      </c>
      <c r="I20" s="16" t="s">
        <v>701</v>
      </c>
      <c r="J20" s="16" t="s">
        <v>889</v>
      </c>
      <c r="K20" s="16" t="s">
        <v>890</v>
      </c>
      <c r="L20" s="16" t="s">
        <v>891</v>
      </c>
      <c r="M20" s="17" t="n">
        <v>10000</v>
      </c>
      <c r="N20" s="16" t="s">
        <v>892</v>
      </c>
      <c r="O20" s="16" t="s">
        <v>893</v>
      </c>
      <c r="P20" s="18" t="s">
        <v>894</v>
      </c>
      <c r="R20" s="1" t="n">
        <v>0</v>
      </c>
    </row>
    <row r="21" customFormat="false" ht="42" hidden="false" customHeight="true" outlineLevel="0" collapsed="false">
      <c r="A21" s="16" t="s">
        <v>901</v>
      </c>
      <c r="B21" s="16" t="s">
        <v>886</v>
      </c>
      <c r="C21" s="16" t="s">
        <v>902</v>
      </c>
      <c r="D21" s="16" t="s">
        <v>789</v>
      </c>
      <c r="E21" s="16" t="s">
        <v>703</v>
      </c>
      <c r="F21" s="16" t="s">
        <v>693</v>
      </c>
      <c r="G21" s="17" t="n">
        <v>2</v>
      </c>
      <c r="H21" s="16" t="s">
        <v>888</v>
      </c>
      <c r="I21" s="16" t="s">
        <v>701</v>
      </c>
      <c r="J21" s="16" t="s">
        <v>889</v>
      </c>
      <c r="K21" s="16" t="s">
        <v>890</v>
      </c>
      <c r="L21" s="16" t="s">
        <v>891</v>
      </c>
      <c r="M21" s="17" t="n">
        <v>10000</v>
      </c>
      <c r="N21" s="16" t="s">
        <v>892</v>
      </c>
      <c r="O21" s="16" t="s">
        <v>893</v>
      </c>
      <c r="P21" s="18" t="s">
        <v>894</v>
      </c>
      <c r="R21" s="1" t="n">
        <v>0</v>
      </c>
    </row>
    <row r="22" customFormat="false" ht="42" hidden="false" customHeight="true" outlineLevel="0" collapsed="false">
      <c r="A22" s="16" t="s">
        <v>903</v>
      </c>
      <c r="B22" s="16" t="s">
        <v>886</v>
      </c>
      <c r="C22" s="16" t="s">
        <v>904</v>
      </c>
      <c r="D22" s="16" t="s">
        <v>789</v>
      </c>
      <c r="E22" s="16" t="s">
        <v>693</v>
      </c>
      <c r="F22" s="16" t="s">
        <v>709</v>
      </c>
      <c r="G22" s="17" t="n">
        <v>2</v>
      </c>
      <c r="H22" s="16" t="s">
        <v>888</v>
      </c>
      <c r="I22" s="16" t="s">
        <v>701</v>
      </c>
      <c r="J22" s="16" t="s">
        <v>889</v>
      </c>
      <c r="K22" s="16" t="s">
        <v>890</v>
      </c>
      <c r="L22" s="16" t="s">
        <v>891</v>
      </c>
      <c r="M22" s="17" t="n">
        <v>10000</v>
      </c>
      <c r="N22" s="16" t="s">
        <v>892</v>
      </c>
      <c r="O22" s="16" t="s">
        <v>893</v>
      </c>
      <c r="P22" s="18" t="s">
        <v>894</v>
      </c>
      <c r="R22" s="1" t="n">
        <v>0</v>
      </c>
    </row>
    <row r="23" customFormat="false" ht="42" hidden="false" customHeight="true" outlineLevel="0" collapsed="false">
      <c r="A23" s="16" t="s">
        <v>905</v>
      </c>
      <c r="B23" s="16" t="s">
        <v>886</v>
      </c>
      <c r="C23" s="16" t="s">
        <v>906</v>
      </c>
      <c r="D23" s="16" t="s">
        <v>789</v>
      </c>
      <c r="E23" s="16" t="s">
        <v>709</v>
      </c>
      <c r="F23" s="16" t="s">
        <v>693</v>
      </c>
      <c r="G23" s="17" t="n">
        <v>2</v>
      </c>
      <c r="H23" s="16" t="s">
        <v>888</v>
      </c>
      <c r="I23" s="16" t="s">
        <v>701</v>
      </c>
      <c r="J23" s="16" t="s">
        <v>889</v>
      </c>
      <c r="K23" s="16" t="s">
        <v>890</v>
      </c>
      <c r="L23" s="16" t="s">
        <v>891</v>
      </c>
      <c r="M23" s="17" t="n">
        <v>10000</v>
      </c>
      <c r="N23" s="16" t="s">
        <v>892</v>
      </c>
      <c r="O23" s="16" t="s">
        <v>893</v>
      </c>
      <c r="P23" s="18" t="s">
        <v>894</v>
      </c>
      <c r="R23" s="1" t="n">
        <v>0</v>
      </c>
    </row>
    <row r="24" customFormat="false" ht="42" hidden="false" customHeight="true" outlineLevel="0" collapsed="false">
      <c r="A24" s="16" t="s">
        <v>907</v>
      </c>
      <c r="B24" s="16" t="s">
        <v>886</v>
      </c>
      <c r="C24" s="16" t="s">
        <v>908</v>
      </c>
      <c r="D24" s="16" t="s">
        <v>789</v>
      </c>
      <c r="E24" s="16" t="s">
        <v>703</v>
      </c>
      <c r="F24" s="16" t="s">
        <v>709</v>
      </c>
      <c r="G24" s="17" t="n">
        <v>2</v>
      </c>
      <c r="H24" s="16" t="s">
        <v>888</v>
      </c>
      <c r="I24" s="16" t="s">
        <v>701</v>
      </c>
      <c r="J24" s="16" t="s">
        <v>889</v>
      </c>
      <c r="K24" s="16" t="s">
        <v>890</v>
      </c>
      <c r="L24" s="16" t="s">
        <v>891</v>
      </c>
      <c r="M24" s="17" t="n">
        <v>10000</v>
      </c>
      <c r="N24" s="16" t="s">
        <v>892</v>
      </c>
      <c r="O24" s="16" t="s">
        <v>893</v>
      </c>
      <c r="P24" s="18" t="s">
        <v>894</v>
      </c>
      <c r="R24" s="1" t="n">
        <v>0</v>
      </c>
    </row>
    <row r="25" customFormat="false" ht="42" hidden="false" customHeight="true" outlineLevel="0" collapsed="false">
      <c r="A25" s="16" t="s">
        <v>909</v>
      </c>
      <c r="B25" s="16" t="s">
        <v>886</v>
      </c>
      <c r="C25" s="16" t="s">
        <v>910</v>
      </c>
      <c r="D25" s="16" t="s">
        <v>789</v>
      </c>
      <c r="E25" s="16" t="s">
        <v>709</v>
      </c>
      <c r="F25" s="16" t="s">
        <v>703</v>
      </c>
      <c r="G25" s="17" t="n">
        <v>2</v>
      </c>
      <c r="H25" s="16" t="s">
        <v>888</v>
      </c>
      <c r="I25" s="16" t="s">
        <v>701</v>
      </c>
      <c r="J25" s="16" t="s">
        <v>889</v>
      </c>
      <c r="K25" s="16" t="s">
        <v>890</v>
      </c>
      <c r="L25" s="16" t="s">
        <v>891</v>
      </c>
      <c r="M25" s="17" t="n">
        <v>10000</v>
      </c>
      <c r="N25" s="16" t="s">
        <v>892</v>
      </c>
      <c r="O25" s="16" t="s">
        <v>893</v>
      </c>
      <c r="P25" s="18" t="s">
        <v>894</v>
      </c>
      <c r="R25" s="1" t="n">
        <v>0</v>
      </c>
    </row>
    <row r="26" customFormat="false" ht="42" hidden="false" customHeight="true" outlineLevel="0" collapsed="false">
      <c r="A26" s="16" t="s">
        <v>911</v>
      </c>
      <c r="B26" s="16" t="s">
        <v>912</v>
      </c>
      <c r="C26" s="16" t="s">
        <v>913</v>
      </c>
      <c r="D26" s="16" t="s">
        <v>789</v>
      </c>
      <c r="E26" s="16" t="s">
        <v>715</v>
      </c>
      <c r="F26" s="16" t="s">
        <v>693</v>
      </c>
      <c r="G26" s="17" t="n">
        <v>2</v>
      </c>
      <c r="H26" s="16" t="s">
        <v>791</v>
      </c>
      <c r="I26" s="16" t="s">
        <v>721</v>
      </c>
      <c r="J26" s="16" t="s">
        <v>718</v>
      </c>
      <c r="K26" s="16" t="s">
        <v>835</v>
      </c>
      <c r="L26" s="16" t="s">
        <v>891</v>
      </c>
      <c r="M26" s="17" t="n">
        <v>10000</v>
      </c>
      <c r="N26" s="16" t="s">
        <v>914</v>
      </c>
      <c r="O26" s="16" t="s">
        <v>915</v>
      </c>
      <c r="P26" s="18" t="s">
        <v>916</v>
      </c>
      <c r="Q26" s="1" t="s">
        <v>917</v>
      </c>
      <c r="R26" s="1" t="n">
        <v>2</v>
      </c>
    </row>
    <row r="27" customFormat="false" ht="42" hidden="false" customHeight="true" outlineLevel="0" collapsed="false">
      <c r="A27" s="16" t="s">
        <v>918</v>
      </c>
      <c r="B27" s="16" t="s">
        <v>912</v>
      </c>
      <c r="C27" s="16" t="s">
        <v>919</v>
      </c>
      <c r="D27" s="16" t="s">
        <v>789</v>
      </c>
      <c r="E27" s="16" t="s">
        <v>715</v>
      </c>
      <c r="F27" s="16" t="s">
        <v>709</v>
      </c>
      <c r="G27" s="17" t="n">
        <v>2</v>
      </c>
      <c r="H27" s="16" t="s">
        <v>791</v>
      </c>
      <c r="I27" s="16" t="s">
        <v>721</v>
      </c>
      <c r="J27" s="16" t="s">
        <v>718</v>
      </c>
      <c r="K27" s="16" t="s">
        <v>794</v>
      </c>
      <c r="L27" s="16" t="s">
        <v>891</v>
      </c>
      <c r="M27" s="17" t="n">
        <v>10000</v>
      </c>
      <c r="N27" s="16" t="s">
        <v>920</v>
      </c>
      <c r="O27" s="16" t="s">
        <v>921</v>
      </c>
      <c r="P27" s="18" t="s">
        <v>916</v>
      </c>
      <c r="Q27" s="1" t="s">
        <v>917</v>
      </c>
      <c r="R27" s="1" t="n">
        <v>6</v>
      </c>
    </row>
    <row r="28" customFormat="false" ht="42" hidden="false" customHeight="true" outlineLevel="0" collapsed="false">
      <c r="A28" s="16" t="s">
        <v>922</v>
      </c>
      <c r="B28" s="16" t="s">
        <v>912</v>
      </c>
      <c r="C28" s="16" t="s">
        <v>923</v>
      </c>
      <c r="D28" s="16" t="s">
        <v>789</v>
      </c>
      <c r="E28" s="16" t="s">
        <v>715</v>
      </c>
      <c r="F28" s="16" t="s">
        <v>924</v>
      </c>
      <c r="G28" s="17" t="n">
        <v>2</v>
      </c>
      <c r="H28" s="16" t="s">
        <v>791</v>
      </c>
      <c r="I28" s="16" t="s">
        <v>721</v>
      </c>
      <c r="J28" s="16" t="s">
        <v>925</v>
      </c>
      <c r="K28" s="16" t="s">
        <v>926</v>
      </c>
      <c r="L28" s="16" t="s">
        <v>891</v>
      </c>
      <c r="M28" s="17" t="n">
        <v>10000</v>
      </c>
      <c r="N28" s="16" t="s">
        <v>927</v>
      </c>
      <c r="O28" s="16" t="s">
        <v>928</v>
      </c>
      <c r="P28" s="18" t="s">
        <v>916</v>
      </c>
      <c r="Q28" s="1" t="s">
        <v>917</v>
      </c>
      <c r="R28" s="1" t="n">
        <v>2</v>
      </c>
    </row>
    <row r="29" customFormat="false" ht="42" hidden="false" customHeight="true" outlineLevel="0" collapsed="false">
      <c r="A29" s="16" t="s">
        <v>929</v>
      </c>
      <c r="B29" s="16" t="s">
        <v>912</v>
      </c>
      <c r="C29" s="16" t="s">
        <v>930</v>
      </c>
      <c r="D29" s="16" t="s">
        <v>789</v>
      </c>
      <c r="E29" s="16" t="s">
        <v>723</v>
      </c>
      <c r="F29" s="16" t="s">
        <v>709</v>
      </c>
      <c r="G29" s="17" t="n">
        <v>2</v>
      </c>
      <c r="H29" s="16" t="s">
        <v>791</v>
      </c>
      <c r="I29" s="16" t="s">
        <v>721</v>
      </c>
      <c r="J29" s="16" t="s">
        <v>931</v>
      </c>
      <c r="K29" s="16" t="s">
        <v>794</v>
      </c>
      <c r="L29" s="16" t="s">
        <v>891</v>
      </c>
      <c r="M29" s="17" t="n">
        <v>10000</v>
      </c>
      <c r="N29" s="16" t="s">
        <v>932</v>
      </c>
      <c r="O29" s="16" t="s">
        <v>933</v>
      </c>
      <c r="P29" s="18" t="s">
        <v>916</v>
      </c>
      <c r="Q29" s="1" t="s">
        <v>917</v>
      </c>
      <c r="R29" s="1" t="n">
        <v>6</v>
      </c>
    </row>
    <row r="30" customFormat="false" ht="42" hidden="false" customHeight="true" outlineLevel="0" collapsed="false">
      <c r="A30" s="16" t="s">
        <v>934</v>
      </c>
      <c r="B30" s="16" t="s">
        <v>912</v>
      </c>
      <c r="C30" s="16" t="s">
        <v>935</v>
      </c>
      <c r="D30" s="16" t="s">
        <v>789</v>
      </c>
      <c r="E30" s="16" t="s">
        <v>723</v>
      </c>
      <c r="F30" s="16" t="s">
        <v>924</v>
      </c>
      <c r="G30" s="17" t="n">
        <v>2</v>
      </c>
      <c r="H30" s="16" t="s">
        <v>791</v>
      </c>
      <c r="I30" s="16" t="s">
        <v>721</v>
      </c>
      <c r="J30" s="16" t="s">
        <v>925</v>
      </c>
      <c r="K30" s="16" t="s">
        <v>926</v>
      </c>
      <c r="L30" s="16" t="s">
        <v>891</v>
      </c>
      <c r="M30" s="17" t="n">
        <v>10000</v>
      </c>
      <c r="N30" s="16" t="s">
        <v>936</v>
      </c>
      <c r="O30" s="16" t="s">
        <v>937</v>
      </c>
      <c r="P30" s="18" t="s">
        <v>916</v>
      </c>
      <c r="Q30" s="1" t="s">
        <v>917</v>
      </c>
      <c r="R30" s="1" t="n">
        <v>2</v>
      </c>
    </row>
    <row r="31" customFormat="false" ht="42" hidden="false" customHeight="true" outlineLevel="0" collapsed="false">
      <c r="A31" s="16" t="s">
        <v>938</v>
      </c>
      <c r="B31" s="16" t="s">
        <v>912</v>
      </c>
      <c r="C31" s="16" t="s">
        <v>939</v>
      </c>
      <c r="D31" s="16" t="s">
        <v>789</v>
      </c>
      <c r="E31" s="16" t="s">
        <v>728</v>
      </c>
      <c r="F31" s="16" t="s">
        <v>703</v>
      </c>
      <c r="G31" s="17" t="n">
        <v>2</v>
      </c>
      <c r="H31" s="16" t="s">
        <v>791</v>
      </c>
      <c r="I31" s="16" t="s">
        <v>721</v>
      </c>
      <c r="J31" s="16" t="s">
        <v>730</v>
      </c>
      <c r="K31" s="16" t="s">
        <v>835</v>
      </c>
      <c r="L31" s="16" t="s">
        <v>891</v>
      </c>
      <c r="M31" s="17" t="n">
        <v>10000</v>
      </c>
      <c r="N31" s="16" t="s">
        <v>940</v>
      </c>
      <c r="O31" s="16" t="s">
        <v>941</v>
      </c>
      <c r="P31" s="18" t="s">
        <v>916</v>
      </c>
      <c r="Q31" s="1" t="s">
        <v>917</v>
      </c>
      <c r="R31" s="1" t="n">
        <v>2</v>
      </c>
    </row>
    <row r="32" customFormat="false" ht="42" hidden="false" customHeight="true" outlineLevel="0" collapsed="false">
      <c r="A32" s="16" t="s">
        <v>942</v>
      </c>
      <c r="B32" s="16" t="s">
        <v>912</v>
      </c>
      <c r="C32" s="16" t="s">
        <v>943</v>
      </c>
      <c r="D32" s="16" t="s">
        <v>789</v>
      </c>
      <c r="E32" s="16" t="s">
        <v>728</v>
      </c>
      <c r="F32" s="16" t="s">
        <v>709</v>
      </c>
      <c r="G32" s="17" t="n">
        <v>2</v>
      </c>
      <c r="H32" s="16" t="s">
        <v>791</v>
      </c>
      <c r="I32" s="16" t="s">
        <v>721</v>
      </c>
      <c r="J32" s="16" t="s">
        <v>730</v>
      </c>
      <c r="K32" s="16" t="s">
        <v>794</v>
      </c>
      <c r="L32" s="16" t="s">
        <v>891</v>
      </c>
      <c r="M32" s="17" t="n">
        <v>10000</v>
      </c>
      <c r="N32" s="16" t="s">
        <v>944</v>
      </c>
      <c r="O32" s="16" t="s">
        <v>945</v>
      </c>
      <c r="P32" s="18" t="s">
        <v>916</v>
      </c>
      <c r="Q32" s="1" t="s">
        <v>917</v>
      </c>
      <c r="R32" s="1" t="n">
        <v>8</v>
      </c>
    </row>
    <row r="33" customFormat="false" ht="42" hidden="false" customHeight="true" outlineLevel="0" collapsed="false">
      <c r="A33" s="16" t="s">
        <v>946</v>
      </c>
      <c r="B33" s="16" t="s">
        <v>912</v>
      </c>
      <c r="C33" s="16" t="s">
        <v>947</v>
      </c>
      <c r="D33" s="16" t="s">
        <v>789</v>
      </c>
      <c r="E33" s="16" t="s">
        <v>831</v>
      </c>
      <c r="F33" s="16" t="s">
        <v>709</v>
      </c>
      <c r="G33" s="17" t="n">
        <v>3</v>
      </c>
      <c r="H33" s="16" t="s">
        <v>791</v>
      </c>
      <c r="I33" s="16" t="s">
        <v>948</v>
      </c>
      <c r="J33" s="16" t="s">
        <v>949</v>
      </c>
      <c r="K33" s="16" t="s">
        <v>794</v>
      </c>
      <c r="L33" s="16" t="s">
        <v>891</v>
      </c>
      <c r="M33" s="17" t="n">
        <v>10000</v>
      </c>
      <c r="N33" s="16" t="s">
        <v>950</v>
      </c>
      <c r="O33" s="16" t="s">
        <v>951</v>
      </c>
      <c r="P33" s="18" t="s">
        <v>894</v>
      </c>
      <c r="R33" s="1" t="n">
        <v>0</v>
      </c>
    </row>
    <row r="34" customFormat="false" ht="42" hidden="false" customHeight="true" outlineLevel="0" collapsed="false">
      <c r="A34" s="16" t="s">
        <v>952</v>
      </c>
      <c r="B34" s="16" t="s">
        <v>912</v>
      </c>
      <c r="C34" s="16" t="s">
        <v>953</v>
      </c>
      <c r="D34" s="16" t="s">
        <v>789</v>
      </c>
      <c r="E34" s="16" t="s">
        <v>954</v>
      </c>
      <c r="F34" s="16" t="s">
        <v>924</v>
      </c>
      <c r="G34" s="17" t="n">
        <v>3</v>
      </c>
      <c r="H34" s="16" t="s">
        <v>791</v>
      </c>
      <c r="I34" s="16" t="s">
        <v>955</v>
      </c>
      <c r="J34" s="16" t="s">
        <v>956</v>
      </c>
      <c r="K34" s="16" t="s">
        <v>926</v>
      </c>
      <c r="L34" s="16" t="s">
        <v>891</v>
      </c>
      <c r="M34" s="17" t="n">
        <v>10000</v>
      </c>
      <c r="N34" s="16" t="s">
        <v>957</v>
      </c>
      <c r="O34" s="16" t="s">
        <v>958</v>
      </c>
      <c r="P34" s="18" t="s">
        <v>894</v>
      </c>
      <c r="R34" s="1" t="n">
        <v>0</v>
      </c>
    </row>
    <row r="35" customFormat="false" ht="42" hidden="false" customHeight="true" outlineLevel="0" collapsed="false">
      <c r="A35" s="16" t="s">
        <v>959</v>
      </c>
      <c r="B35" s="16" t="s">
        <v>960</v>
      </c>
      <c r="C35" s="16" t="s">
        <v>961</v>
      </c>
      <c r="D35" s="16" t="s">
        <v>789</v>
      </c>
      <c r="E35" s="16" t="s">
        <v>733</v>
      </c>
      <c r="F35" s="16" t="s">
        <v>962</v>
      </c>
      <c r="G35" s="17" t="n">
        <v>5</v>
      </c>
      <c r="H35" s="16" t="s">
        <v>963</v>
      </c>
      <c r="I35" s="16" t="s">
        <v>737</v>
      </c>
      <c r="J35" s="16" t="s">
        <v>366</v>
      </c>
      <c r="K35" s="16" t="s">
        <v>835</v>
      </c>
      <c r="L35" s="16" t="s">
        <v>891</v>
      </c>
      <c r="M35" s="17" t="n">
        <v>10000</v>
      </c>
      <c r="N35" s="16" t="s">
        <v>964</v>
      </c>
      <c r="O35" s="16" t="s">
        <v>965</v>
      </c>
      <c r="P35" s="18" t="s">
        <v>894</v>
      </c>
      <c r="R35" s="1" t="n">
        <v>0</v>
      </c>
    </row>
    <row r="36" customFormat="false" ht="42" hidden="false" customHeight="true" outlineLevel="0" collapsed="false">
      <c r="A36" s="16" t="s">
        <v>966</v>
      </c>
      <c r="B36" s="16" t="s">
        <v>960</v>
      </c>
      <c r="C36" s="16" t="s">
        <v>967</v>
      </c>
      <c r="D36" s="16" t="s">
        <v>789</v>
      </c>
      <c r="E36" s="16" t="s">
        <v>733</v>
      </c>
      <c r="F36" s="16" t="s">
        <v>703</v>
      </c>
      <c r="G36" s="17" t="n">
        <v>4</v>
      </c>
      <c r="H36" s="16" t="s">
        <v>791</v>
      </c>
      <c r="I36" s="16" t="s">
        <v>737</v>
      </c>
      <c r="J36" s="16" t="s">
        <v>366</v>
      </c>
      <c r="K36" s="16" t="s">
        <v>794</v>
      </c>
      <c r="L36" s="16" t="s">
        <v>891</v>
      </c>
      <c r="M36" s="17" t="n">
        <v>10000</v>
      </c>
      <c r="N36" s="16" t="s">
        <v>968</v>
      </c>
      <c r="O36" s="16" t="s">
        <v>969</v>
      </c>
      <c r="P36" s="18" t="s">
        <v>894</v>
      </c>
      <c r="R36" s="1" t="n">
        <v>0</v>
      </c>
    </row>
    <row r="37" customFormat="false" ht="42" hidden="false" customHeight="true" outlineLevel="0" collapsed="false">
      <c r="A37" s="16" t="s">
        <v>970</v>
      </c>
      <c r="B37" s="16" t="s">
        <v>960</v>
      </c>
      <c r="C37" s="16" t="s">
        <v>971</v>
      </c>
      <c r="D37" s="16" t="s">
        <v>789</v>
      </c>
      <c r="E37" s="16" t="s">
        <v>972</v>
      </c>
      <c r="F37" s="16" t="s">
        <v>973</v>
      </c>
      <c r="G37" s="17" t="n">
        <v>5</v>
      </c>
      <c r="H37" s="16" t="s">
        <v>791</v>
      </c>
      <c r="I37" s="16" t="s">
        <v>974</v>
      </c>
      <c r="J37" s="16" t="s">
        <v>975</v>
      </c>
      <c r="K37" s="16" t="s">
        <v>926</v>
      </c>
      <c r="L37" s="16" t="s">
        <v>891</v>
      </c>
      <c r="M37" s="17" t="n">
        <v>10000</v>
      </c>
      <c r="N37" s="16" t="s">
        <v>976</v>
      </c>
      <c r="O37" s="16" t="s">
        <v>977</v>
      </c>
      <c r="P37" s="18" t="s">
        <v>894</v>
      </c>
      <c r="R37" s="1" t="n">
        <v>0</v>
      </c>
    </row>
    <row r="38" customFormat="false" ht="42" hidden="false" customHeight="true" outlineLevel="0" collapsed="false">
      <c r="A38" s="16" t="s">
        <v>978</v>
      </c>
      <c r="B38" s="16" t="s">
        <v>960</v>
      </c>
      <c r="C38" s="16" t="s">
        <v>979</v>
      </c>
      <c r="D38" s="16" t="s">
        <v>789</v>
      </c>
      <c r="E38" s="16" t="s">
        <v>739</v>
      </c>
      <c r="F38" s="16" t="s">
        <v>693</v>
      </c>
      <c r="G38" s="17" t="n">
        <v>4</v>
      </c>
      <c r="H38" s="16" t="s">
        <v>791</v>
      </c>
      <c r="I38" s="16" t="s">
        <v>737</v>
      </c>
      <c r="J38" s="16" t="s">
        <v>372</v>
      </c>
      <c r="K38" s="16" t="s">
        <v>835</v>
      </c>
      <c r="L38" s="16" t="s">
        <v>891</v>
      </c>
      <c r="M38" s="17" t="n">
        <v>10000</v>
      </c>
      <c r="N38" s="16" t="s">
        <v>980</v>
      </c>
      <c r="O38" s="16" t="s">
        <v>981</v>
      </c>
      <c r="P38" s="18" t="s">
        <v>894</v>
      </c>
      <c r="R38" s="1" t="n">
        <v>0</v>
      </c>
    </row>
    <row r="39" customFormat="false" ht="42" hidden="false" customHeight="true" outlineLevel="0" collapsed="false">
      <c r="A39" s="16" t="s">
        <v>982</v>
      </c>
      <c r="B39" s="16" t="s">
        <v>960</v>
      </c>
      <c r="C39" s="16" t="s">
        <v>983</v>
      </c>
      <c r="D39" s="16" t="s">
        <v>789</v>
      </c>
      <c r="E39" s="16" t="s">
        <v>739</v>
      </c>
      <c r="F39" s="16" t="s">
        <v>733</v>
      </c>
      <c r="G39" s="17" t="n">
        <v>4</v>
      </c>
      <c r="H39" s="16" t="s">
        <v>963</v>
      </c>
      <c r="I39" s="16" t="s">
        <v>737</v>
      </c>
      <c r="J39" s="16" t="s">
        <v>984</v>
      </c>
      <c r="K39" s="16" t="s">
        <v>794</v>
      </c>
      <c r="L39" s="16" t="s">
        <v>891</v>
      </c>
      <c r="M39" s="17" t="n">
        <v>10000</v>
      </c>
      <c r="N39" s="16" t="s">
        <v>985</v>
      </c>
      <c r="O39" s="16" t="s">
        <v>986</v>
      </c>
      <c r="P39" s="18" t="s">
        <v>894</v>
      </c>
      <c r="R39" s="1" t="n">
        <v>0</v>
      </c>
    </row>
    <row r="40" customFormat="false" ht="42" hidden="false" customHeight="true" outlineLevel="0" collapsed="false">
      <c r="A40" s="16" t="s">
        <v>987</v>
      </c>
      <c r="B40" s="16" t="s">
        <v>960</v>
      </c>
      <c r="C40" s="16" t="s">
        <v>988</v>
      </c>
      <c r="D40" s="16" t="s">
        <v>789</v>
      </c>
      <c r="E40" s="16" t="s">
        <v>989</v>
      </c>
      <c r="F40" s="16" t="s">
        <v>989</v>
      </c>
      <c r="G40" s="17" t="n">
        <v>4</v>
      </c>
      <c r="H40" s="16" t="s">
        <v>963</v>
      </c>
      <c r="I40" s="16" t="s">
        <v>737</v>
      </c>
      <c r="J40" s="16" t="s">
        <v>990</v>
      </c>
      <c r="K40" s="16" t="s">
        <v>794</v>
      </c>
      <c r="L40" s="16" t="s">
        <v>891</v>
      </c>
      <c r="M40" s="17" t="n">
        <v>10000</v>
      </c>
      <c r="N40" s="16" t="s">
        <v>991</v>
      </c>
      <c r="O40" s="16" t="s">
        <v>992</v>
      </c>
      <c r="P40" s="18" t="s">
        <v>894</v>
      </c>
      <c r="R40" s="1" t="n">
        <v>0</v>
      </c>
    </row>
    <row r="41" customFormat="false" ht="42" hidden="false" customHeight="true" outlineLevel="0" collapsed="false">
      <c r="A41" s="16" t="s">
        <v>993</v>
      </c>
      <c r="B41" s="16" t="s">
        <v>960</v>
      </c>
      <c r="C41" s="16" t="s">
        <v>994</v>
      </c>
      <c r="D41" s="16" t="s">
        <v>789</v>
      </c>
      <c r="E41" s="16" t="s">
        <v>995</v>
      </c>
      <c r="F41" s="16" t="s">
        <v>703</v>
      </c>
      <c r="G41" s="17" t="n">
        <v>4</v>
      </c>
      <c r="H41" s="16" t="s">
        <v>996</v>
      </c>
      <c r="I41" s="16" t="s">
        <v>997</v>
      </c>
      <c r="J41" s="16" t="s">
        <v>998</v>
      </c>
      <c r="K41" s="16" t="s">
        <v>794</v>
      </c>
      <c r="L41" s="16" t="s">
        <v>999</v>
      </c>
      <c r="M41" s="17" t="n">
        <v>10000</v>
      </c>
      <c r="N41" s="16" t="s">
        <v>1000</v>
      </c>
      <c r="O41" s="16" t="s">
        <v>1001</v>
      </c>
      <c r="P41" s="18" t="s">
        <v>894</v>
      </c>
      <c r="R41" s="1" t="n">
        <v>0</v>
      </c>
    </row>
    <row r="42" customFormat="false" ht="42" hidden="false" customHeight="true" outlineLevel="0" collapsed="false">
      <c r="A42" s="16" t="s">
        <v>1002</v>
      </c>
      <c r="B42" s="16" t="s">
        <v>960</v>
      </c>
      <c r="C42" s="16" t="s">
        <v>1003</v>
      </c>
      <c r="D42" s="16" t="s">
        <v>789</v>
      </c>
      <c r="E42" s="16" t="s">
        <v>1004</v>
      </c>
      <c r="F42" s="16" t="s">
        <v>1005</v>
      </c>
      <c r="G42" s="17" t="n">
        <v>8</v>
      </c>
      <c r="H42" s="16" t="s">
        <v>1006</v>
      </c>
      <c r="I42" s="16" t="s">
        <v>1007</v>
      </c>
      <c r="J42" s="16" t="s">
        <v>1008</v>
      </c>
      <c r="K42" s="16" t="s">
        <v>794</v>
      </c>
      <c r="L42" s="16" t="s">
        <v>891</v>
      </c>
      <c r="M42" s="17" t="n">
        <v>10000</v>
      </c>
      <c r="N42" s="16" t="s">
        <v>1009</v>
      </c>
      <c r="O42" s="16" t="s">
        <v>1010</v>
      </c>
      <c r="P42" s="18" t="s">
        <v>894</v>
      </c>
      <c r="R42" s="1" t="n">
        <v>0</v>
      </c>
    </row>
    <row r="43" customFormat="false" ht="42" hidden="false" customHeight="true" outlineLevel="0" collapsed="false">
      <c r="A43" s="16" t="s">
        <v>1011</v>
      </c>
      <c r="B43" s="16" t="s">
        <v>1012</v>
      </c>
      <c r="C43" s="16" t="s">
        <v>1013</v>
      </c>
      <c r="D43" s="16" t="s">
        <v>789</v>
      </c>
      <c r="E43" s="16" t="s">
        <v>748</v>
      </c>
      <c r="F43" s="16" t="s">
        <v>703</v>
      </c>
      <c r="G43" s="17" t="n">
        <v>2</v>
      </c>
      <c r="H43" s="16" t="s">
        <v>791</v>
      </c>
      <c r="I43" s="16" t="s">
        <v>1014</v>
      </c>
      <c r="J43" s="16" t="s">
        <v>1015</v>
      </c>
      <c r="K43" s="16" t="s">
        <v>794</v>
      </c>
      <c r="L43" s="16" t="s">
        <v>891</v>
      </c>
      <c r="M43" s="17" t="n">
        <v>10000</v>
      </c>
      <c r="N43" s="16" t="s">
        <v>1016</v>
      </c>
      <c r="O43" s="16" t="s">
        <v>1017</v>
      </c>
      <c r="P43" s="18" t="s">
        <v>894</v>
      </c>
      <c r="R43" s="1" t="n">
        <v>0</v>
      </c>
    </row>
    <row r="44" customFormat="false" ht="42" hidden="false" customHeight="true" outlineLevel="0" collapsed="false">
      <c r="A44" s="16" t="s">
        <v>1018</v>
      </c>
      <c r="B44" s="16" t="s">
        <v>1012</v>
      </c>
      <c r="C44" s="16" t="s">
        <v>1019</v>
      </c>
      <c r="D44" s="16" t="s">
        <v>789</v>
      </c>
      <c r="E44" s="16" t="s">
        <v>748</v>
      </c>
      <c r="F44" s="16" t="s">
        <v>693</v>
      </c>
      <c r="G44" s="17" t="n">
        <v>2</v>
      </c>
      <c r="H44" s="16" t="s">
        <v>791</v>
      </c>
      <c r="I44" s="16" t="s">
        <v>1014</v>
      </c>
      <c r="J44" s="16" t="s">
        <v>1015</v>
      </c>
      <c r="K44" s="16" t="s">
        <v>835</v>
      </c>
      <c r="L44" s="16" t="s">
        <v>891</v>
      </c>
      <c r="M44" s="17" t="n">
        <v>10000</v>
      </c>
      <c r="N44" s="16" t="s">
        <v>1020</v>
      </c>
      <c r="O44" s="16" t="s">
        <v>1021</v>
      </c>
      <c r="P44" s="18" t="s">
        <v>894</v>
      </c>
      <c r="R44" s="1" t="n">
        <v>0</v>
      </c>
    </row>
    <row r="45" customFormat="false" ht="42" hidden="false" customHeight="true" outlineLevel="0" collapsed="false">
      <c r="A45" s="16" t="s">
        <v>1022</v>
      </c>
      <c r="B45" s="16" t="s">
        <v>1012</v>
      </c>
      <c r="C45" s="16" t="s">
        <v>1023</v>
      </c>
      <c r="D45" s="16" t="s">
        <v>789</v>
      </c>
      <c r="E45" s="16" t="s">
        <v>754</v>
      </c>
      <c r="F45" s="16" t="s">
        <v>703</v>
      </c>
      <c r="G45" s="17" t="n">
        <v>2</v>
      </c>
      <c r="H45" s="16" t="s">
        <v>791</v>
      </c>
      <c r="I45" s="16" t="s">
        <v>1024</v>
      </c>
      <c r="J45" s="16" t="s">
        <v>1025</v>
      </c>
      <c r="K45" s="16" t="s">
        <v>794</v>
      </c>
      <c r="L45" s="16" t="s">
        <v>891</v>
      </c>
      <c r="M45" s="17" t="n">
        <v>10000</v>
      </c>
      <c r="N45" s="16" t="s">
        <v>1026</v>
      </c>
      <c r="O45" s="16" t="s">
        <v>1027</v>
      </c>
      <c r="P45" s="18" t="s">
        <v>894</v>
      </c>
      <c r="R45" s="1" t="n">
        <v>0</v>
      </c>
    </row>
    <row r="46" customFormat="false" ht="42" hidden="false" customHeight="true" outlineLevel="0" collapsed="false">
      <c r="A46" s="16" t="s">
        <v>1028</v>
      </c>
      <c r="B46" s="16" t="s">
        <v>1012</v>
      </c>
      <c r="C46" s="16" t="s">
        <v>1029</v>
      </c>
      <c r="D46" s="16" t="s">
        <v>789</v>
      </c>
      <c r="E46" s="16" t="s">
        <v>754</v>
      </c>
      <c r="F46" s="16" t="s">
        <v>703</v>
      </c>
      <c r="G46" s="17" t="n">
        <v>2</v>
      </c>
      <c r="H46" s="16" t="s">
        <v>791</v>
      </c>
      <c r="I46" s="16" t="s">
        <v>1030</v>
      </c>
      <c r="J46" s="16" t="s">
        <v>1031</v>
      </c>
      <c r="K46" s="16" t="s">
        <v>794</v>
      </c>
      <c r="L46" s="16" t="s">
        <v>891</v>
      </c>
      <c r="M46" s="17" t="n">
        <v>10000</v>
      </c>
      <c r="N46" s="16" t="s">
        <v>1032</v>
      </c>
      <c r="O46" s="16" t="s">
        <v>1033</v>
      </c>
      <c r="P46" s="18" t="s">
        <v>894</v>
      </c>
      <c r="R46" s="1" t="n">
        <v>0</v>
      </c>
    </row>
    <row r="47" customFormat="false" ht="42" hidden="false" customHeight="true" outlineLevel="0" collapsed="false">
      <c r="A47" s="16" t="s">
        <v>1034</v>
      </c>
      <c r="B47" s="16" t="s">
        <v>1012</v>
      </c>
      <c r="C47" s="16" t="s">
        <v>1035</v>
      </c>
      <c r="D47" s="16" t="s">
        <v>789</v>
      </c>
      <c r="E47" s="16" t="s">
        <v>758</v>
      </c>
      <c r="F47" s="16" t="s">
        <v>703</v>
      </c>
      <c r="G47" s="17" t="n">
        <v>2</v>
      </c>
      <c r="H47" s="16" t="s">
        <v>791</v>
      </c>
      <c r="I47" s="16" t="s">
        <v>752</v>
      </c>
      <c r="J47" s="16" t="s">
        <v>1036</v>
      </c>
      <c r="K47" s="16" t="s">
        <v>794</v>
      </c>
      <c r="L47" s="16" t="s">
        <v>891</v>
      </c>
      <c r="M47" s="17" t="n">
        <v>10000</v>
      </c>
      <c r="N47" s="16" t="s">
        <v>1037</v>
      </c>
      <c r="O47" s="16" t="s">
        <v>1038</v>
      </c>
      <c r="P47" s="18" t="s">
        <v>838</v>
      </c>
      <c r="Q47" s="1" t="s">
        <v>1039</v>
      </c>
      <c r="R47" s="1" t="n">
        <v>10</v>
      </c>
    </row>
    <row r="48" customFormat="false" ht="42" hidden="false" customHeight="true" outlineLevel="0" collapsed="false">
      <c r="A48" s="16" t="s">
        <v>1040</v>
      </c>
      <c r="B48" s="16" t="s">
        <v>1012</v>
      </c>
      <c r="C48" s="16" t="s">
        <v>1041</v>
      </c>
      <c r="D48" s="16" t="s">
        <v>789</v>
      </c>
      <c r="E48" s="16" t="s">
        <v>758</v>
      </c>
      <c r="F48" s="16" t="s">
        <v>1042</v>
      </c>
      <c r="G48" s="17" t="n">
        <v>2</v>
      </c>
      <c r="H48" s="16" t="s">
        <v>791</v>
      </c>
      <c r="I48" s="16" t="s">
        <v>1043</v>
      </c>
      <c r="J48" s="16" t="s">
        <v>1044</v>
      </c>
      <c r="K48" s="16" t="s">
        <v>926</v>
      </c>
      <c r="L48" s="16" t="s">
        <v>999</v>
      </c>
      <c r="M48" s="17" t="n">
        <v>10000</v>
      </c>
      <c r="N48" s="16" t="s">
        <v>1045</v>
      </c>
      <c r="O48" s="16" t="s">
        <v>1046</v>
      </c>
      <c r="P48" s="18" t="s">
        <v>894</v>
      </c>
      <c r="R48" s="1" t="n">
        <v>0</v>
      </c>
    </row>
    <row r="49" customFormat="false" ht="42" hidden="false" customHeight="true" outlineLevel="0" collapsed="false">
      <c r="A49" s="16" t="s">
        <v>1047</v>
      </c>
      <c r="B49" s="16" t="s">
        <v>1012</v>
      </c>
      <c r="C49" s="16" t="s">
        <v>1048</v>
      </c>
      <c r="D49" s="16" t="s">
        <v>789</v>
      </c>
      <c r="E49" s="16" t="s">
        <v>1049</v>
      </c>
      <c r="F49" s="16" t="s">
        <v>1042</v>
      </c>
      <c r="G49" s="17" t="n">
        <v>2</v>
      </c>
      <c r="H49" s="16" t="s">
        <v>791</v>
      </c>
      <c r="I49" s="16" t="s">
        <v>1050</v>
      </c>
      <c r="J49" s="16" t="s">
        <v>1044</v>
      </c>
      <c r="K49" s="16" t="s">
        <v>926</v>
      </c>
      <c r="L49" s="16" t="s">
        <v>795</v>
      </c>
      <c r="M49" s="17" t="n">
        <v>1</v>
      </c>
      <c r="N49" s="16" t="s">
        <v>1051</v>
      </c>
      <c r="O49" s="16" t="s">
        <v>1052</v>
      </c>
      <c r="P49" s="18" t="s">
        <v>894</v>
      </c>
      <c r="R49" s="1" t="n">
        <v>0</v>
      </c>
    </row>
    <row r="50" customFormat="false" ht="42" hidden="false" customHeight="true" outlineLevel="0" collapsed="false">
      <c r="A50" s="16" t="s">
        <v>1053</v>
      </c>
      <c r="B50" s="16" t="s">
        <v>1012</v>
      </c>
      <c r="C50" s="16" t="s">
        <v>1054</v>
      </c>
      <c r="D50" s="16" t="s">
        <v>789</v>
      </c>
      <c r="E50" s="16" t="s">
        <v>1055</v>
      </c>
      <c r="F50" s="16" t="s">
        <v>703</v>
      </c>
      <c r="G50" s="17" t="n">
        <v>2</v>
      </c>
      <c r="H50" s="16" t="s">
        <v>791</v>
      </c>
      <c r="I50" s="16" t="s">
        <v>1056</v>
      </c>
      <c r="J50" s="16" t="s">
        <v>1057</v>
      </c>
      <c r="K50" s="16" t="s">
        <v>794</v>
      </c>
      <c r="L50" s="16" t="s">
        <v>891</v>
      </c>
      <c r="M50" s="17" t="n">
        <v>10000</v>
      </c>
      <c r="N50" s="16" t="s">
        <v>1058</v>
      </c>
      <c r="O50" s="16" t="s">
        <v>1059</v>
      </c>
      <c r="P50" s="18" t="s">
        <v>894</v>
      </c>
      <c r="R50" s="1" t="n">
        <v>0</v>
      </c>
    </row>
    <row r="51" customFormat="false" ht="42" hidden="false" customHeight="true" outlineLevel="0" collapsed="false">
      <c r="A51" s="16" t="s">
        <v>1060</v>
      </c>
      <c r="B51" s="16" t="s">
        <v>1061</v>
      </c>
      <c r="C51" s="16" t="s">
        <v>1062</v>
      </c>
      <c r="D51" s="16" t="s">
        <v>789</v>
      </c>
      <c r="E51" s="16" t="s">
        <v>1063</v>
      </c>
      <c r="F51" s="16" t="s">
        <v>697</v>
      </c>
      <c r="G51" s="17" t="n">
        <v>0</v>
      </c>
      <c r="H51" s="16" t="s">
        <v>1064</v>
      </c>
      <c r="I51" s="16" t="s">
        <v>1065</v>
      </c>
      <c r="J51" s="16" t="s">
        <v>1066</v>
      </c>
      <c r="K51" s="16" t="s">
        <v>794</v>
      </c>
      <c r="L51" s="16" t="s">
        <v>795</v>
      </c>
      <c r="M51" s="17" t="n">
        <v>4</v>
      </c>
      <c r="N51" s="16" t="s">
        <v>1067</v>
      </c>
      <c r="O51" s="16" t="s">
        <v>1068</v>
      </c>
      <c r="P51" s="18" t="s">
        <v>894</v>
      </c>
      <c r="R51" s="1" t="n">
        <v>0</v>
      </c>
    </row>
    <row r="52" customFormat="false" ht="42" hidden="false" customHeight="true" outlineLevel="0" collapsed="false">
      <c r="A52" s="16" t="s">
        <v>1069</v>
      </c>
      <c r="B52" s="16" t="s">
        <v>1061</v>
      </c>
      <c r="C52" s="16" t="s">
        <v>1070</v>
      </c>
      <c r="D52" s="16" t="s">
        <v>789</v>
      </c>
      <c r="E52" s="16" t="s">
        <v>1071</v>
      </c>
      <c r="F52" s="16" t="s">
        <v>847</v>
      </c>
      <c r="G52" s="17" t="n">
        <v>0</v>
      </c>
      <c r="H52" s="16" t="s">
        <v>1064</v>
      </c>
      <c r="I52" s="16" t="s">
        <v>1072</v>
      </c>
      <c r="J52" s="16" t="s">
        <v>1073</v>
      </c>
      <c r="K52" s="16" t="s">
        <v>794</v>
      </c>
      <c r="L52" s="16" t="s">
        <v>891</v>
      </c>
      <c r="M52" s="17" t="n">
        <v>10000</v>
      </c>
      <c r="N52" s="16" t="s">
        <v>1074</v>
      </c>
      <c r="O52" s="16" t="s">
        <v>1075</v>
      </c>
      <c r="P52" s="18" t="s">
        <v>894</v>
      </c>
      <c r="R52" s="1" t="n">
        <v>0</v>
      </c>
    </row>
    <row r="53" customFormat="false" ht="42" hidden="false" customHeight="true" outlineLevel="0" collapsed="false">
      <c r="A53" s="16" t="s">
        <v>1076</v>
      </c>
      <c r="B53" s="16" t="s">
        <v>1061</v>
      </c>
      <c r="C53" s="16" t="s">
        <v>1077</v>
      </c>
      <c r="D53" s="16" t="s">
        <v>789</v>
      </c>
      <c r="E53" s="16" t="s">
        <v>1078</v>
      </c>
      <c r="F53" s="16" t="s">
        <v>847</v>
      </c>
      <c r="G53" s="17" t="n">
        <v>0</v>
      </c>
      <c r="H53" s="16" t="s">
        <v>1064</v>
      </c>
      <c r="I53" s="16" t="s">
        <v>1072</v>
      </c>
      <c r="J53" s="16" t="s">
        <v>1079</v>
      </c>
      <c r="K53" s="16" t="s">
        <v>926</v>
      </c>
      <c r="L53" s="16" t="s">
        <v>891</v>
      </c>
      <c r="M53" s="17" t="n">
        <v>10000</v>
      </c>
      <c r="N53" s="16" t="s">
        <v>1080</v>
      </c>
      <c r="O53" s="16" t="s">
        <v>1081</v>
      </c>
      <c r="P53" s="18" t="s">
        <v>894</v>
      </c>
      <c r="R53" s="1" t="n">
        <v>0</v>
      </c>
    </row>
    <row r="54" customFormat="false" ht="42" hidden="false" customHeight="true" outlineLevel="0" collapsed="false">
      <c r="A54" s="16" t="s">
        <v>1082</v>
      </c>
      <c r="B54" s="16" t="s">
        <v>1061</v>
      </c>
      <c r="C54" s="16" t="s">
        <v>1083</v>
      </c>
      <c r="D54" s="16" t="s">
        <v>789</v>
      </c>
      <c r="E54" s="16" t="s">
        <v>1084</v>
      </c>
      <c r="F54" s="16" t="s">
        <v>697</v>
      </c>
      <c r="G54" s="17" t="n">
        <v>0</v>
      </c>
      <c r="H54" s="16" t="s">
        <v>1064</v>
      </c>
      <c r="I54" s="16" t="s">
        <v>1085</v>
      </c>
      <c r="J54" s="16" t="s">
        <v>1086</v>
      </c>
      <c r="K54" s="16" t="s">
        <v>926</v>
      </c>
      <c r="L54" s="16" t="s">
        <v>795</v>
      </c>
      <c r="M54" s="17" t="n">
        <v>1</v>
      </c>
      <c r="N54" s="16" t="s">
        <v>1087</v>
      </c>
      <c r="O54" s="16" t="s">
        <v>1088</v>
      </c>
      <c r="P54" s="18" t="s">
        <v>894</v>
      </c>
      <c r="R54" s="1" t="n">
        <v>0</v>
      </c>
    </row>
    <row r="55" customFormat="false" ht="42" hidden="false" customHeight="true" outlineLevel="0" collapsed="false">
      <c r="A55" s="16" t="s">
        <v>1089</v>
      </c>
      <c r="B55" s="16" t="s">
        <v>1061</v>
      </c>
      <c r="C55" s="16" t="s">
        <v>1090</v>
      </c>
      <c r="D55" s="16" t="s">
        <v>789</v>
      </c>
      <c r="E55" s="16" t="s">
        <v>1091</v>
      </c>
      <c r="F55" s="16" t="s">
        <v>697</v>
      </c>
      <c r="G55" s="17" t="n">
        <v>0</v>
      </c>
      <c r="H55" s="16" t="s">
        <v>1064</v>
      </c>
      <c r="I55" s="16" t="s">
        <v>1092</v>
      </c>
      <c r="J55" s="16" t="s">
        <v>1093</v>
      </c>
      <c r="K55" s="16" t="s">
        <v>794</v>
      </c>
      <c r="L55" s="16" t="s">
        <v>891</v>
      </c>
      <c r="M55" s="17" t="n">
        <v>10000</v>
      </c>
      <c r="N55" s="16" t="s">
        <v>1094</v>
      </c>
      <c r="O55" s="16" t="s">
        <v>1095</v>
      </c>
      <c r="P55" s="18" t="s">
        <v>894</v>
      </c>
      <c r="R55" s="1" t="n">
        <v>0</v>
      </c>
    </row>
    <row r="56" customFormat="false" ht="42" hidden="false" customHeight="true" outlineLevel="0" collapsed="false">
      <c r="A56" s="16" t="s">
        <v>1096</v>
      </c>
      <c r="B56" s="16" t="s">
        <v>1061</v>
      </c>
      <c r="C56" s="16" t="s">
        <v>1097</v>
      </c>
      <c r="D56" s="16" t="s">
        <v>789</v>
      </c>
      <c r="E56" s="16" t="s">
        <v>1098</v>
      </c>
      <c r="F56" s="16" t="s">
        <v>1099</v>
      </c>
      <c r="G56" s="17" t="n">
        <v>0</v>
      </c>
      <c r="H56" s="16" t="s">
        <v>1064</v>
      </c>
      <c r="I56" s="16" t="s">
        <v>848</v>
      </c>
      <c r="J56" s="16" t="s">
        <v>1100</v>
      </c>
      <c r="K56" s="16" t="s">
        <v>794</v>
      </c>
      <c r="L56" s="16" t="s">
        <v>795</v>
      </c>
      <c r="M56" s="17" t="n">
        <v>1</v>
      </c>
      <c r="N56" s="16" t="s">
        <v>1101</v>
      </c>
      <c r="O56" s="16" t="s">
        <v>1102</v>
      </c>
      <c r="P56" s="18" t="s">
        <v>894</v>
      </c>
      <c r="R56" s="1" t="n">
        <v>0</v>
      </c>
    </row>
    <row r="57" customFormat="false" ht="42" hidden="false" customHeight="true" outlineLevel="0" collapsed="false">
      <c r="A57" s="16" t="s">
        <v>1103</v>
      </c>
      <c r="B57" s="16" t="s">
        <v>1061</v>
      </c>
      <c r="C57" s="16" t="s">
        <v>1104</v>
      </c>
      <c r="D57" s="16" t="s">
        <v>789</v>
      </c>
      <c r="E57" s="16" t="s">
        <v>1105</v>
      </c>
      <c r="F57" s="16" t="s">
        <v>1099</v>
      </c>
      <c r="G57" s="17" t="n">
        <v>0</v>
      </c>
      <c r="H57" s="16" t="s">
        <v>1064</v>
      </c>
      <c r="I57" s="16" t="s">
        <v>848</v>
      </c>
      <c r="J57" s="16" t="s">
        <v>1106</v>
      </c>
      <c r="K57" s="16" t="s">
        <v>794</v>
      </c>
      <c r="L57" s="16" t="s">
        <v>795</v>
      </c>
      <c r="M57" s="17" t="n">
        <v>1</v>
      </c>
      <c r="N57" s="16" t="s">
        <v>1107</v>
      </c>
      <c r="O57" s="16" t="s">
        <v>1108</v>
      </c>
      <c r="P57" s="18" t="s">
        <v>894</v>
      </c>
      <c r="R57" s="1" t="n">
        <v>0</v>
      </c>
    </row>
    <row r="58" customFormat="false" ht="42" hidden="false" customHeight="true" outlineLevel="0" collapsed="false">
      <c r="A58" s="16" t="s">
        <v>1109</v>
      </c>
      <c r="B58" s="16" t="s">
        <v>1061</v>
      </c>
      <c r="C58" s="16" t="s">
        <v>1110</v>
      </c>
      <c r="D58" s="16" t="s">
        <v>789</v>
      </c>
      <c r="E58" s="16" t="s">
        <v>879</v>
      </c>
      <c r="F58" s="16" t="s">
        <v>1111</v>
      </c>
      <c r="G58" s="17" t="n">
        <v>0</v>
      </c>
      <c r="H58" s="16" t="s">
        <v>1064</v>
      </c>
      <c r="I58" s="16" t="s">
        <v>848</v>
      </c>
      <c r="J58" s="16" t="s">
        <v>1112</v>
      </c>
      <c r="K58" s="16" t="s">
        <v>926</v>
      </c>
      <c r="L58" s="16" t="s">
        <v>795</v>
      </c>
      <c r="M58" s="17" t="n">
        <v>1</v>
      </c>
      <c r="N58" s="16" t="s">
        <v>1113</v>
      </c>
      <c r="O58" s="16" t="s">
        <v>1114</v>
      </c>
      <c r="P58" s="18" t="s">
        <v>894</v>
      </c>
      <c r="R58" s="1" t="n">
        <v>0</v>
      </c>
    </row>
    <row r="59" customFormat="false" ht="42" hidden="false" customHeight="true" outlineLevel="0" collapsed="false">
      <c r="A59" s="16" t="s">
        <v>1115</v>
      </c>
      <c r="B59" s="16" t="s">
        <v>1116</v>
      </c>
      <c r="C59" s="16" t="s">
        <v>1117</v>
      </c>
      <c r="D59" s="16" t="s">
        <v>789</v>
      </c>
      <c r="E59" s="16" t="s">
        <v>1118</v>
      </c>
      <c r="F59" s="16" t="s">
        <v>693</v>
      </c>
      <c r="G59" s="17" t="n">
        <v>4</v>
      </c>
      <c r="H59" s="16" t="s">
        <v>791</v>
      </c>
      <c r="I59" s="16" t="s">
        <v>1119</v>
      </c>
      <c r="J59" s="16" t="s">
        <v>1120</v>
      </c>
      <c r="K59" s="16" t="s">
        <v>794</v>
      </c>
      <c r="L59" s="16" t="s">
        <v>891</v>
      </c>
      <c r="M59" s="17" t="n">
        <v>10000</v>
      </c>
      <c r="N59" s="16" t="s">
        <v>1121</v>
      </c>
      <c r="O59" s="16" t="s">
        <v>1122</v>
      </c>
      <c r="P59" s="18" t="s">
        <v>894</v>
      </c>
      <c r="R59" s="1" t="n">
        <v>0</v>
      </c>
    </row>
    <row r="60" customFormat="false" ht="42" hidden="false" customHeight="true" outlineLevel="0" collapsed="false">
      <c r="A60" s="16" t="s">
        <v>1123</v>
      </c>
      <c r="B60" s="16" t="s">
        <v>1116</v>
      </c>
      <c r="C60" s="16" t="s">
        <v>1124</v>
      </c>
      <c r="D60" s="16" t="s">
        <v>789</v>
      </c>
      <c r="E60" s="16" t="s">
        <v>1125</v>
      </c>
      <c r="F60" s="16" t="s">
        <v>693</v>
      </c>
      <c r="G60" s="17" t="n">
        <v>5</v>
      </c>
      <c r="H60" s="16" t="s">
        <v>791</v>
      </c>
      <c r="I60" s="16" t="s">
        <v>1126</v>
      </c>
      <c r="J60" s="16" t="s">
        <v>1127</v>
      </c>
      <c r="K60" s="16" t="s">
        <v>794</v>
      </c>
      <c r="L60" s="16" t="s">
        <v>891</v>
      </c>
      <c r="M60" s="17" t="n">
        <v>10000</v>
      </c>
      <c r="N60" s="16" t="s">
        <v>1128</v>
      </c>
      <c r="O60" s="16" t="s">
        <v>1129</v>
      </c>
      <c r="P60" s="18" t="s">
        <v>1130</v>
      </c>
      <c r="R60" s="1" t="n">
        <v>0</v>
      </c>
    </row>
    <row r="61" customFormat="false" ht="42" hidden="false" customHeight="true" outlineLevel="0" collapsed="false">
      <c r="A61" s="16" t="s">
        <v>1131</v>
      </c>
      <c r="B61" s="16" t="s">
        <v>1116</v>
      </c>
      <c r="C61" s="16" t="s">
        <v>1132</v>
      </c>
      <c r="D61" s="16" t="s">
        <v>789</v>
      </c>
      <c r="E61" s="16" t="s">
        <v>763</v>
      </c>
      <c r="F61" s="16" t="s">
        <v>693</v>
      </c>
      <c r="G61" s="17" t="n">
        <v>3</v>
      </c>
      <c r="H61" s="16" t="s">
        <v>791</v>
      </c>
      <c r="I61" s="16" t="s">
        <v>1133</v>
      </c>
      <c r="J61" s="16" t="s">
        <v>1134</v>
      </c>
      <c r="K61" s="16" t="s">
        <v>794</v>
      </c>
      <c r="L61" s="16" t="s">
        <v>999</v>
      </c>
      <c r="M61" s="17" t="n">
        <v>10000</v>
      </c>
      <c r="N61" s="16" t="s">
        <v>1135</v>
      </c>
      <c r="O61" s="16" t="s">
        <v>1136</v>
      </c>
      <c r="P61" s="18" t="s">
        <v>564</v>
      </c>
      <c r="R61" s="1" t="n">
        <v>0</v>
      </c>
    </row>
    <row r="62" customFormat="false" ht="42" hidden="false" customHeight="true" outlineLevel="0" collapsed="false">
      <c r="A62" s="16" t="s">
        <v>1137</v>
      </c>
      <c r="B62" s="16" t="s">
        <v>1116</v>
      </c>
      <c r="C62" s="16" t="s">
        <v>1138</v>
      </c>
      <c r="D62" s="16" t="s">
        <v>789</v>
      </c>
      <c r="E62" s="16" t="s">
        <v>1139</v>
      </c>
      <c r="F62" s="16" t="s">
        <v>693</v>
      </c>
      <c r="G62" s="17" t="n">
        <v>3</v>
      </c>
      <c r="H62" s="16" t="s">
        <v>791</v>
      </c>
      <c r="I62" s="16" t="s">
        <v>1133</v>
      </c>
      <c r="J62" s="16" t="s">
        <v>1140</v>
      </c>
      <c r="K62" s="16" t="s">
        <v>794</v>
      </c>
      <c r="L62" s="16" t="s">
        <v>999</v>
      </c>
      <c r="M62" s="17" t="n">
        <v>10000</v>
      </c>
      <c r="N62" s="16" t="s">
        <v>1141</v>
      </c>
      <c r="O62" s="16" t="s">
        <v>1142</v>
      </c>
      <c r="P62" s="18" t="s">
        <v>564</v>
      </c>
      <c r="R62" s="1" t="n">
        <v>0</v>
      </c>
    </row>
    <row r="63" customFormat="false" ht="42" hidden="false" customHeight="true" outlineLevel="0" collapsed="false">
      <c r="A63" s="16" t="s">
        <v>1143</v>
      </c>
      <c r="B63" s="16" t="s">
        <v>1116</v>
      </c>
      <c r="C63" s="16" t="s">
        <v>1144</v>
      </c>
      <c r="D63" s="16" t="s">
        <v>789</v>
      </c>
      <c r="E63" s="16" t="s">
        <v>1145</v>
      </c>
      <c r="F63" s="16" t="s">
        <v>693</v>
      </c>
      <c r="G63" s="17" t="n">
        <v>3</v>
      </c>
      <c r="H63" s="16" t="s">
        <v>791</v>
      </c>
      <c r="I63" s="16" t="s">
        <v>1133</v>
      </c>
      <c r="J63" s="16" t="s">
        <v>1146</v>
      </c>
      <c r="K63" s="16" t="s">
        <v>794</v>
      </c>
      <c r="L63" s="16" t="s">
        <v>795</v>
      </c>
      <c r="M63" s="17" t="n">
        <v>1</v>
      </c>
      <c r="N63" s="16" t="s">
        <v>1147</v>
      </c>
      <c r="O63" s="16" t="s">
        <v>1148</v>
      </c>
      <c r="P63" s="18" t="s">
        <v>564</v>
      </c>
      <c r="R63" s="1" t="n">
        <v>0</v>
      </c>
    </row>
    <row r="64" customFormat="false" ht="42" hidden="false" customHeight="true" outlineLevel="0" collapsed="false">
      <c r="A64" s="16" t="s">
        <v>1149</v>
      </c>
      <c r="B64" s="16" t="s">
        <v>1116</v>
      </c>
      <c r="C64" s="16" t="s">
        <v>1150</v>
      </c>
      <c r="D64" s="16" t="s">
        <v>789</v>
      </c>
      <c r="E64" s="16" t="s">
        <v>1151</v>
      </c>
      <c r="F64" s="16" t="s">
        <v>693</v>
      </c>
      <c r="G64" s="17" t="n">
        <v>3</v>
      </c>
      <c r="H64" s="16" t="s">
        <v>791</v>
      </c>
      <c r="I64" s="16" t="s">
        <v>1133</v>
      </c>
      <c r="J64" s="16" t="s">
        <v>1152</v>
      </c>
      <c r="K64" s="16" t="s">
        <v>926</v>
      </c>
      <c r="L64" s="16" t="s">
        <v>795</v>
      </c>
      <c r="M64" s="17" t="n">
        <v>1</v>
      </c>
      <c r="N64" s="16" t="s">
        <v>1153</v>
      </c>
      <c r="O64" s="16" t="s">
        <v>1154</v>
      </c>
      <c r="P64" s="18" t="s">
        <v>564</v>
      </c>
      <c r="R64" s="1" t="n">
        <v>0</v>
      </c>
    </row>
    <row r="65" customFormat="false" ht="39" hidden="false" customHeight="true" outlineLevel="0" collapsed="false">
      <c r="A65" s="16" t="s">
        <v>1155</v>
      </c>
      <c r="B65" s="16" t="s">
        <v>1116</v>
      </c>
      <c r="C65" s="16" t="s">
        <v>1156</v>
      </c>
      <c r="D65" s="16" t="s">
        <v>789</v>
      </c>
      <c r="E65" s="16" t="s">
        <v>763</v>
      </c>
      <c r="F65" s="16" t="s">
        <v>1125</v>
      </c>
      <c r="G65" s="17" t="n">
        <v>3</v>
      </c>
      <c r="H65" s="16" t="s">
        <v>791</v>
      </c>
      <c r="I65" s="16" t="s">
        <v>1157</v>
      </c>
      <c r="J65" s="16" t="s">
        <v>1158</v>
      </c>
      <c r="K65" s="16" t="s">
        <v>794</v>
      </c>
      <c r="L65" s="16" t="s">
        <v>999</v>
      </c>
      <c r="M65" s="17" t="n">
        <v>10000</v>
      </c>
      <c r="N65" s="16" t="s">
        <v>1159</v>
      </c>
      <c r="O65" s="16" t="s">
        <v>1160</v>
      </c>
      <c r="P65" s="18" t="s">
        <v>564</v>
      </c>
      <c r="R65" s="1" t="n">
        <v>0</v>
      </c>
    </row>
    <row r="66" customFormat="false" ht="26.25" hidden="false" customHeight="true" outlineLevel="0" collapsed="false">
      <c r="A66" s="16" t="s">
        <v>1161</v>
      </c>
      <c r="B66" s="16" t="s">
        <v>1116</v>
      </c>
      <c r="C66" s="16" t="s">
        <v>1162</v>
      </c>
      <c r="D66" s="16" t="s">
        <v>789</v>
      </c>
      <c r="E66" s="16" t="s">
        <v>763</v>
      </c>
      <c r="F66" s="16" t="s">
        <v>1163</v>
      </c>
      <c r="G66" s="17" t="n">
        <v>2</v>
      </c>
      <c r="H66" s="16" t="s">
        <v>791</v>
      </c>
      <c r="I66" s="16" t="s">
        <v>1164</v>
      </c>
      <c r="J66" s="16" t="s">
        <v>1165</v>
      </c>
      <c r="K66" s="16" t="s">
        <v>835</v>
      </c>
      <c r="L66" s="16" t="s">
        <v>795</v>
      </c>
      <c r="M66" s="17" t="n">
        <v>1</v>
      </c>
      <c r="N66" s="16" t="s">
        <v>1166</v>
      </c>
      <c r="O66" s="16" t="s">
        <v>1167</v>
      </c>
      <c r="P66" s="18" t="s">
        <v>894</v>
      </c>
      <c r="R66" s="1" t="n">
        <v>0</v>
      </c>
    </row>
  </sheetData>
  <autoFilter ref="A4:R66"/>
  <mergeCells count="2">
    <mergeCell ref="A1:R1"/>
    <mergeCell ref="A2:R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46"/>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32"/>
  </cols>
  <sheetData>
    <row r="1" customFormat="false" ht="27.75" hidden="false" customHeight="true" outlineLevel="0" collapsed="false">
      <c r="A1" s="8" t="s">
        <v>1168</v>
      </c>
      <c r="B1" s="8"/>
      <c r="C1" s="8"/>
      <c r="D1" s="8"/>
      <c r="E1" s="8"/>
      <c r="F1" s="8"/>
      <c r="G1" s="8"/>
    </row>
    <row r="2" customFormat="false" ht="33.75" hidden="false" customHeight="true" outlineLevel="0" collapsed="false">
      <c r="A2" s="9" t="s">
        <v>1169</v>
      </c>
      <c r="B2" s="9"/>
      <c r="C2" s="9"/>
      <c r="D2" s="9"/>
      <c r="E2" s="9"/>
      <c r="F2" s="9"/>
      <c r="G2" s="9"/>
    </row>
    <row r="4" customFormat="false" ht="15" hidden="false" customHeight="true" outlineLevel="0" collapsed="false">
      <c r="A4" s="10" t="s">
        <v>1170</v>
      </c>
      <c r="B4" s="10" t="s">
        <v>1171</v>
      </c>
      <c r="C4" s="10" t="s">
        <v>1172</v>
      </c>
      <c r="D4" s="10" t="s">
        <v>1173</v>
      </c>
      <c r="E4" s="10" t="s">
        <v>1174</v>
      </c>
      <c r="F4" s="10" t="s">
        <v>772</v>
      </c>
      <c r="G4" s="10" t="s">
        <v>28</v>
      </c>
    </row>
    <row r="5" customFormat="false" ht="15" hidden="false" customHeight="true" outlineLevel="0" collapsed="false">
      <c r="A5" s="11" t="s">
        <v>786</v>
      </c>
      <c r="B5" s="12" t="s">
        <v>1175</v>
      </c>
      <c r="C5" s="12" t="s">
        <v>1176</v>
      </c>
      <c r="D5" s="12" t="n">
        <v>5</v>
      </c>
      <c r="E5" s="12" t="s">
        <v>1177</v>
      </c>
      <c r="F5" s="12" t="s">
        <v>1178</v>
      </c>
      <c r="G5" s="13" t="s">
        <v>1179</v>
      </c>
    </row>
    <row r="6" customFormat="false" ht="15" hidden="false" customHeight="true" outlineLevel="0" collapsed="false">
      <c r="A6" s="16" t="s">
        <v>800</v>
      </c>
      <c r="B6" s="16" t="s">
        <v>1180</v>
      </c>
      <c r="C6" s="16" t="s">
        <v>1181</v>
      </c>
      <c r="D6" s="16" t="n">
        <v>5</v>
      </c>
      <c r="E6" s="16" t="s">
        <v>1177</v>
      </c>
      <c r="F6" s="16" t="s">
        <v>1178</v>
      </c>
      <c r="G6" s="17" t="s">
        <v>1179</v>
      </c>
    </row>
    <row r="7" customFormat="false" ht="15" hidden="false" customHeight="true" outlineLevel="0" collapsed="false">
      <c r="A7" s="16" t="s">
        <v>806</v>
      </c>
      <c r="B7" s="16" t="s">
        <v>1182</v>
      </c>
      <c r="C7" s="16" t="s">
        <v>1183</v>
      </c>
      <c r="D7" s="16" t="n">
        <v>6</v>
      </c>
      <c r="E7" s="16" t="s">
        <v>1184</v>
      </c>
      <c r="F7" s="16" t="s">
        <v>1178</v>
      </c>
      <c r="G7" s="17" t="s">
        <v>1179</v>
      </c>
    </row>
    <row r="8" customFormat="false" ht="15" hidden="false" customHeight="true" outlineLevel="0" collapsed="false">
      <c r="A8" s="16" t="s">
        <v>813</v>
      </c>
      <c r="B8" s="16" t="s">
        <v>1185</v>
      </c>
      <c r="C8" s="16" t="s">
        <v>1186</v>
      </c>
      <c r="D8" s="16" t="n">
        <v>4</v>
      </c>
      <c r="E8" s="16" t="s">
        <v>1187</v>
      </c>
      <c r="F8" s="16" t="s">
        <v>1178</v>
      </c>
      <c r="G8" s="17" t="s">
        <v>1179</v>
      </c>
    </row>
    <row r="9" customFormat="false" ht="15" hidden="false" customHeight="true" outlineLevel="0" collapsed="false">
      <c r="A9" s="16" t="s">
        <v>821</v>
      </c>
      <c r="B9" s="16" t="s">
        <v>1188</v>
      </c>
      <c r="C9" s="16" t="s">
        <v>1189</v>
      </c>
      <c r="D9" s="16" t="n">
        <v>2</v>
      </c>
      <c r="E9" s="16" t="s">
        <v>1187</v>
      </c>
      <c r="F9" s="16" t="s">
        <v>1178</v>
      </c>
      <c r="G9" s="17" t="s">
        <v>1179</v>
      </c>
    </row>
    <row r="10" customFormat="false" ht="15" hidden="false" customHeight="true" outlineLevel="0" collapsed="false">
      <c r="A10" s="16" t="s">
        <v>829</v>
      </c>
      <c r="B10" s="16" t="s">
        <v>1190</v>
      </c>
      <c r="C10" s="16" t="s">
        <v>1191</v>
      </c>
      <c r="D10" s="16" t="n">
        <v>2</v>
      </c>
      <c r="E10" s="16" t="s">
        <v>1192</v>
      </c>
      <c r="F10" s="16" t="s">
        <v>1178</v>
      </c>
      <c r="G10" s="17" t="s">
        <v>1179</v>
      </c>
    </row>
    <row r="11" customFormat="false" ht="15" hidden="false" customHeight="true" outlineLevel="0" collapsed="false">
      <c r="A11" s="16" t="s">
        <v>840</v>
      </c>
      <c r="B11" s="16" t="s">
        <v>1193</v>
      </c>
      <c r="C11" s="16" t="s">
        <v>1194</v>
      </c>
      <c r="D11" s="16" t="n">
        <v>2</v>
      </c>
      <c r="E11" s="16" t="s">
        <v>1192</v>
      </c>
      <c r="F11" s="16" t="s">
        <v>1178</v>
      </c>
      <c r="G11" s="17" t="s">
        <v>1179</v>
      </c>
    </row>
    <row r="12" customFormat="false" ht="15" hidden="false" customHeight="true" outlineLevel="0" collapsed="false">
      <c r="A12" s="16" t="s">
        <v>845</v>
      </c>
      <c r="B12" s="16" t="s">
        <v>1195</v>
      </c>
      <c r="C12" s="16" t="s">
        <v>1196</v>
      </c>
      <c r="D12" s="16" t="n">
        <v>3</v>
      </c>
      <c r="E12" s="16" t="s">
        <v>1197</v>
      </c>
      <c r="F12" s="16" t="s">
        <v>1178</v>
      </c>
      <c r="G12" s="17" t="s">
        <v>1179</v>
      </c>
    </row>
    <row r="13" customFormat="false" ht="15" hidden="false" customHeight="true" outlineLevel="0" collapsed="false">
      <c r="A13" s="16" t="s">
        <v>853</v>
      </c>
      <c r="B13" s="16" t="s">
        <v>1198</v>
      </c>
      <c r="C13" s="16" t="s">
        <v>1199</v>
      </c>
      <c r="D13" s="16" t="n">
        <v>7</v>
      </c>
      <c r="E13" s="16" t="s">
        <v>1200</v>
      </c>
      <c r="F13" s="16" t="s">
        <v>1178</v>
      </c>
      <c r="G13" s="17" t="s">
        <v>1179</v>
      </c>
    </row>
    <row r="14" customFormat="false" ht="15" hidden="false" customHeight="true" outlineLevel="0" collapsed="false">
      <c r="A14" s="16" t="s">
        <v>861</v>
      </c>
      <c r="B14" s="16" t="s">
        <v>1201</v>
      </c>
      <c r="C14" s="16" t="s">
        <v>1202</v>
      </c>
      <c r="D14" s="16" t="n">
        <v>2</v>
      </c>
      <c r="E14" s="16" t="s">
        <v>1203</v>
      </c>
      <c r="F14" s="16" t="s">
        <v>1178</v>
      </c>
      <c r="G14" s="17" t="s">
        <v>1179</v>
      </c>
    </row>
    <row r="15" customFormat="false" ht="15" hidden="false" customHeight="true" outlineLevel="0" collapsed="false">
      <c r="A15" s="16" t="s">
        <v>869</v>
      </c>
      <c r="B15" s="16" t="s">
        <v>1204</v>
      </c>
      <c r="C15" s="16" t="s">
        <v>1205</v>
      </c>
      <c r="D15" s="16" t="n">
        <v>5</v>
      </c>
      <c r="E15" s="16" t="s">
        <v>1206</v>
      </c>
      <c r="F15" s="16" t="s">
        <v>1178</v>
      </c>
      <c r="G15" s="17" t="s">
        <v>1179</v>
      </c>
    </row>
    <row r="16" customFormat="false" ht="26.25" hidden="false" customHeight="true" outlineLevel="0" collapsed="false">
      <c r="A16" s="16" t="s">
        <v>877</v>
      </c>
      <c r="B16" s="16" t="s">
        <v>1207</v>
      </c>
      <c r="C16" s="16" t="s">
        <v>1208</v>
      </c>
      <c r="D16" s="16" t="n">
        <v>11</v>
      </c>
      <c r="E16" s="16" t="s">
        <v>1209</v>
      </c>
      <c r="F16" s="16" t="s">
        <v>1178</v>
      </c>
      <c r="G16" s="17" t="s">
        <v>1179</v>
      </c>
    </row>
  </sheetData>
  <autoFilter ref="A4:G16"/>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8" t="s">
        <v>1210</v>
      </c>
      <c r="B1" s="8"/>
      <c r="C1" s="8"/>
    </row>
    <row r="2" customFormat="false" ht="33.75" hidden="false" customHeight="true" outlineLevel="0" collapsed="false">
      <c r="A2" s="9" t="s">
        <v>1211</v>
      </c>
      <c r="B2" s="9"/>
      <c r="C2" s="9"/>
    </row>
    <row r="3" customFormat="false" ht="7.5" hidden="false" customHeight="true" outlineLevel="0" collapsed="false"/>
    <row r="4" customFormat="false" ht="30" hidden="false" customHeight="true" outlineLevel="0" collapsed="false">
      <c r="A4" s="10" t="s">
        <v>1212</v>
      </c>
      <c r="B4" s="10" t="s">
        <v>1213</v>
      </c>
      <c r="C4" s="10" t="s">
        <v>1214</v>
      </c>
    </row>
    <row r="5" customFormat="false" ht="42" hidden="false" customHeight="true" outlineLevel="0" collapsed="false">
      <c r="A5" s="11" t="s">
        <v>1215</v>
      </c>
      <c r="B5" s="12" t="s">
        <v>1216</v>
      </c>
      <c r="C5" s="12" t="s">
        <v>1217</v>
      </c>
    </row>
    <row r="6" customFormat="false" ht="42" hidden="false" customHeight="true" outlineLevel="0" collapsed="false">
      <c r="A6" s="16" t="s">
        <v>1215</v>
      </c>
      <c r="B6" s="16" t="s">
        <v>1218</v>
      </c>
      <c r="C6" s="16" t="s">
        <v>1219</v>
      </c>
    </row>
    <row r="7" customFormat="false" ht="42" hidden="false" customHeight="true" outlineLevel="0" collapsed="false">
      <c r="A7" s="16" t="s">
        <v>1215</v>
      </c>
      <c r="B7" s="16" t="s">
        <v>1220</v>
      </c>
      <c r="C7" s="16" t="s">
        <v>1221</v>
      </c>
    </row>
    <row r="8" customFormat="false" ht="42" hidden="false" customHeight="true" outlineLevel="0" collapsed="false">
      <c r="A8" s="16" t="s">
        <v>1215</v>
      </c>
      <c r="B8" s="16" t="s">
        <v>1222</v>
      </c>
      <c r="C8" s="16" t="s">
        <v>1223</v>
      </c>
    </row>
    <row r="9" customFormat="false" ht="42" hidden="false" customHeight="true" outlineLevel="0" collapsed="false">
      <c r="A9" s="11" t="s">
        <v>1224</v>
      </c>
      <c r="B9" s="12" t="s">
        <v>1225</v>
      </c>
      <c r="C9" s="12" t="s">
        <v>1226</v>
      </c>
    </row>
    <row r="10" customFormat="false" ht="42" hidden="false" customHeight="true" outlineLevel="0" collapsed="false">
      <c r="A10" s="11" t="s">
        <v>1227</v>
      </c>
      <c r="B10" s="12" t="s">
        <v>1228</v>
      </c>
      <c r="C10" s="12" t="s">
        <v>1229</v>
      </c>
    </row>
    <row r="11" customFormat="false" ht="42" hidden="false" customHeight="true" outlineLevel="0" collapsed="false">
      <c r="A11" s="11" t="s">
        <v>1230</v>
      </c>
      <c r="B11" s="12" t="s">
        <v>193</v>
      </c>
      <c r="C11" s="12" t="s">
        <v>1231</v>
      </c>
    </row>
    <row r="12" customFormat="false" ht="42" hidden="false" customHeight="true" outlineLevel="0" collapsed="false">
      <c r="A12" s="16" t="s">
        <v>1230</v>
      </c>
      <c r="B12" s="16" t="s">
        <v>387</v>
      </c>
      <c r="C12" s="16" t="s">
        <v>1232</v>
      </c>
    </row>
    <row r="13" customFormat="false" ht="42" hidden="false" customHeight="true" outlineLevel="0" collapsed="false">
      <c r="A13" s="16" t="s">
        <v>1230</v>
      </c>
      <c r="B13" s="16" t="s">
        <v>92</v>
      </c>
      <c r="C13" s="16" t="s">
        <v>1233</v>
      </c>
    </row>
    <row r="14" customFormat="false" ht="42" hidden="false" customHeight="true" outlineLevel="0" collapsed="false">
      <c r="A14" s="16" t="s">
        <v>1230</v>
      </c>
      <c r="B14" s="16" t="s">
        <v>1234</v>
      </c>
      <c r="C14" s="16" t="s">
        <v>1235</v>
      </c>
    </row>
    <row r="15" customFormat="false" ht="42" hidden="false" customHeight="true" outlineLevel="0" collapsed="false">
      <c r="A15" s="16" t="s">
        <v>1230</v>
      </c>
      <c r="B15" s="16" t="s">
        <v>512</v>
      </c>
      <c r="C15" s="16" t="s">
        <v>1236</v>
      </c>
    </row>
    <row r="16" customFormat="false" ht="42" hidden="false" customHeight="true" outlineLevel="0" collapsed="false">
      <c r="A16" s="16" t="s">
        <v>1230</v>
      </c>
      <c r="B16" s="16" t="s">
        <v>1237</v>
      </c>
      <c r="C16" s="16" t="s">
        <v>1238</v>
      </c>
    </row>
    <row r="17" customFormat="false" ht="42" hidden="false" customHeight="true" outlineLevel="0" collapsed="false">
      <c r="A17" s="16" t="s">
        <v>1230</v>
      </c>
      <c r="B17" s="16" t="s">
        <v>1239</v>
      </c>
      <c r="C17" s="16" t="s">
        <v>1240</v>
      </c>
    </row>
    <row r="18" customFormat="false" ht="42" hidden="false" customHeight="true" outlineLevel="0" collapsed="false">
      <c r="A18" s="16" t="s">
        <v>1230</v>
      </c>
      <c r="B18" s="16" t="s">
        <v>50</v>
      </c>
      <c r="C18" s="16" t="s">
        <v>1241</v>
      </c>
    </row>
    <row r="19" customFormat="false" ht="42" hidden="false" customHeight="true" outlineLevel="0" collapsed="false">
      <c r="A19" s="16" t="s">
        <v>1230</v>
      </c>
      <c r="B19" s="16" t="s">
        <v>1242</v>
      </c>
      <c r="C19" s="16" t="s">
        <v>1243</v>
      </c>
    </row>
    <row r="20" customFormat="false" ht="42" hidden="false" customHeight="true" outlineLevel="0" collapsed="false">
      <c r="A20" s="16" t="s">
        <v>1230</v>
      </c>
      <c r="B20" s="16" t="s">
        <v>1244</v>
      </c>
      <c r="C20" s="16" t="s">
        <v>1245</v>
      </c>
    </row>
    <row r="21" customFormat="false" ht="42" hidden="false" customHeight="true" outlineLevel="0" collapsed="false">
      <c r="A21" s="16" t="s">
        <v>1230</v>
      </c>
      <c r="B21" s="16" t="s">
        <v>1246</v>
      </c>
      <c r="C21" s="16" t="s">
        <v>1247</v>
      </c>
    </row>
    <row r="22" customFormat="false" ht="42" hidden="false" customHeight="true" outlineLevel="0" collapsed="false">
      <c r="A22" s="16" t="s">
        <v>1230</v>
      </c>
      <c r="B22" s="16" t="s">
        <v>624</v>
      </c>
      <c r="C22" s="16" t="s">
        <v>1248</v>
      </c>
    </row>
    <row r="23" customFormat="false" ht="42" hidden="false" customHeight="true" outlineLevel="0" collapsed="false">
      <c r="A23" s="11" t="s">
        <v>1249</v>
      </c>
      <c r="B23" s="12" t="s">
        <v>1250</v>
      </c>
      <c r="C23" s="12" t="s">
        <v>1251</v>
      </c>
    </row>
    <row r="24" customFormat="false" ht="15" hidden="false" customHeight="true" outlineLevel="0" collapsed="false">
      <c r="A24" s="11" t="s">
        <v>1252</v>
      </c>
      <c r="B24" s="12" t="s">
        <v>1253</v>
      </c>
      <c r="C24" s="12" t="s">
        <v>1254</v>
      </c>
    </row>
    <row r="25" customFormat="false" ht="15" hidden="false" customHeight="true" outlineLevel="0" collapsed="false">
      <c r="A25" s="11" t="s">
        <v>1252</v>
      </c>
      <c r="B25" s="12" t="s">
        <v>1255</v>
      </c>
      <c r="C25" s="12" t="s">
        <v>1256</v>
      </c>
    </row>
    <row r="26" customFormat="false" ht="15" hidden="false" customHeight="true" outlineLevel="0" collapsed="false">
      <c r="A26" s="11" t="s">
        <v>1252</v>
      </c>
      <c r="B26" s="12" t="s">
        <v>1257</v>
      </c>
      <c r="C26" s="12" t="s">
        <v>1258</v>
      </c>
    </row>
    <row r="27" customFormat="false" ht="15" hidden="false" customHeight="true" outlineLevel="0" collapsed="false">
      <c r="A27" s="11" t="s">
        <v>1252</v>
      </c>
      <c r="B27" s="12" t="s">
        <v>1259</v>
      </c>
      <c r="C27" s="12" t="s">
        <v>1260</v>
      </c>
    </row>
    <row r="28" customFormat="false" ht="15" hidden="false" customHeight="true" outlineLevel="0" collapsed="false">
      <c r="A28" s="11" t="s">
        <v>1252</v>
      </c>
      <c r="B28" s="12" t="s">
        <v>1261</v>
      </c>
      <c r="C28" s="12" t="s">
        <v>1262</v>
      </c>
    </row>
    <row r="29" customFormat="false" ht="15" hidden="false" customHeight="true" outlineLevel="0" collapsed="false">
      <c r="A29" s="11" t="s">
        <v>1252</v>
      </c>
      <c r="B29" s="12" t="s">
        <v>1263</v>
      </c>
      <c r="C29" s="12" t="s">
        <v>1264</v>
      </c>
    </row>
    <row r="30" customFormat="false" ht="15" hidden="false" customHeight="true" outlineLevel="0" collapsed="false">
      <c r="A30" s="11" t="s">
        <v>1252</v>
      </c>
      <c r="B30" s="12" t="s">
        <v>1265</v>
      </c>
      <c r="C30" s="12" t="s">
        <v>1266</v>
      </c>
    </row>
    <row r="31" customFormat="false" ht="15" hidden="false" customHeight="true" outlineLevel="0" collapsed="false">
      <c r="A31" s="11" t="s">
        <v>1267</v>
      </c>
      <c r="B31" s="12" t="s">
        <v>1268</v>
      </c>
      <c r="C31" s="12" t="s">
        <v>1269</v>
      </c>
    </row>
  </sheetData>
  <autoFilter ref="A4:C31"/>
  <mergeCells count="2">
    <mergeCell ref="A1:C1"/>
    <mergeCell ref="A2:C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8" t="s">
        <v>1270</v>
      </c>
      <c r="B1" s="8"/>
      <c r="C1" s="8"/>
      <c r="D1" s="8"/>
    </row>
    <row r="2" customFormat="false" ht="33.75" hidden="false" customHeight="true" outlineLevel="0" collapsed="false">
      <c r="A2" s="9" t="s">
        <v>1271</v>
      </c>
      <c r="B2" s="9"/>
      <c r="C2" s="9"/>
      <c r="D2" s="9"/>
    </row>
    <row r="3" customFormat="false" ht="7.5" hidden="false" customHeight="true" outlineLevel="0" collapsed="false"/>
    <row r="4" customFormat="false" ht="30" hidden="false" customHeight="true" outlineLevel="0" collapsed="false">
      <c r="A4" s="10" t="s">
        <v>1272</v>
      </c>
      <c r="B4" s="10" t="s">
        <v>1273</v>
      </c>
      <c r="C4" s="10" t="s">
        <v>1274</v>
      </c>
      <c r="D4" s="10" t="s">
        <v>1275</v>
      </c>
    </row>
    <row r="5" customFormat="false" ht="42" hidden="false" customHeight="true" outlineLevel="0" collapsed="false">
      <c r="A5" s="16" t="n">
        <v>1</v>
      </c>
      <c r="B5" s="16" t="s">
        <v>1276</v>
      </c>
      <c r="C5" s="16" t="s">
        <v>1277</v>
      </c>
      <c r="D5" s="16" t="s">
        <v>1278</v>
      </c>
    </row>
    <row r="6" customFormat="false" ht="42" hidden="false" customHeight="true" outlineLevel="0" collapsed="false">
      <c r="A6" s="16" t="n">
        <v>2</v>
      </c>
      <c r="B6" s="16" t="s">
        <v>1279</v>
      </c>
      <c r="C6" s="16" t="s">
        <v>1280</v>
      </c>
      <c r="D6" s="16" t="s">
        <v>1281</v>
      </c>
    </row>
    <row r="7" customFormat="false" ht="42" hidden="false" customHeight="true" outlineLevel="0" collapsed="false">
      <c r="A7" s="16" t="n">
        <v>3</v>
      </c>
      <c r="B7" s="16" t="s">
        <v>1282</v>
      </c>
      <c r="C7" s="16" t="s">
        <v>1283</v>
      </c>
      <c r="D7" s="16" t="s">
        <v>1284</v>
      </c>
    </row>
    <row r="8" customFormat="false" ht="42" hidden="false" customHeight="true" outlineLevel="0" collapsed="false">
      <c r="A8" s="16" t="n">
        <v>4</v>
      </c>
      <c r="B8" s="16" t="s">
        <v>1285</v>
      </c>
      <c r="C8" s="16" t="s">
        <v>1286</v>
      </c>
      <c r="D8" s="16" t="s">
        <v>1287</v>
      </c>
    </row>
    <row r="9" customFormat="false" ht="42" hidden="false" customHeight="true" outlineLevel="0" collapsed="false">
      <c r="A9" s="16" t="n">
        <v>5</v>
      </c>
      <c r="B9" s="16" t="s">
        <v>1288</v>
      </c>
      <c r="C9" s="16" t="s">
        <v>1289</v>
      </c>
      <c r="D9" s="16" t="s">
        <v>1290</v>
      </c>
    </row>
    <row r="10" customFormat="false" ht="42" hidden="false" customHeight="true" outlineLevel="0" collapsed="false">
      <c r="A10" s="16" t="n">
        <v>6</v>
      </c>
      <c r="B10" s="16" t="s">
        <v>1291</v>
      </c>
      <c r="C10" s="16" t="s">
        <v>1292</v>
      </c>
      <c r="D10" s="16" t="s">
        <v>1293</v>
      </c>
    </row>
    <row r="11" customFormat="false" ht="42" hidden="false" customHeight="true" outlineLevel="0" collapsed="false">
      <c r="A11" s="16" t="n">
        <v>7</v>
      </c>
      <c r="B11" s="16" t="s">
        <v>1294</v>
      </c>
      <c r="C11" s="16" t="s">
        <v>1295</v>
      </c>
      <c r="D11" s="16" t="s">
        <v>1296</v>
      </c>
    </row>
    <row r="12" customFormat="false" ht="42" hidden="false" customHeight="true" outlineLevel="0" collapsed="false">
      <c r="A12" s="16" t="n">
        <v>8</v>
      </c>
      <c r="B12" s="16" t="s">
        <v>1297</v>
      </c>
      <c r="C12" s="16" t="s">
        <v>1298</v>
      </c>
      <c r="D12" s="16" t="s">
        <v>1299</v>
      </c>
    </row>
  </sheetData>
  <autoFilter ref="A4:D12"/>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8" t="s">
        <v>1300</v>
      </c>
      <c r="B1" s="8"/>
      <c r="C1" s="8"/>
      <c r="D1" s="8"/>
      <c r="E1" s="8"/>
      <c r="F1" s="8"/>
      <c r="G1" s="8"/>
      <c r="H1" s="8"/>
      <c r="I1" s="8"/>
      <c r="J1" s="8"/>
      <c r="K1" s="8"/>
      <c r="L1" s="8"/>
      <c r="M1" s="8"/>
    </row>
    <row r="2" customFormat="false" ht="33.75" hidden="false" customHeight="true" outlineLevel="0" collapsed="false">
      <c r="A2" s="19" t="s">
        <v>1301</v>
      </c>
      <c r="B2" s="19"/>
      <c r="C2" s="19"/>
      <c r="D2" s="19"/>
      <c r="E2" s="19"/>
      <c r="F2" s="19"/>
      <c r="G2" s="19"/>
      <c r="H2" s="19"/>
      <c r="I2" s="19"/>
      <c r="J2" s="19"/>
      <c r="K2" s="19"/>
      <c r="L2" s="19"/>
      <c r="M2" s="19"/>
    </row>
    <row r="4" customFormat="false" ht="33.75" hidden="false" customHeight="true" outlineLevel="0" collapsed="false">
      <c r="A4" s="10" t="s">
        <v>1302</v>
      </c>
      <c r="B4" s="10" t="s">
        <v>1303</v>
      </c>
      <c r="C4" s="10" t="s">
        <v>1304</v>
      </c>
      <c r="D4" s="10" t="s">
        <v>1305</v>
      </c>
      <c r="E4" s="10" t="s">
        <v>1306</v>
      </c>
      <c r="F4" s="10" t="s">
        <v>1307</v>
      </c>
      <c r="G4" s="10" t="s">
        <v>1308</v>
      </c>
      <c r="H4" s="10" t="s">
        <v>1309</v>
      </c>
      <c r="I4" s="10" t="s">
        <v>1310</v>
      </c>
      <c r="J4" s="10" t="s">
        <v>1311</v>
      </c>
      <c r="K4" s="10" t="s">
        <v>1312</v>
      </c>
      <c r="L4" s="10" t="s">
        <v>1313</v>
      </c>
      <c r="M4" s="10" t="s">
        <v>1314</v>
      </c>
    </row>
    <row r="5" customFormat="false" ht="48" hidden="false" customHeight="true" outlineLevel="0" collapsed="false">
      <c r="A5" s="20" t="n">
        <v>1</v>
      </c>
      <c r="B5" s="20" t="s">
        <v>1315</v>
      </c>
      <c r="C5" s="20" t="s">
        <v>1316</v>
      </c>
      <c r="D5" s="20" t="s">
        <v>1317</v>
      </c>
      <c r="E5" s="20" t="s">
        <v>1318</v>
      </c>
      <c r="F5" s="20" t="s">
        <v>1319</v>
      </c>
      <c r="G5" s="20" t="s">
        <v>1320</v>
      </c>
      <c r="H5" s="20" t="s">
        <v>1321</v>
      </c>
      <c r="I5" s="20" t="s">
        <v>1322</v>
      </c>
      <c r="J5" s="20" t="s">
        <v>1323</v>
      </c>
      <c r="K5" s="20" t="s">
        <v>1324</v>
      </c>
      <c r="L5" s="20" t="s">
        <v>1325</v>
      </c>
      <c r="M5" s="20" t="s">
        <v>1326</v>
      </c>
    </row>
    <row r="6" customFormat="false" ht="48" hidden="false" customHeight="true" outlineLevel="0" collapsed="false">
      <c r="A6" s="21" t="n">
        <v>2</v>
      </c>
      <c r="B6" s="21" t="s">
        <v>1327</v>
      </c>
      <c r="C6" s="21" t="s">
        <v>1328</v>
      </c>
      <c r="D6" s="21" t="s">
        <v>1329</v>
      </c>
      <c r="E6" s="21" t="s">
        <v>1330</v>
      </c>
      <c r="F6" s="21" t="s">
        <v>1331</v>
      </c>
      <c r="G6" s="21" t="s">
        <v>1332</v>
      </c>
      <c r="H6" s="21" t="s">
        <v>1333</v>
      </c>
      <c r="I6" s="21" t="s">
        <v>1334</v>
      </c>
      <c r="J6" s="21" t="s">
        <v>1335</v>
      </c>
      <c r="K6" s="21" t="s">
        <v>1336</v>
      </c>
      <c r="L6" s="21" t="s">
        <v>1337</v>
      </c>
      <c r="M6" s="21" t="s">
        <v>1338</v>
      </c>
    </row>
    <row r="7" customFormat="false" ht="48" hidden="false" customHeight="true" outlineLevel="0" collapsed="false">
      <c r="A7" s="20" t="n">
        <v>3</v>
      </c>
      <c r="B7" s="20" t="s">
        <v>1339</v>
      </c>
      <c r="C7" s="20" t="s">
        <v>1340</v>
      </c>
      <c r="D7" s="20" t="s">
        <v>1341</v>
      </c>
      <c r="E7" s="20" t="s">
        <v>1342</v>
      </c>
      <c r="F7" s="20" t="s">
        <v>1343</v>
      </c>
      <c r="G7" s="20" t="s">
        <v>1344</v>
      </c>
      <c r="H7" s="20" t="s">
        <v>1345</v>
      </c>
      <c r="I7" s="20" t="s">
        <v>1346</v>
      </c>
      <c r="J7" s="20" t="s">
        <v>1347</v>
      </c>
      <c r="K7" s="20" t="s">
        <v>1348</v>
      </c>
      <c r="L7" s="20" t="s">
        <v>1349</v>
      </c>
      <c r="M7" s="20" t="s">
        <v>1350</v>
      </c>
    </row>
    <row r="8" customFormat="false" ht="48" hidden="false" customHeight="true" outlineLevel="0" collapsed="false">
      <c r="A8" s="21" t="n">
        <v>4</v>
      </c>
      <c r="B8" s="21" t="s">
        <v>1351</v>
      </c>
      <c r="C8" s="21" t="s">
        <v>1352</v>
      </c>
      <c r="D8" s="21" t="s">
        <v>1353</v>
      </c>
      <c r="E8" s="21" t="s">
        <v>1354</v>
      </c>
      <c r="F8" s="21" t="s">
        <v>1355</v>
      </c>
      <c r="G8" s="21" t="s">
        <v>1356</v>
      </c>
      <c r="H8" s="21" t="s">
        <v>1357</v>
      </c>
      <c r="I8" s="21" t="s">
        <v>1358</v>
      </c>
      <c r="J8" s="21" t="s">
        <v>1359</v>
      </c>
      <c r="K8" s="21" t="s">
        <v>1360</v>
      </c>
      <c r="L8" s="21" t="s">
        <v>1361</v>
      </c>
      <c r="M8" s="21" t="s">
        <v>1362</v>
      </c>
    </row>
    <row r="9" customFormat="false" ht="48" hidden="false" customHeight="true" outlineLevel="0" collapsed="false">
      <c r="A9" s="20" t="n">
        <v>5</v>
      </c>
      <c r="B9" s="20" t="s">
        <v>1363</v>
      </c>
      <c r="C9" s="20" t="s">
        <v>1364</v>
      </c>
      <c r="D9" s="20" t="s">
        <v>1365</v>
      </c>
      <c r="E9" s="20" t="s">
        <v>1366</v>
      </c>
      <c r="F9" s="20" t="s">
        <v>1367</v>
      </c>
      <c r="G9" s="20" t="s">
        <v>1368</v>
      </c>
      <c r="H9" s="20" t="s">
        <v>1369</v>
      </c>
      <c r="I9" s="20" t="s">
        <v>1370</v>
      </c>
      <c r="J9" s="20" t="s">
        <v>1371</v>
      </c>
      <c r="K9" s="20" t="s">
        <v>1372</v>
      </c>
      <c r="L9" s="20" t="s">
        <v>1373</v>
      </c>
      <c r="M9" s="20" t="s">
        <v>1374</v>
      </c>
    </row>
    <row r="10" customFormat="false" ht="48" hidden="false" customHeight="true" outlineLevel="0" collapsed="false">
      <c r="A10" s="21" t="n">
        <v>6</v>
      </c>
      <c r="B10" s="21" t="s">
        <v>1375</v>
      </c>
      <c r="C10" s="21" t="s">
        <v>1376</v>
      </c>
      <c r="D10" s="21" t="s">
        <v>1377</v>
      </c>
      <c r="E10" s="21" t="s">
        <v>1378</v>
      </c>
      <c r="F10" s="21" t="s">
        <v>1379</v>
      </c>
      <c r="G10" s="21" t="s">
        <v>1380</v>
      </c>
      <c r="H10" s="21" t="s">
        <v>1381</v>
      </c>
      <c r="I10" s="21" t="s">
        <v>1382</v>
      </c>
      <c r="J10" s="21" t="s">
        <v>1383</v>
      </c>
      <c r="K10" s="21" t="s">
        <v>1384</v>
      </c>
      <c r="L10" s="21" t="s">
        <v>1385</v>
      </c>
      <c r="M10" s="21" t="s">
        <v>1386</v>
      </c>
    </row>
    <row r="11" customFormat="false" ht="48" hidden="false" customHeight="true" outlineLevel="0" collapsed="false">
      <c r="A11" s="20" t="n">
        <v>7</v>
      </c>
      <c r="B11" s="20" t="s">
        <v>1387</v>
      </c>
      <c r="C11" s="20" t="s">
        <v>1388</v>
      </c>
      <c r="D11" s="20" t="s">
        <v>1389</v>
      </c>
      <c r="E11" s="20" t="s">
        <v>1390</v>
      </c>
      <c r="F11" s="20" t="s">
        <v>1391</v>
      </c>
      <c r="G11" s="20" t="s">
        <v>1392</v>
      </c>
      <c r="H11" s="20" t="s">
        <v>1393</v>
      </c>
      <c r="I11" s="20" t="s">
        <v>1394</v>
      </c>
      <c r="J11" s="20" t="s">
        <v>1395</v>
      </c>
      <c r="K11" s="20" t="s">
        <v>1396</v>
      </c>
      <c r="L11" s="20" t="s">
        <v>1397</v>
      </c>
      <c r="M11" s="20" t="s">
        <v>1398</v>
      </c>
    </row>
    <row r="12" customFormat="false" ht="48" hidden="false" customHeight="true" outlineLevel="0" collapsed="false">
      <c r="A12" s="21" t="n">
        <v>8</v>
      </c>
      <c r="B12" s="21" t="s">
        <v>1399</v>
      </c>
      <c r="C12" s="21" t="s">
        <v>1400</v>
      </c>
      <c r="D12" s="21" t="s">
        <v>1401</v>
      </c>
      <c r="E12" s="21" t="s">
        <v>1402</v>
      </c>
      <c r="F12" s="21" t="s">
        <v>1403</v>
      </c>
      <c r="G12" s="21" t="s">
        <v>1404</v>
      </c>
      <c r="H12" s="21" t="s">
        <v>1405</v>
      </c>
      <c r="I12" s="21" t="s">
        <v>1406</v>
      </c>
      <c r="J12" s="21" t="s">
        <v>1407</v>
      </c>
      <c r="K12" s="21" t="s">
        <v>1408</v>
      </c>
      <c r="L12" s="21" t="s">
        <v>1409</v>
      </c>
      <c r="M12" s="21" t="s">
        <v>1410</v>
      </c>
    </row>
    <row r="13" customFormat="false" ht="48" hidden="false" customHeight="true" outlineLevel="0" collapsed="false">
      <c r="A13" s="20" t="n">
        <v>9</v>
      </c>
      <c r="B13" s="20" t="s">
        <v>1411</v>
      </c>
      <c r="C13" s="20" t="s">
        <v>1412</v>
      </c>
      <c r="D13" s="20" t="s">
        <v>1413</v>
      </c>
      <c r="E13" s="20" t="s">
        <v>1414</v>
      </c>
      <c r="F13" s="20" t="s">
        <v>1415</v>
      </c>
      <c r="G13" s="20" t="s">
        <v>1416</v>
      </c>
      <c r="H13" s="20" t="s">
        <v>1417</v>
      </c>
      <c r="I13" s="20" t="s">
        <v>1418</v>
      </c>
      <c r="J13" s="20" t="s">
        <v>1419</v>
      </c>
      <c r="K13" s="20" t="s">
        <v>1420</v>
      </c>
      <c r="L13" s="20" t="s">
        <v>1421</v>
      </c>
      <c r="M13" s="20" t="s">
        <v>1422</v>
      </c>
    </row>
  </sheetData>
  <autoFilter ref="A4:M13"/>
  <mergeCells count="2">
    <mergeCell ref="A1:M1"/>
    <mergeCell ref="A2:M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1423</v>
      </c>
      <c r="B1" s="8"/>
      <c r="C1" s="8"/>
      <c r="D1" s="8"/>
      <c r="E1" s="8"/>
      <c r="F1" s="8"/>
      <c r="G1" s="8"/>
      <c r="H1" s="8"/>
      <c r="I1" s="8"/>
      <c r="J1" s="8"/>
      <c r="K1" s="8"/>
      <c r="L1" s="8"/>
      <c r="M1" s="8"/>
      <c r="N1" s="8"/>
      <c r="O1" s="8"/>
      <c r="P1" s="8"/>
      <c r="Q1" s="8"/>
      <c r="R1" s="8"/>
      <c r="S1" s="8"/>
      <c r="T1" s="8"/>
      <c r="U1" s="8"/>
      <c r="V1" s="8"/>
      <c r="W1" s="8"/>
      <c r="X1" s="8"/>
    </row>
    <row r="2" customFormat="false" ht="33.75" hidden="false" customHeight="true" outlineLevel="0" collapsed="false">
      <c r="A2" s="19" t="s">
        <v>1424</v>
      </c>
      <c r="B2" s="19"/>
      <c r="C2" s="19"/>
      <c r="D2" s="19"/>
      <c r="E2" s="19"/>
      <c r="F2" s="19"/>
      <c r="G2" s="19"/>
      <c r="H2" s="19"/>
      <c r="I2" s="19"/>
      <c r="J2" s="19"/>
      <c r="K2" s="19"/>
      <c r="L2" s="19"/>
      <c r="M2" s="19"/>
      <c r="N2" s="19"/>
      <c r="O2" s="19"/>
      <c r="P2" s="19"/>
      <c r="Q2" s="19"/>
      <c r="R2" s="19"/>
      <c r="S2" s="19"/>
      <c r="T2" s="19"/>
      <c r="U2" s="19"/>
      <c r="V2" s="19"/>
      <c r="W2" s="19"/>
      <c r="X2" s="19"/>
    </row>
    <row r="4" customFormat="false" ht="33.75" hidden="false" customHeight="true" outlineLevel="0" collapsed="false">
      <c r="A4" s="10" t="s">
        <v>1425</v>
      </c>
      <c r="B4" s="10" t="s">
        <v>1426</v>
      </c>
      <c r="C4" s="10" t="s">
        <v>1427</v>
      </c>
      <c r="D4" s="10" t="s">
        <v>1428</v>
      </c>
      <c r="E4" s="10" t="s">
        <v>1302</v>
      </c>
      <c r="F4" s="10" t="s">
        <v>1429</v>
      </c>
      <c r="G4" s="10" t="s">
        <v>24</v>
      </c>
      <c r="H4" s="10" t="s">
        <v>1430</v>
      </c>
      <c r="I4" s="10" t="s">
        <v>1431</v>
      </c>
      <c r="J4" s="10" t="s">
        <v>1432</v>
      </c>
      <c r="K4" s="10" t="s">
        <v>1433</v>
      </c>
      <c r="L4" s="10" t="s">
        <v>1434</v>
      </c>
      <c r="M4" s="10" t="s">
        <v>1435</v>
      </c>
      <c r="N4" s="10" t="s">
        <v>1436</v>
      </c>
      <c r="O4" s="10" t="s">
        <v>1437</v>
      </c>
      <c r="P4" s="10" t="s">
        <v>1438</v>
      </c>
      <c r="Q4" s="10" t="s">
        <v>1439</v>
      </c>
      <c r="R4" s="10" t="s">
        <v>1440</v>
      </c>
      <c r="S4" s="10" t="s">
        <v>1441</v>
      </c>
      <c r="T4" s="10" t="s">
        <v>1442</v>
      </c>
      <c r="U4" s="10" t="s">
        <v>1443</v>
      </c>
      <c r="V4" s="10" t="s">
        <v>1444</v>
      </c>
      <c r="W4" s="10" t="s">
        <v>1445</v>
      </c>
      <c r="X4" s="10" t="s">
        <v>1446</v>
      </c>
    </row>
    <row r="5" customFormat="false" ht="39" hidden="false" customHeight="true" outlineLevel="0" collapsed="false">
      <c r="A5" s="20" t="s">
        <v>1447</v>
      </c>
      <c r="B5" s="20" t="s">
        <v>34</v>
      </c>
      <c r="C5" s="20" t="s">
        <v>1447</v>
      </c>
      <c r="D5" s="20" t="s">
        <v>1304</v>
      </c>
      <c r="E5" s="20" t="s">
        <v>1448</v>
      </c>
      <c r="F5" s="20" t="s">
        <v>1449</v>
      </c>
      <c r="G5" s="20" t="s">
        <v>1316</v>
      </c>
      <c r="H5" s="20" t="s">
        <v>1450</v>
      </c>
      <c r="I5" s="20" t="s">
        <v>1451</v>
      </c>
      <c r="J5" s="20" t="s">
        <v>1452</v>
      </c>
      <c r="K5" s="20" t="s">
        <v>1453</v>
      </c>
      <c r="L5" s="22" t="s">
        <v>1454</v>
      </c>
      <c r="M5" s="22" t="s">
        <v>1455</v>
      </c>
      <c r="N5" s="22"/>
      <c r="O5" s="20" t="s">
        <v>1456</v>
      </c>
      <c r="P5" s="20" t="s">
        <v>1457</v>
      </c>
      <c r="Q5" s="20"/>
      <c r="R5" s="20"/>
      <c r="S5" s="20" t="s">
        <v>1458</v>
      </c>
      <c r="T5" s="20" t="s">
        <v>1459</v>
      </c>
      <c r="U5" s="23" t="s">
        <v>1460</v>
      </c>
      <c r="V5" s="20" t="s">
        <v>1461</v>
      </c>
      <c r="W5" s="22" t="s">
        <v>1462</v>
      </c>
      <c r="X5" s="22" t="s">
        <v>1463</v>
      </c>
    </row>
    <row r="6" customFormat="false" ht="39" hidden="false" customHeight="true" outlineLevel="0" collapsed="false">
      <c r="A6" s="21" t="s">
        <v>1447</v>
      </c>
      <c r="B6" s="21" t="s">
        <v>34</v>
      </c>
      <c r="C6" s="21" t="s">
        <v>1447</v>
      </c>
      <c r="D6" s="21" t="s">
        <v>1304</v>
      </c>
      <c r="E6" s="21" t="s">
        <v>1464</v>
      </c>
      <c r="F6" s="21" t="s">
        <v>1465</v>
      </c>
      <c r="G6" s="21" t="s">
        <v>1328</v>
      </c>
      <c r="H6" s="21" t="s">
        <v>1328</v>
      </c>
      <c r="I6" s="21" t="s">
        <v>1451</v>
      </c>
      <c r="J6" s="21" t="s">
        <v>1466</v>
      </c>
      <c r="K6" s="21" t="s">
        <v>1467</v>
      </c>
      <c r="L6" s="24" t="s">
        <v>1454</v>
      </c>
      <c r="M6" s="24" t="s">
        <v>1455</v>
      </c>
      <c r="N6" s="24"/>
      <c r="O6" s="21" t="s">
        <v>1456</v>
      </c>
      <c r="P6" s="21" t="s">
        <v>1457</v>
      </c>
      <c r="Q6" s="21"/>
      <c r="R6" s="21"/>
      <c r="S6" s="21" t="s">
        <v>1458</v>
      </c>
      <c r="T6" s="21" t="s">
        <v>1459</v>
      </c>
      <c r="U6" s="25" t="s">
        <v>1460</v>
      </c>
      <c r="V6" s="21" t="s">
        <v>1461</v>
      </c>
      <c r="W6" s="24" t="s">
        <v>1462</v>
      </c>
      <c r="X6" s="24" t="s">
        <v>1463</v>
      </c>
    </row>
    <row r="7" customFormat="false" ht="39" hidden="false" customHeight="true" outlineLevel="0" collapsed="false">
      <c r="A7" s="20" t="s">
        <v>1447</v>
      </c>
      <c r="B7" s="20" t="s">
        <v>34</v>
      </c>
      <c r="C7" s="20" t="s">
        <v>1447</v>
      </c>
      <c r="D7" s="20" t="s">
        <v>1304</v>
      </c>
      <c r="E7" s="20" t="s">
        <v>1468</v>
      </c>
      <c r="F7" s="20" t="s">
        <v>1469</v>
      </c>
      <c r="G7" s="20" t="s">
        <v>1340</v>
      </c>
      <c r="H7" s="20" t="s">
        <v>1470</v>
      </c>
      <c r="I7" s="20" t="s">
        <v>1451</v>
      </c>
      <c r="J7" s="20" t="s">
        <v>1471</v>
      </c>
      <c r="K7" s="20" t="s">
        <v>1472</v>
      </c>
      <c r="L7" s="22" t="s">
        <v>1454</v>
      </c>
      <c r="M7" s="22" t="s">
        <v>1455</v>
      </c>
      <c r="N7" s="22" t="s">
        <v>1473</v>
      </c>
      <c r="O7" s="20" t="s">
        <v>1456</v>
      </c>
      <c r="P7" s="20" t="s">
        <v>1457</v>
      </c>
      <c r="Q7" s="20"/>
      <c r="R7" s="20"/>
      <c r="S7" s="20" t="s">
        <v>1458</v>
      </c>
      <c r="T7" s="20" t="s">
        <v>1474</v>
      </c>
      <c r="U7" s="23" t="s">
        <v>1460</v>
      </c>
      <c r="V7" s="20" t="s">
        <v>1461</v>
      </c>
      <c r="W7" s="22" t="s">
        <v>1462</v>
      </c>
      <c r="X7" s="22" t="s">
        <v>1463</v>
      </c>
    </row>
    <row r="8" customFormat="false" ht="39" hidden="false" customHeight="true" outlineLevel="0" collapsed="false">
      <c r="A8" s="21" t="s">
        <v>1447</v>
      </c>
      <c r="B8" s="21" t="s">
        <v>34</v>
      </c>
      <c r="C8" s="21" t="s">
        <v>1447</v>
      </c>
      <c r="D8" s="21" t="s">
        <v>1304</v>
      </c>
      <c r="E8" s="21" t="s">
        <v>1475</v>
      </c>
      <c r="F8" s="21" t="s">
        <v>1476</v>
      </c>
      <c r="G8" s="21" t="s">
        <v>1352</v>
      </c>
      <c r="H8" s="21" t="s">
        <v>1477</v>
      </c>
      <c r="I8" s="21" t="s">
        <v>1478</v>
      </c>
      <c r="J8" s="21" t="s">
        <v>1479</v>
      </c>
      <c r="K8" s="21" t="s">
        <v>1480</v>
      </c>
      <c r="L8" s="24" t="s">
        <v>1454</v>
      </c>
      <c r="M8" s="24" t="s">
        <v>1455</v>
      </c>
      <c r="N8" s="24"/>
      <c r="O8" s="21" t="s">
        <v>1456</v>
      </c>
      <c r="P8" s="21" t="s">
        <v>1457</v>
      </c>
      <c r="Q8" s="21"/>
      <c r="R8" s="21"/>
      <c r="S8" s="21" t="s">
        <v>1458</v>
      </c>
      <c r="T8" s="21" t="s">
        <v>1459</v>
      </c>
      <c r="U8" s="25" t="s">
        <v>1460</v>
      </c>
      <c r="V8" s="21" t="s">
        <v>1461</v>
      </c>
      <c r="W8" s="24" t="s">
        <v>1462</v>
      </c>
      <c r="X8" s="24" t="s">
        <v>1463</v>
      </c>
    </row>
    <row r="9" customFormat="false" ht="39" hidden="false" customHeight="true" outlineLevel="0" collapsed="false">
      <c r="A9" s="20" t="s">
        <v>1447</v>
      </c>
      <c r="B9" s="20" t="s">
        <v>34</v>
      </c>
      <c r="C9" s="20" t="s">
        <v>1447</v>
      </c>
      <c r="D9" s="20" t="s">
        <v>1304</v>
      </c>
      <c r="E9" s="20" t="s">
        <v>1481</v>
      </c>
      <c r="F9" s="20" t="s">
        <v>1482</v>
      </c>
      <c r="G9" s="20" t="s">
        <v>1364</v>
      </c>
      <c r="H9" s="20" t="s">
        <v>1483</v>
      </c>
      <c r="I9" s="20" t="s">
        <v>1484</v>
      </c>
      <c r="J9" s="20" t="s">
        <v>1485</v>
      </c>
      <c r="K9" s="20" t="s">
        <v>1486</v>
      </c>
      <c r="L9" s="22" t="s">
        <v>1454</v>
      </c>
      <c r="M9" s="22" t="s">
        <v>1455</v>
      </c>
      <c r="N9" s="22"/>
      <c r="O9" s="20" t="s">
        <v>1487</v>
      </c>
      <c r="P9" s="20" t="s">
        <v>1457</v>
      </c>
      <c r="Q9" s="20"/>
      <c r="R9" s="20"/>
      <c r="S9" s="20" t="s">
        <v>1458</v>
      </c>
      <c r="T9" s="20" t="s">
        <v>1459</v>
      </c>
      <c r="U9" s="23" t="s">
        <v>1460</v>
      </c>
      <c r="V9" s="20" t="s">
        <v>1461</v>
      </c>
      <c r="W9" s="22" t="s">
        <v>1462</v>
      </c>
      <c r="X9" s="22" t="s">
        <v>1463</v>
      </c>
    </row>
    <row r="10" customFormat="false" ht="39" hidden="false" customHeight="true" outlineLevel="0" collapsed="false">
      <c r="A10" s="21" t="s">
        <v>1447</v>
      </c>
      <c r="B10" s="21" t="s">
        <v>34</v>
      </c>
      <c r="C10" s="21" t="s">
        <v>1447</v>
      </c>
      <c r="D10" s="21" t="s">
        <v>1304</v>
      </c>
      <c r="E10" s="21" t="s">
        <v>1488</v>
      </c>
      <c r="F10" s="21" t="s">
        <v>1489</v>
      </c>
      <c r="G10" s="21" t="s">
        <v>1376</v>
      </c>
      <c r="H10" s="21" t="s">
        <v>1376</v>
      </c>
      <c r="I10" s="21" t="s">
        <v>1490</v>
      </c>
      <c r="J10" s="21" t="s">
        <v>1491</v>
      </c>
      <c r="K10" s="21" t="s">
        <v>1492</v>
      </c>
      <c r="L10" s="24" t="s">
        <v>1454</v>
      </c>
      <c r="M10" s="24" t="s">
        <v>1455</v>
      </c>
      <c r="N10" s="24" t="s">
        <v>1493</v>
      </c>
      <c r="O10" s="21" t="s">
        <v>1456</v>
      </c>
      <c r="P10" s="21" t="s">
        <v>1457</v>
      </c>
      <c r="Q10" s="21"/>
      <c r="R10" s="21"/>
      <c r="S10" s="21" t="s">
        <v>1458</v>
      </c>
      <c r="T10" s="21" t="s">
        <v>1494</v>
      </c>
      <c r="U10" s="25" t="s">
        <v>1460</v>
      </c>
      <c r="V10" s="21" t="s">
        <v>1461</v>
      </c>
      <c r="W10" s="24" t="s">
        <v>1462</v>
      </c>
      <c r="X10" s="24" t="s">
        <v>1463</v>
      </c>
    </row>
    <row r="11" customFormat="false" ht="39" hidden="false" customHeight="true" outlineLevel="0" collapsed="false">
      <c r="A11" s="20" t="s">
        <v>1447</v>
      </c>
      <c r="B11" s="20" t="s">
        <v>34</v>
      </c>
      <c r="C11" s="20" t="s">
        <v>1447</v>
      </c>
      <c r="D11" s="20" t="s">
        <v>1304</v>
      </c>
      <c r="E11" s="20" t="s">
        <v>1495</v>
      </c>
      <c r="F11" s="20" t="s">
        <v>1496</v>
      </c>
      <c r="G11" s="20" t="s">
        <v>1388</v>
      </c>
      <c r="H11" s="20" t="s">
        <v>1388</v>
      </c>
      <c r="I11" s="20" t="s">
        <v>1497</v>
      </c>
      <c r="J11" s="20" t="s">
        <v>1498</v>
      </c>
      <c r="K11" s="20" t="s">
        <v>1499</v>
      </c>
      <c r="L11" s="22" t="s">
        <v>1454</v>
      </c>
      <c r="M11" s="22" t="s">
        <v>1455</v>
      </c>
      <c r="N11" s="22"/>
      <c r="O11" s="20" t="s">
        <v>1487</v>
      </c>
      <c r="P11" s="20" t="s">
        <v>1457</v>
      </c>
      <c r="Q11" s="20"/>
      <c r="R11" s="20"/>
      <c r="S11" s="20" t="s">
        <v>1458</v>
      </c>
      <c r="T11" s="20" t="s">
        <v>1459</v>
      </c>
      <c r="U11" s="23" t="s">
        <v>1460</v>
      </c>
      <c r="V11" s="20" t="s">
        <v>1461</v>
      </c>
      <c r="W11" s="22" t="s">
        <v>1462</v>
      </c>
      <c r="X11" s="22" t="s">
        <v>1463</v>
      </c>
    </row>
    <row r="12" customFormat="false" ht="39" hidden="false" customHeight="true" outlineLevel="0" collapsed="false">
      <c r="A12" s="21" t="s">
        <v>1447</v>
      </c>
      <c r="B12" s="21" t="s">
        <v>34</v>
      </c>
      <c r="C12" s="21" t="s">
        <v>1447</v>
      </c>
      <c r="D12" s="21" t="s">
        <v>1304</v>
      </c>
      <c r="E12" s="21" t="s">
        <v>1500</v>
      </c>
      <c r="F12" s="21" t="s">
        <v>1501</v>
      </c>
      <c r="G12" s="21" t="s">
        <v>1400</v>
      </c>
      <c r="H12" s="21" t="s">
        <v>1502</v>
      </c>
      <c r="I12" s="21" t="s">
        <v>1503</v>
      </c>
      <c r="J12" s="21" t="s">
        <v>1504</v>
      </c>
      <c r="K12" s="21" t="s">
        <v>1505</v>
      </c>
      <c r="L12" s="24" t="s">
        <v>1454</v>
      </c>
      <c r="M12" s="24" t="s">
        <v>1455</v>
      </c>
      <c r="N12" s="24" t="s">
        <v>1506</v>
      </c>
      <c r="O12" s="21" t="s">
        <v>1487</v>
      </c>
      <c r="P12" s="21" t="s">
        <v>1457</v>
      </c>
      <c r="Q12" s="21"/>
      <c r="R12" s="21"/>
      <c r="S12" s="21" t="s">
        <v>1458</v>
      </c>
      <c r="T12" s="21" t="s">
        <v>1507</v>
      </c>
      <c r="U12" s="25" t="s">
        <v>1460</v>
      </c>
      <c r="V12" s="21" t="s">
        <v>1461</v>
      </c>
      <c r="W12" s="24" t="s">
        <v>1462</v>
      </c>
      <c r="X12" s="24" t="s">
        <v>1463</v>
      </c>
    </row>
    <row r="13" customFormat="false" ht="51.75" hidden="false" customHeight="true" outlineLevel="0" collapsed="false">
      <c r="A13" s="20" t="s">
        <v>1447</v>
      </c>
      <c r="B13" s="20" t="s">
        <v>34</v>
      </c>
      <c r="C13" s="20" t="s">
        <v>1447</v>
      </c>
      <c r="D13" s="20" t="s">
        <v>1304</v>
      </c>
      <c r="E13" s="20" t="s">
        <v>1508</v>
      </c>
      <c r="F13" s="20" t="s">
        <v>1509</v>
      </c>
      <c r="G13" s="20" t="s">
        <v>1412</v>
      </c>
      <c r="H13" s="20" t="s">
        <v>1412</v>
      </c>
      <c r="I13" s="20" t="s">
        <v>1510</v>
      </c>
      <c r="J13" s="20" t="s">
        <v>1511</v>
      </c>
      <c r="K13" s="20" t="s">
        <v>1512</v>
      </c>
      <c r="L13" s="22" t="s">
        <v>1454</v>
      </c>
      <c r="M13" s="22" t="s">
        <v>1455</v>
      </c>
      <c r="N13" s="22" t="s">
        <v>1513</v>
      </c>
      <c r="O13" s="20" t="s">
        <v>1487</v>
      </c>
      <c r="P13" s="20" t="s">
        <v>1457</v>
      </c>
      <c r="Q13" s="20"/>
      <c r="R13" s="20"/>
      <c r="S13" s="20" t="s">
        <v>1458</v>
      </c>
      <c r="T13" s="20" t="s">
        <v>1514</v>
      </c>
      <c r="U13" s="23" t="s">
        <v>1460</v>
      </c>
      <c r="V13" s="20" t="s">
        <v>1461</v>
      </c>
      <c r="W13" s="22" t="s">
        <v>1462</v>
      </c>
      <c r="X13" s="22" t="s">
        <v>1463</v>
      </c>
    </row>
    <row r="14" customFormat="false" ht="39" hidden="false" customHeight="true" outlineLevel="0" collapsed="false">
      <c r="A14" s="21" t="s">
        <v>1515</v>
      </c>
      <c r="B14" s="21" t="s">
        <v>1516</v>
      </c>
      <c r="C14" s="21" t="s">
        <v>1515</v>
      </c>
      <c r="D14" s="21" t="s">
        <v>1305</v>
      </c>
      <c r="E14" s="21" t="s">
        <v>1448</v>
      </c>
      <c r="F14" s="21" t="s">
        <v>1517</v>
      </c>
      <c r="G14" s="21" t="s">
        <v>1317</v>
      </c>
      <c r="H14" s="21" t="s">
        <v>1518</v>
      </c>
      <c r="I14" s="21" t="s">
        <v>1519</v>
      </c>
      <c r="J14" s="21" t="s">
        <v>1520</v>
      </c>
      <c r="K14" s="21" t="s">
        <v>1521</v>
      </c>
      <c r="L14" s="24" t="s">
        <v>1454</v>
      </c>
      <c r="M14" s="24" t="s">
        <v>1455</v>
      </c>
      <c r="N14" s="24"/>
      <c r="O14" s="21" t="s">
        <v>1456</v>
      </c>
      <c r="P14" s="21" t="s">
        <v>1522</v>
      </c>
      <c r="Q14" s="21"/>
      <c r="R14" s="21"/>
      <c r="S14" s="21" t="s">
        <v>1458</v>
      </c>
      <c r="T14" s="21" t="s">
        <v>1459</v>
      </c>
      <c r="U14" s="25" t="s">
        <v>1523</v>
      </c>
      <c r="V14" s="21" t="s">
        <v>1461</v>
      </c>
      <c r="W14" s="24" t="s">
        <v>1462</v>
      </c>
      <c r="X14" s="24" t="s">
        <v>1463</v>
      </c>
    </row>
    <row r="15" customFormat="false" ht="39" hidden="false" customHeight="true" outlineLevel="0" collapsed="false">
      <c r="A15" s="20" t="s">
        <v>1515</v>
      </c>
      <c r="B15" s="20" t="s">
        <v>1516</v>
      </c>
      <c r="C15" s="20" t="s">
        <v>1515</v>
      </c>
      <c r="D15" s="20" t="s">
        <v>1305</v>
      </c>
      <c r="E15" s="20" t="s">
        <v>1464</v>
      </c>
      <c r="F15" s="20" t="s">
        <v>1524</v>
      </c>
      <c r="G15" s="20" t="s">
        <v>1329</v>
      </c>
      <c r="H15" s="20" t="s">
        <v>1525</v>
      </c>
      <c r="I15" s="20" t="s">
        <v>1519</v>
      </c>
      <c r="J15" s="20" t="s">
        <v>1526</v>
      </c>
      <c r="K15" s="20" t="s">
        <v>1527</v>
      </c>
      <c r="L15" s="22" t="s">
        <v>1454</v>
      </c>
      <c r="M15" s="22" t="s">
        <v>1455</v>
      </c>
      <c r="N15" s="22"/>
      <c r="O15" s="20" t="s">
        <v>1456</v>
      </c>
      <c r="P15" s="20" t="s">
        <v>1522</v>
      </c>
      <c r="Q15" s="20"/>
      <c r="R15" s="20"/>
      <c r="S15" s="20" t="s">
        <v>1458</v>
      </c>
      <c r="T15" s="20" t="s">
        <v>1459</v>
      </c>
      <c r="U15" s="23" t="s">
        <v>1523</v>
      </c>
      <c r="V15" s="20" t="s">
        <v>1461</v>
      </c>
      <c r="W15" s="22" t="s">
        <v>1462</v>
      </c>
      <c r="X15" s="22" t="s">
        <v>1463</v>
      </c>
    </row>
    <row r="16" customFormat="false" ht="39" hidden="false" customHeight="true" outlineLevel="0" collapsed="false">
      <c r="A16" s="21" t="s">
        <v>1515</v>
      </c>
      <c r="B16" s="21" t="s">
        <v>1516</v>
      </c>
      <c r="C16" s="21" t="s">
        <v>1515</v>
      </c>
      <c r="D16" s="21" t="s">
        <v>1305</v>
      </c>
      <c r="E16" s="21" t="s">
        <v>1468</v>
      </c>
      <c r="F16" s="21" t="s">
        <v>1528</v>
      </c>
      <c r="G16" s="21" t="s">
        <v>1341</v>
      </c>
      <c r="H16" s="21" t="s">
        <v>1529</v>
      </c>
      <c r="I16" s="21" t="s">
        <v>1530</v>
      </c>
      <c r="J16" s="21" t="s">
        <v>1531</v>
      </c>
      <c r="K16" s="21" t="s">
        <v>1532</v>
      </c>
      <c r="L16" s="24" t="s">
        <v>1454</v>
      </c>
      <c r="M16" s="24" t="s">
        <v>1455</v>
      </c>
      <c r="N16" s="24"/>
      <c r="O16" s="21" t="s">
        <v>1456</v>
      </c>
      <c r="P16" s="21" t="s">
        <v>1522</v>
      </c>
      <c r="Q16" s="21"/>
      <c r="R16" s="21"/>
      <c r="S16" s="21" t="s">
        <v>1458</v>
      </c>
      <c r="T16" s="21" t="s">
        <v>1459</v>
      </c>
      <c r="U16" s="25" t="s">
        <v>1523</v>
      </c>
      <c r="V16" s="21" t="s">
        <v>1461</v>
      </c>
      <c r="W16" s="24" t="s">
        <v>1462</v>
      </c>
      <c r="X16" s="24" t="s">
        <v>1463</v>
      </c>
    </row>
    <row r="17" customFormat="false" ht="39" hidden="false" customHeight="true" outlineLevel="0" collapsed="false">
      <c r="A17" s="20" t="s">
        <v>1515</v>
      </c>
      <c r="B17" s="20" t="s">
        <v>1516</v>
      </c>
      <c r="C17" s="20" t="s">
        <v>1515</v>
      </c>
      <c r="D17" s="20" t="s">
        <v>1305</v>
      </c>
      <c r="E17" s="20" t="s">
        <v>1475</v>
      </c>
      <c r="F17" s="20" t="s">
        <v>1533</v>
      </c>
      <c r="G17" s="20" t="s">
        <v>1353</v>
      </c>
      <c r="H17" s="20" t="s">
        <v>1353</v>
      </c>
      <c r="I17" s="20" t="s">
        <v>1534</v>
      </c>
      <c r="J17" s="20" t="s">
        <v>1535</v>
      </c>
      <c r="K17" s="20" t="s">
        <v>1536</v>
      </c>
      <c r="L17" s="22" t="s">
        <v>1454</v>
      </c>
      <c r="M17" s="22" t="s">
        <v>1455</v>
      </c>
      <c r="N17" s="22"/>
      <c r="O17" s="20" t="s">
        <v>1487</v>
      </c>
      <c r="P17" s="20" t="s">
        <v>1522</v>
      </c>
      <c r="Q17" s="20"/>
      <c r="R17" s="20"/>
      <c r="S17" s="20" t="s">
        <v>1458</v>
      </c>
      <c r="T17" s="20" t="s">
        <v>1459</v>
      </c>
      <c r="U17" s="23" t="s">
        <v>1523</v>
      </c>
      <c r="V17" s="20" t="s">
        <v>1461</v>
      </c>
      <c r="W17" s="22" t="s">
        <v>1462</v>
      </c>
      <c r="X17" s="22" t="s">
        <v>1463</v>
      </c>
    </row>
    <row r="18" customFormat="false" ht="39" hidden="false" customHeight="true" outlineLevel="0" collapsed="false">
      <c r="A18" s="21" t="s">
        <v>1515</v>
      </c>
      <c r="B18" s="21" t="s">
        <v>1516</v>
      </c>
      <c r="C18" s="21" t="s">
        <v>1515</v>
      </c>
      <c r="D18" s="21" t="s">
        <v>1305</v>
      </c>
      <c r="E18" s="21" t="s">
        <v>1481</v>
      </c>
      <c r="F18" s="21" t="s">
        <v>1537</v>
      </c>
      <c r="G18" s="21" t="s">
        <v>1365</v>
      </c>
      <c r="H18" s="21" t="s">
        <v>1538</v>
      </c>
      <c r="I18" s="21" t="s">
        <v>1539</v>
      </c>
      <c r="J18" s="21" t="s">
        <v>1540</v>
      </c>
      <c r="K18" s="21" t="s">
        <v>1541</v>
      </c>
      <c r="L18" s="24" t="s">
        <v>1454</v>
      </c>
      <c r="M18" s="24" t="s">
        <v>1455</v>
      </c>
      <c r="N18" s="24"/>
      <c r="O18" s="21" t="s">
        <v>1487</v>
      </c>
      <c r="P18" s="21" t="s">
        <v>1522</v>
      </c>
      <c r="Q18" s="21"/>
      <c r="R18" s="21"/>
      <c r="S18" s="21" t="s">
        <v>1458</v>
      </c>
      <c r="T18" s="21" t="s">
        <v>1459</v>
      </c>
      <c r="U18" s="25" t="s">
        <v>1523</v>
      </c>
      <c r="V18" s="21" t="s">
        <v>1461</v>
      </c>
      <c r="W18" s="24" t="s">
        <v>1462</v>
      </c>
      <c r="X18" s="24" t="s">
        <v>1463</v>
      </c>
    </row>
    <row r="19" customFormat="false" ht="51.75" hidden="false" customHeight="true" outlineLevel="0" collapsed="false">
      <c r="A19" s="20" t="s">
        <v>1515</v>
      </c>
      <c r="B19" s="20" t="s">
        <v>1516</v>
      </c>
      <c r="C19" s="20" t="s">
        <v>1515</v>
      </c>
      <c r="D19" s="20" t="s">
        <v>1305</v>
      </c>
      <c r="E19" s="20" t="s">
        <v>1488</v>
      </c>
      <c r="F19" s="20" t="s">
        <v>1542</v>
      </c>
      <c r="G19" s="20" t="s">
        <v>1377</v>
      </c>
      <c r="H19" s="20" t="s">
        <v>1543</v>
      </c>
      <c r="I19" s="20" t="s">
        <v>1544</v>
      </c>
      <c r="J19" s="20" t="s">
        <v>1545</v>
      </c>
      <c r="K19" s="20" t="s">
        <v>1546</v>
      </c>
      <c r="L19" s="22" t="s">
        <v>1454</v>
      </c>
      <c r="M19" s="22" t="s">
        <v>1455</v>
      </c>
      <c r="N19" s="22" t="s">
        <v>1547</v>
      </c>
      <c r="O19" s="20" t="s">
        <v>1487</v>
      </c>
      <c r="P19" s="20" t="s">
        <v>1522</v>
      </c>
      <c r="Q19" s="20"/>
      <c r="R19" s="20"/>
      <c r="S19" s="20" t="s">
        <v>1458</v>
      </c>
      <c r="T19" s="20" t="s">
        <v>1548</v>
      </c>
      <c r="U19" s="23" t="s">
        <v>1523</v>
      </c>
      <c r="V19" s="20" t="s">
        <v>1461</v>
      </c>
      <c r="W19" s="22" t="s">
        <v>1462</v>
      </c>
      <c r="X19" s="22" t="s">
        <v>1463</v>
      </c>
    </row>
    <row r="20" customFormat="false" ht="39" hidden="false" customHeight="true" outlineLevel="0" collapsed="false">
      <c r="A20" s="21" t="s">
        <v>1515</v>
      </c>
      <c r="B20" s="21" t="s">
        <v>1516</v>
      </c>
      <c r="C20" s="21" t="s">
        <v>1515</v>
      </c>
      <c r="D20" s="21" t="s">
        <v>1305</v>
      </c>
      <c r="E20" s="21" t="s">
        <v>1495</v>
      </c>
      <c r="F20" s="21" t="s">
        <v>1549</v>
      </c>
      <c r="G20" s="21" t="s">
        <v>1389</v>
      </c>
      <c r="H20" s="21" t="s">
        <v>1550</v>
      </c>
      <c r="I20" s="21" t="s">
        <v>1551</v>
      </c>
      <c r="J20" s="21" t="s">
        <v>1552</v>
      </c>
      <c r="K20" s="21" t="s">
        <v>1553</v>
      </c>
      <c r="L20" s="24" t="s">
        <v>1454</v>
      </c>
      <c r="M20" s="24" t="s">
        <v>1455</v>
      </c>
      <c r="N20" s="24" t="s">
        <v>1554</v>
      </c>
      <c r="O20" s="21" t="s">
        <v>1487</v>
      </c>
      <c r="P20" s="21" t="s">
        <v>1522</v>
      </c>
      <c r="Q20" s="21"/>
      <c r="R20" s="21"/>
      <c r="S20" s="21" t="s">
        <v>1458</v>
      </c>
      <c r="T20" s="21" t="s">
        <v>1555</v>
      </c>
      <c r="U20" s="25" t="s">
        <v>1523</v>
      </c>
      <c r="V20" s="21" t="s">
        <v>1461</v>
      </c>
      <c r="W20" s="24" t="s">
        <v>1462</v>
      </c>
      <c r="X20" s="24" t="s">
        <v>1463</v>
      </c>
    </row>
    <row r="21" customFormat="false" ht="39" hidden="false" customHeight="true" outlineLevel="0" collapsed="false">
      <c r="A21" s="20" t="s">
        <v>1515</v>
      </c>
      <c r="B21" s="20" t="s">
        <v>1516</v>
      </c>
      <c r="C21" s="20" t="s">
        <v>1515</v>
      </c>
      <c r="D21" s="20" t="s">
        <v>1305</v>
      </c>
      <c r="E21" s="20" t="s">
        <v>1500</v>
      </c>
      <c r="F21" s="20" t="s">
        <v>1556</v>
      </c>
      <c r="G21" s="20" t="s">
        <v>1401</v>
      </c>
      <c r="H21" s="20" t="s">
        <v>1557</v>
      </c>
      <c r="I21" s="20" t="s">
        <v>1558</v>
      </c>
      <c r="J21" s="20" t="s">
        <v>1559</v>
      </c>
      <c r="K21" s="20" t="s">
        <v>1560</v>
      </c>
      <c r="L21" s="22" t="s">
        <v>1454</v>
      </c>
      <c r="M21" s="22" t="s">
        <v>1455</v>
      </c>
      <c r="N21" s="22" t="s">
        <v>1561</v>
      </c>
      <c r="O21" s="20" t="s">
        <v>1487</v>
      </c>
      <c r="P21" s="20" t="s">
        <v>1522</v>
      </c>
      <c r="Q21" s="20"/>
      <c r="R21" s="20"/>
      <c r="S21" s="20" t="s">
        <v>1458</v>
      </c>
      <c r="T21" s="20" t="s">
        <v>1562</v>
      </c>
      <c r="U21" s="23" t="s">
        <v>1523</v>
      </c>
      <c r="V21" s="20" t="s">
        <v>1461</v>
      </c>
      <c r="W21" s="22" t="s">
        <v>1462</v>
      </c>
      <c r="X21" s="22" t="s">
        <v>1463</v>
      </c>
    </row>
    <row r="22" customFormat="false" ht="39" hidden="false" customHeight="true" outlineLevel="0" collapsed="false">
      <c r="A22" s="21" t="s">
        <v>1515</v>
      </c>
      <c r="B22" s="21" t="s">
        <v>1516</v>
      </c>
      <c r="C22" s="21" t="s">
        <v>1515</v>
      </c>
      <c r="D22" s="21" t="s">
        <v>1305</v>
      </c>
      <c r="E22" s="21" t="s">
        <v>1508</v>
      </c>
      <c r="F22" s="21" t="s">
        <v>1563</v>
      </c>
      <c r="G22" s="21" t="s">
        <v>1413</v>
      </c>
      <c r="H22" s="21" t="s">
        <v>1564</v>
      </c>
      <c r="I22" s="21" t="s">
        <v>1565</v>
      </c>
      <c r="J22" s="21" t="s">
        <v>1566</v>
      </c>
      <c r="K22" s="21" t="s">
        <v>1567</v>
      </c>
      <c r="L22" s="24" t="s">
        <v>1454</v>
      </c>
      <c r="M22" s="24" t="s">
        <v>1455</v>
      </c>
      <c r="N22" s="24" t="s">
        <v>1568</v>
      </c>
      <c r="O22" s="21" t="s">
        <v>1487</v>
      </c>
      <c r="P22" s="21" t="s">
        <v>1522</v>
      </c>
      <c r="Q22" s="21"/>
      <c r="R22" s="21"/>
      <c r="S22" s="21" t="s">
        <v>1458</v>
      </c>
      <c r="T22" s="21" t="s">
        <v>1569</v>
      </c>
      <c r="U22" s="25" t="s">
        <v>1523</v>
      </c>
      <c r="V22" s="21" t="s">
        <v>1461</v>
      </c>
      <c r="W22" s="24" t="s">
        <v>1462</v>
      </c>
      <c r="X22" s="24" t="s">
        <v>1463</v>
      </c>
    </row>
    <row r="23" customFormat="false" ht="39" hidden="false" customHeight="true" outlineLevel="0" collapsed="false">
      <c r="A23" s="20" t="s">
        <v>1570</v>
      </c>
      <c r="B23" s="20" t="s">
        <v>1571</v>
      </c>
      <c r="C23" s="20" t="s">
        <v>1570</v>
      </c>
      <c r="D23" s="20" t="s">
        <v>1306</v>
      </c>
      <c r="E23" s="20" t="s">
        <v>1448</v>
      </c>
      <c r="F23" s="20" t="s">
        <v>1572</v>
      </c>
      <c r="G23" s="20" t="s">
        <v>1318</v>
      </c>
      <c r="H23" s="20" t="s">
        <v>1573</v>
      </c>
      <c r="I23" s="20" t="s">
        <v>1574</v>
      </c>
      <c r="J23" s="20" t="s">
        <v>1575</v>
      </c>
      <c r="K23" s="20" t="s">
        <v>1576</v>
      </c>
      <c r="L23" s="22" t="s">
        <v>1454</v>
      </c>
      <c r="M23" s="22" t="s">
        <v>1455</v>
      </c>
      <c r="N23" s="22"/>
      <c r="O23" s="20" t="s">
        <v>1456</v>
      </c>
      <c r="P23" s="20" t="s">
        <v>1577</v>
      </c>
      <c r="Q23" s="20"/>
      <c r="R23" s="20"/>
      <c r="S23" s="20" t="s">
        <v>1458</v>
      </c>
      <c r="T23" s="20" t="s">
        <v>1459</v>
      </c>
      <c r="U23" s="23" t="s">
        <v>1578</v>
      </c>
      <c r="V23" s="20" t="s">
        <v>1461</v>
      </c>
      <c r="W23" s="22" t="s">
        <v>1462</v>
      </c>
      <c r="X23" s="22" t="s">
        <v>1463</v>
      </c>
    </row>
    <row r="24" customFormat="false" ht="39" hidden="false" customHeight="true" outlineLevel="0" collapsed="false">
      <c r="A24" s="21" t="s">
        <v>1570</v>
      </c>
      <c r="B24" s="21" t="s">
        <v>1571</v>
      </c>
      <c r="C24" s="21" t="s">
        <v>1570</v>
      </c>
      <c r="D24" s="21" t="s">
        <v>1306</v>
      </c>
      <c r="E24" s="21" t="s">
        <v>1464</v>
      </c>
      <c r="F24" s="21" t="s">
        <v>1579</v>
      </c>
      <c r="G24" s="21" t="s">
        <v>1330</v>
      </c>
      <c r="H24" s="21" t="s">
        <v>1330</v>
      </c>
      <c r="I24" s="21" t="s">
        <v>1574</v>
      </c>
      <c r="J24" s="21" t="s">
        <v>1580</v>
      </c>
      <c r="K24" s="21" t="s">
        <v>1581</v>
      </c>
      <c r="L24" s="24" t="s">
        <v>1454</v>
      </c>
      <c r="M24" s="24" t="s">
        <v>1455</v>
      </c>
      <c r="N24" s="24"/>
      <c r="O24" s="21" t="s">
        <v>1456</v>
      </c>
      <c r="P24" s="21" t="s">
        <v>1577</v>
      </c>
      <c r="Q24" s="21"/>
      <c r="R24" s="21"/>
      <c r="S24" s="21" t="s">
        <v>1458</v>
      </c>
      <c r="T24" s="21" t="s">
        <v>1459</v>
      </c>
      <c r="U24" s="25" t="s">
        <v>1578</v>
      </c>
      <c r="V24" s="21" t="s">
        <v>1461</v>
      </c>
      <c r="W24" s="24" t="s">
        <v>1462</v>
      </c>
      <c r="X24" s="24" t="s">
        <v>1463</v>
      </c>
    </row>
    <row r="25" customFormat="false" ht="39" hidden="false" customHeight="true" outlineLevel="0" collapsed="false">
      <c r="A25" s="20" t="s">
        <v>1570</v>
      </c>
      <c r="B25" s="20" t="s">
        <v>1571</v>
      </c>
      <c r="C25" s="20" t="s">
        <v>1570</v>
      </c>
      <c r="D25" s="20" t="s">
        <v>1306</v>
      </c>
      <c r="E25" s="20" t="s">
        <v>1468</v>
      </c>
      <c r="F25" s="20" t="s">
        <v>1582</v>
      </c>
      <c r="G25" s="20" t="s">
        <v>1342</v>
      </c>
      <c r="H25" s="20" t="s">
        <v>1583</v>
      </c>
      <c r="I25" s="20" t="s">
        <v>1574</v>
      </c>
      <c r="J25" s="20" t="s">
        <v>1584</v>
      </c>
      <c r="K25" s="20" t="s">
        <v>1585</v>
      </c>
      <c r="L25" s="22" t="s">
        <v>1454</v>
      </c>
      <c r="M25" s="22" t="s">
        <v>1455</v>
      </c>
      <c r="N25" s="22"/>
      <c r="O25" s="20" t="s">
        <v>1456</v>
      </c>
      <c r="P25" s="20" t="s">
        <v>1577</v>
      </c>
      <c r="Q25" s="20"/>
      <c r="R25" s="20"/>
      <c r="S25" s="20" t="s">
        <v>1458</v>
      </c>
      <c r="T25" s="20" t="s">
        <v>1459</v>
      </c>
      <c r="U25" s="23" t="s">
        <v>1578</v>
      </c>
      <c r="V25" s="20" t="s">
        <v>1461</v>
      </c>
      <c r="W25" s="22" t="s">
        <v>1462</v>
      </c>
      <c r="X25" s="22" t="s">
        <v>1463</v>
      </c>
    </row>
    <row r="26" customFormat="false" ht="39" hidden="false" customHeight="true" outlineLevel="0" collapsed="false">
      <c r="A26" s="21" t="s">
        <v>1570</v>
      </c>
      <c r="B26" s="21" t="s">
        <v>1571</v>
      </c>
      <c r="C26" s="21" t="s">
        <v>1570</v>
      </c>
      <c r="D26" s="21" t="s">
        <v>1306</v>
      </c>
      <c r="E26" s="21" t="s">
        <v>1475</v>
      </c>
      <c r="F26" s="21" t="s">
        <v>1586</v>
      </c>
      <c r="G26" s="21" t="s">
        <v>1354</v>
      </c>
      <c r="H26" s="21" t="s">
        <v>1587</v>
      </c>
      <c r="I26" s="21" t="s">
        <v>1588</v>
      </c>
      <c r="J26" s="21" t="s">
        <v>1589</v>
      </c>
      <c r="K26" s="21" t="s">
        <v>1590</v>
      </c>
      <c r="L26" s="24" t="s">
        <v>1454</v>
      </c>
      <c r="M26" s="24" t="s">
        <v>1455</v>
      </c>
      <c r="N26" s="24"/>
      <c r="O26" s="21" t="s">
        <v>1487</v>
      </c>
      <c r="P26" s="21" t="s">
        <v>1577</v>
      </c>
      <c r="Q26" s="21"/>
      <c r="R26" s="21"/>
      <c r="S26" s="21" t="s">
        <v>1458</v>
      </c>
      <c r="T26" s="21" t="s">
        <v>1459</v>
      </c>
      <c r="U26" s="25" t="s">
        <v>1578</v>
      </c>
      <c r="V26" s="21" t="s">
        <v>1461</v>
      </c>
      <c r="W26" s="24" t="s">
        <v>1462</v>
      </c>
      <c r="X26" s="24" t="s">
        <v>1463</v>
      </c>
    </row>
    <row r="27" customFormat="false" ht="39" hidden="false" customHeight="true" outlineLevel="0" collapsed="false">
      <c r="A27" s="20" t="s">
        <v>1570</v>
      </c>
      <c r="B27" s="20" t="s">
        <v>1571</v>
      </c>
      <c r="C27" s="20" t="s">
        <v>1570</v>
      </c>
      <c r="D27" s="20" t="s">
        <v>1306</v>
      </c>
      <c r="E27" s="20" t="s">
        <v>1481</v>
      </c>
      <c r="F27" s="20" t="s">
        <v>1591</v>
      </c>
      <c r="G27" s="20" t="s">
        <v>1366</v>
      </c>
      <c r="H27" s="20" t="s">
        <v>1592</v>
      </c>
      <c r="I27" s="20" t="s">
        <v>1593</v>
      </c>
      <c r="J27" s="20" t="s">
        <v>1594</v>
      </c>
      <c r="K27" s="20" t="s">
        <v>1595</v>
      </c>
      <c r="L27" s="22" t="s">
        <v>1454</v>
      </c>
      <c r="M27" s="22" t="s">
        <v>1455</v>
      </c>
      <c r="N27" s="22" t="s">
        <v>1596</v>
      </c>
      <c r="O27" s="20" t="s">
        <v>1487</v>
      </c>
      <c r="P27" s="20" t="s">
        <v>1577</v>
      </c>
      <c r="Q27" s="20"/>
      <c r="R27" s="20"/>
      <c r="S27" s="20" t="s">
        <v>1458</v>
      </c>
      <c r="T27" s="20" t="s">
        <v>1597</v>
      </c>
      <c r="U27" s="23" t="s">
        <v>1578</v>
      </c>
      <c r="V27" s="20" t="s">
        <v>1461</v>
      </c>
      <c r="W27" s="22" t="s">
        <v>1462</v>
      </c>
      <c r="X27" s="22" t="s">
        <v>1463</v>
      </c>
    </row>
    <row r="28" customFormat="false" ht="39" hidden="false" customHeight="true" outlineLevel="0" collapsed="false">
      <c r="A28" s="21" t="s">
        <v>1570</v>
      </c>
      <c r="B28" s="21" t="s">
        <v>1571</v>
      </c>
      <c r="C28" s="21" t="s">
        <v>1570</v>
      </c>
      <c r="D28" s="21" t="s">
        <v>1306</v>
      </c>
      <c r="E28" s="21" t="s">
        <v>1488</v>
      </c>
      <c r="F28" s="21" t="s">
        <v>1598</v>
      </c>
      <c r="G28" s="21" t="s">
        <v>1378</v>
      </c>
      <c r="H28" s="21" t="s">
        <v>1378</v>
      </c>
      <c r="I28" s="21" t="s">
        <v>1599</v>
      </c>
      <c r="J28" s="21" t="s">
        <v>1600</v>
      </c>
      <c r="K28" s="21" t="s">
        <v>1601</v>
      </c>
      <c r="L28" s="24" t="s">
        <v>1454</v>
      </c>
      <c r="M28" s="24" t="s">
        <v>1455</v>
      </c>
      <c r="N28" s="24"/>
      <c r="O28" s="21" t="s">
        <v>1487</v>
      </c>
      <c r="P28" s="21" t="s">
        <v>1577</v>
      </c>
      <c r="Q28" s="21"/>
      <c r="R28" s="21"/>
      <c r="S28" s="21" t="s">
        <v>1458</v>
      </c>
      <c r="T28" s="21" t="s">
        <v>1459</v>
      </c>
      <c r="U28" s="25" t="s">
        <v>1578</v>
      </c>
      <c r="V28" s="21" t="s">
        <v>1461</v>
      </c>
      <c r="W28" s="24" t="s">
        <v>1462</v>
      </c>
      <c r="X28" s="24" t="s">
        <v>1463</v>
      </c>
    </row>
    <row r="29" customFormat="false" ht="39" hidden="false" customHeight="true" outlineLevel="0" collapsed="false">
      <c r="A29" s="20" t="s">
        <v>1570</v>
      </c>
      <c r="B29" s="20" t="s">
        <v>1571</v>
      </c>
      <c r="C29" s="20" t="s">
        <v>1570</v>
      </c>
      <c r="D29" s="20" t="s">
        <v>1306</v>
      </c>
      <c r="E29" s="20" t="s">
        <v>1495</v>
      </c>
      <c r="F29" s="20" t="s">
        <v>1602</v>
      </c>
      <c r="G29" s="20" t="s">
        <v>1390</v>
      </c>
      <c r="H29" s="20" t="s">
        <v>1603</v>
      </c>
      <c r="I29" s="20" t="s">
        <v>1604</v>
      </c>
      <c r="J29" s="20" t="s">
        <v>1605</v>
      </c>
      <c r="K29" s="20" t="s">
        <v>1606</v>
      </c>
      <c r="L29" s="22" t="s">
        <v>1454</v>
      </c>
      <c r="M29" s="22" t="s">
        <v>1455</v>
      </c>
      <c r="N29" s="22"/>
      <c r="O29" s="20" t="s">
        <v>1487</v>
      </c>
      <c r="P29" s="20" t="s">
        <v>1577</v>
      </c>
      <c r="Q29" s="20"/>
      <c r="R29" s="20"/>
      <c r="S29" s="20" t="s">
        <v>1458</v>
      </c>
      <c r="T29" s="20" t="s">
        <v>1459</v>
      </c>
      <c r="U29" s="23" t="s">
        <v>1578</v>
      </c>
      <c r="V29" s="20" t="s">
        <v>1461</v>
      </c>
      <c r="W29" s="22" t="s">
        <v>1462</v>
      </c>
      <c r="X29" s="22" t="s">
        <v>1463</v>
      </c>
    </row>
    <row r="30" customFormat="false" ht="39" hidden="false" customHeight="true" outlineLevel="0" collapsed="false">
      <c r="A30" s="21" t="s">
        <v>1570</v>
      </c>
      <c r="B30" s="21" t="s">
        <v>1571</v>
      </c>
      <c r="C30" s="21" t="s">
        <v>1570</v>
      </c>
      <c r="D30" s="21" t="s">
        <v>1306</v>
      </c>
      <c r="E30" s="21" t="s">
        <v>1500</v>
      </c>
      <c r="F30" s="21" t="s">
        <v>1607</v>
      </c>
      <c r="G30" s="21" t="s">
        <v>1402</v>
      </c>
      <c r="H30" s="21" t="s">
        <v>1608</v>
      </c>
      <c r="I30" s="21" t="s">
        <v>1609</v>
      </c>
      <c r="J30" s="21" t="s">
        <v>1610</v>
      </c>
      <c r="K30" s="21" t="s">
        <v>1611</v>
      </c>
      <c r="L30" s="24" t="s">
        <v>1454</v>
      </c>
      <c r="M30" s="24" t="s">
        <v>1455</v>
      </c>
      <c r="N30" s="24" t="s">
        <v>1612</v>
      </c>
      <c r="O30" s="21" t="s">
        <v>1487</v>
      </c>
      <c r="P30" s="21" t="s">
        <v>1577</v>
      </c>
      <c r="Q30" s="21"/>
      <c r="R30" s="21"/>
      <c r="S30" s="21" t="s">
        <v>1458</v>
      </c>
      <c r="T30" s="21" t="s">
        <v>1613</v>
      </c>
      <c r="U30" s="25" t="s">
        <v>1578</v>
      </c>
      <c r="V30" s="21" t="s">
        <v>1461</v>
      </c>
      <c r="W30" s="24" t="s">
        <v>1462</v>
      </c>
      <c r="X30" s="24" t="s">
        <v>1463</v>
      </c>
    </row>
    <row r="31" customFormat="false" ht="51.75" hidden="false" customHeight="true" outlineLevel="0" collapsed="false">
      <c r="A31" s="20" t="s">
        <v>1570</v>
      </c>
      <c r="B31" s="20" t="s">
        <v>1571</v>
      </c>
      <c r="C31" s="20" t="s">
        <v>1570</v>
      </c>
      <c r="D31" s="20" t="s">
        <v>1306</v>
      </c>
      <c r="E31" s="20" t="s">
        <v>1508</v>
      </c>
      <c r="F31" s="20" t="s">
        <v>1614</v>
      </c>
      <c r="G31" s="20" t="s">
        <v>1414</v>
      </c>
      <c r="H31" s="20" t="s">
        <v>1615</v>
      </c>
      <c r="I31" s="20" t="s">
        <v>1616</v>
      </c>
      <c r="J31" s="20" t="s">
        <v>1617</v>
      </c>
      <c r="K31" s="20" t="s">
        <v>1618</v>
      </c>
      <c r="L31" s="22" t="s">
        <v>1454</v>
      </c>
      <c r="M31" s="22" t="s">
        <v>1455</v>
      </c>
      <c r="N31" s="22" t="s">
        <v>1619</v>
      </c>
      <c r="O31" s="20" t="s">
        <v>1487</v>
      </c>
      <c r="P31" s="20" t="s">
        <v>1577</v>
      </c>
      <c r="Q31" s="20"/>
      <c r="R31" s="20"/>
      <c r="S31" s="20" t="s">
        <v>1458</v>
      </c>
      <c r="T31" s="20" t="s">
        <v>1620</v>
      </c>
      <c r="U31" s="23" t="s">
        <v>1578</v>
      </c>
      <c r="V31" s="20" t="s">
        <v>1461</v>
      </c>
      <c r="W31" s="22" t="s">
        <v>1462</v>
      </c>
      <c r="X31" s="22" t="s">
        <v>1463</v>
      </c>
    </row>
    <row r="32" customFormat="false" ht="39" hidden="false" customHeight="true" outlineLevel="0" collapsed="false">
      <c r="A32" s="21" t="s">
        <v>1621</v>
      </c>
      <c r="B32" s="21" t="s">
        <v>1622</v>
      </c>
      <c r="C32" s="21" t="s">
        <v>1623</v>
      </c>
      <c r="D32" s="21" t="s">
        <v>1307</v>
      </c>
      <c r="E32" s="21" t="s">
        <v>1448</v>
      </c>
      <c r="F32" s="21" t="s">
        <v>1624</v>
      </c>
      <c r="G32" s="21" t="s">
        <v>1319</v>
      </c>
      <c r="H32" s="21" t="s">
        <v>1319</v>
      </c>
      <c r="I32" s="21" t="s">
        <v>1625</v>
      </c>
      <c r="J32" s="21" t="s">
        <v>1626</v>
      </c>
      <c r="K32" s="21" t="s">
        <v>1627</v>
      </c>
      <c r="L32" s="24" t="s">
        <v>1454</v>
      </c>
      <c r="M32" s="24" t="s">
        <v>1455</v>
      </c>
      <c r="N32" s="24"/>
      <c r="O32" s="21" t="s">
        <v>1456</v>
      </c>
      <c r="P32" s="21" t="s">
        <v>1628</v>
      </c>
      <c r="Q32" s="21"/>
      <c r="R32" s="21"/>
      <c r="S32" s="21" t="s">
        <v>1458</v>
      </c>
      <c r="T32" s="21" t="s">
        <v>1459</v>
      </c>
      <c r="U32" s="25" t="s">
        <v>1629</v>
      </c>
      <c r="V32" s="21" t="s">
        <v>1461</v>
      </c>
      <c r="W32" s="24" t="s">
        <v>1462</v>
      </c>
      <c r="X32" s="24" t="s">
        <v>1463</v>
      </c>
    </row>
    <row r="33" customFormat="false" ht="39" hidden="false" customHeight="true" outlineLevel="0" collapsed="false">
      <c r="A33" s="20" t="s">
        <v>1621</v>
      </c>
      <c r="B33" s="20" t="s">
        <v>1622</v>
      </c>
      <c r="C33" s="20" t="s">
        <v>1623</v>
      </c>
      <c r="D33" s="20" t="s">
        <v>1307</v>
      </c>
      <c r="E33" s="20" t="s">
        <v>1464</v>
      </c>
      <c r="F33" s="20" t="s">
        <v>1630</v>
      </c>
      <c r="G33" s="20" t="s">
        <v>1331</v>
      </c>
      <c r="H33" s="20" t="s">
        <v>1331</v>
      </c>
      <c r="I33" s="20" t="s">
        <v>1625</v>
      </c>
      <c r="J33" s="20" t="s">
        <v>1631</v>
      </c>
      <c r="K33" s="20" t="s">
        <v>1632</v>
      </c>
      <c r="L33" s="22" t="s">
        <v>1454</v>
      </c>
      <c r="M33" s="22" t="s">
        <v>1455</v>
      </c>
      <c r="N33" s="22"/>
      <c r="O33" s="20" t="s">
        <v>1456</v>
      </c>
      <c r="P33" s="20" t="s">
        <v>1628</v>
      </c>
      <c r="Q33" s="20"/>
      <c r="R33" s="20"/>
      <c r="S33" s="20" t="s">
        <v>1458</v>
      </c>
      <c r="T33" s="20" t="s">
        <v>1459</v>
      </c>
      <c r="U33" s="23" t="s">
        <v>1629</v>
      </c>
      <c r="V33" s="20" t="s">
        <v>1461</v>
      </c>
      <c r="W33" s="22" t="s">
        <v>1462</v>
      </c>
      <c r="X33" s="22" t="s">
        <v>1463</v>
      </c>
    </row>
    <row r="34" customFormat="false" ht="39" hidden="false" customHeight="true" outlineLevel="0" collapsed="false">
      <c r="A34" s="21" t="s">
        <v>1621</v>
      </c>
      <c r="B34" s="21" t="s">
        <v>1622</v>
      </c>
      <c r="C34" s="21" t="s">
        <v>1623</v>
      </c>
      <c r="D34" s="21" t="s">
        <v>1307</v>
      </c>
      <c r="E34" s="21" t="s">
        <v>1468</v>
      </c>
      <c r="F34" s="21" t="s">
        <v>1633</v>
      </c>
      <c r="G34" s="21" t="s">
        <v>1343</v>
      </c>
      <c r="H34" s="21" t="s">
        <v>1634</v>
      </c>
      <c r="I34" s="21" t="s">
        <v>1635</v>
      </c>
      <c r="J34" s="21" t="s">
        <v>1636</v>
      </c>
      <c r="K34" s="21" t="s">
        <v>1637</v>
      </c>
      <c r="L34" s="24" t="s">
        <v>1454</v>
      </c>
      <c r="M34" s="24" t="s">
        <v>1455</v>
      </c>
      <c r="N34" s="24"/>
      <c r="O34" s="21" t="s">
        <v>1456</v>
      </c>
      <c r="P34" s="21" t="s">
        <v>1628</v>
      </c>
      <c r="Q34" s="21"/>
      <c r="R34" s="21"/>
      <c r="S34" s="21" t="s">
        <v>1458</v>
      </c>
      <c r="T34" s="21" t="s">
        <v>1459</v>
      </c>
      <c r="U34" s="25" t="s">
        <v>1629</v>
      </c>
      <c r="V34" s="21" t="s">
        <v>1461</v>
      </c>
      <c r="W34" s="24" t="s">
        <v>1462</v>
      </c>
      <c r="X34" s="24" t="s">
        <v>1463</v>
      </c>
    </row>
    <row r="35" customFormat="false" ht="39" hidden="false" customHeight="true" outlineLevel="0" collapsed="false">
      <c r="A35" s="20" t="s">
        <v>1621</v>
      </c>
      <c r="B35" s="20" t="s">
        <v>1622</v>
      </c>
      <c r="C35" s="20" t="s">
        <v>1623</v>
      </c>
      <c r="D35" s="20" t="s">
        <v>1307</v>
      </c>
      <c r="E35" s="20" t="s">
        <v>1475</v>
      </c>
      <c r="F35" s="20" t="s">
        <v>1638</v>
      </c>
      <c r="G35" s="20" t="s">
        <v>1355</v>
      </c>
      <c r="H35" s="20" t="s">
        <v>1639</v>
      </c>
      <c r="I35" s="20" t="s">
        <v>1640</v>
      </c>
      <c r="J35" s="20" t="s">
        <v>1641</v>
      </c>
      <c r="K35" s="20" t="s">
        <v>1642</v>
      </c>
      <c r="L35" s="22" t="s">
        <v>1454</v>
      </c>
      <c r="M35" s="22" t="s">
        <v>1455</v>
      </c>
      <c r="N35" s="22"/>
      <c r="O35" s="20" t="s">
        <v>1456</v>
      </c>
      <c r="P35" s="20" t="s">
        <v>1628</v>
      </c>
      <c r="Q35" s="20"/>
      <c r="R35" s="20"/>
      <c r="S35" s="20" t="s">
        <v>1458</v>
      </c>
      <c r="T35" s="20" t="s">
        <v>1459</v>
      </c>
      <c r="U35" s="23" t="s">
        <v>1629</v>
      </c>
      <c r="V35" s="20" t="s">
        <v>1461</v>
      </c>
      <c r="W35" s="22" t="s">
        <v>1462</v>
      </c>
      <c r="X35" s="22" t="s">
        <v>1463</v>
      </c>
    </row>
    <row r="36" customFormat="false" ht="39" hidden="false" customHeight="true" outlineLevel="0" collapsed="false">
      <c r="A36" s="21" t="s">
        <v>1621</v>
      </c>
      <c r="B36" s="21" t="s">
        <v>1622</v>
      </c>
      <c r="C36" s="21" t="s">
        <v>1623</v>
      </c>
      <c r="D36" s="21" t="s">
        <v>1307</v>
      </c>
      <c r="E36" s="21" t="s">
        <v>1481</v>
      </c>
      <c r="F36" s="21" t="s">
        <v>1643</v>
      </c>
      <c r="G36" s="21" t="s">
        <v>1367</v>
      </c>
      <c r="H36" s="21" t="s">
        <v>1367</v>
      </c>
      <c r="I36" s="21" t="s">
        <v>1644</v>
      </c>
      <c r="J36" s="21" t="s">
        <v>1645</v>
      </c>
      <c r="K36" s="21" t="s">
        <v>1646</v>
      </c>
      <c r="L36" s="24" t="s">
        <v>1454</v>
      </c>
      <c r="M36" s="24" t="s">
        <v>1455</v>
      </c>
      <c r="N36" s="24"/>
      <c r="O36" s="21" t="s">
        <v>1456</v>
      </c>
      <c r="P36" s="21" t="s">
        <v>1628</v>
      </c>
      <c r="Q36" s="21"/>
      <c r="R36" s="21"/>
      <c r="S36" s="21" t="s">
        <v>1458</v>
      </c>
      <c r="T36" s="21" t="s">
        <v>1459</v>
      </c>
      <c r="U36" s="25" t="s">
        <v>1629</v>
      </c>
      <c r="V36" s="21" t="s">
        <v>1461</v>
      </c>
      <c r="W36" s="24" t="s">
        <v>1462</v>
      </c>
      <c r="X36" s="24" t="s">
        <v>1463</v>
      </c>
    </row>
    <row r="37" customFormat="false" ht="39" hidden="false" customHeight="true" outlineLevel="0" collapsed="false">
      <c r="A37" s="20" t="s">
        <v>1621</v>
      </c>
      <c r="B37" s="20" t="s">
        <v>1622</v>
      </c>
      <c r="C37" s="20" t="s">
        <v>1623</v>
      </c>
      <c r="D37" s="20" t="s">
        <v>1307</v>
      </c>
      <c r="E37" s="20" t="s">
        <v>1488</v>
      </c>
      <c r="F37" s="20" t="s">
        <v>1647</v>
      </c>
      <c r="G37" s="20" t="s">
        <v>1379</v>
      </c>
      <c r="H37" s="20" t="s">
        <v>1648</v>
      </c>
      <c r="I37" s="20" t="s">
        <v>1649</v>
      </c>
      <c r="J37" s="20" t="s">
        <v>1650</v>
      </c>
      <c r="K37" s="20" t="s">
        <v>1651</v>
      </c>
      <c r="L37" s="22" t="s">
        <v>1454</v>
      </c>
      <c r="M37" s="22" t="s">
        <v>1455</v>
      </c>
      <c r="N37" s="22"/>
      <c r="O37" s="20" t="s">
        <v>1487</v>
      </c>
      <c r="P37" s="20" t="s">
        <v>1628</v>
      </c>
      <c r="Q37" s="20"/>
      <c r="R37" s="20"/>
      <c r="S37" s="20" t="s">
        <v>1458</v>
      </c>
      <c r="T37" s="20" t="s">
        <v>1459</v>
      </c>
      <c r="U37" s="23" t="s">
        <v>1629</v>
      </c>
      <c r="V37" s="20" t="s">
        <v>1461</v>
      </c>
      <c r="W37" s="22" t="s">
        <v>1462</v>
      </c>
      <c r="X37" s="22" t="s">
        <v>1463</v>
      </c>
    </row>
    <row r="38" customFormat="false" ht="39" hidden="false" customHeight="true" outlineLevel="0" collapsed="false">
      <c r="A38" s="21" t="s">
        <v>1621</v>
      </c>
      <c r="B38" s="21" t="s">
        <v>1622</v>
      </c>
      <c r="C38" s="21" t="s">
        <v>1623</v>
      </c>
      <c r="D38" s="21" t="s">
        <v>1307</v>
      </c>
      <c r="E38" s="21" t="s">
        <v>1495</v>
      </c>
      <c r="F38" s="21" t="s">
        <v>1652</v>
      </c>
      <c r="G38" s="21" t="s">
        <v>1391</v>
      </c>
      <c r="H38" s="21" t="s">
        <v>1391</v>
      </c>
      <c r="I38" s="21" t="s">
        <v>1653</v>
      </c>
      <c r="J38" s="21" t="s">
        <v>1654</v>
      </c>
      <c r="K38" s="21" t="s">
        <v>1655</v>
      </c>
      <c r="L38" s="24" t="s">
        <v>1454</v>
      </c>
      <c r="M38" s="24" t="s">
        <v>1455</v>
      </c>
      <c r="N38" s="24" t="s">
        <v>1656</v>
      </c>
      <c r="O38" s="21" t="s">
        <v>1487</v>
      </c>
      <c r="P38" s="21" t="s">
        <v>1628</v>
      </c>
      <c r="Q38" s="21"/>
      <c r="R38" s="21"/>
      <c r="S38" s="21" t="s">
        <v>1458</v>
      </c>
      <c r="T38" s="21" t="s">
        <v>1657</v>
      </c>
      <c r="U38" s="25" t="s">
        <v>1629</v>
      </c>
      <c r="V38" s="21" t="s">
        <v>1461</v>
      </c>
      <c r="W38" s="24" t="s">
        <v>1462</v>
      </c>
      <c r="X38" s="24" t="s">
        <v>1463</v>
      </c>
    </row>
    <row r="39" customFormat="false" ht="39" hidden="false" customHeight="true" outlineLevel="0" collapsed="false">
      <c r="A39" s="20" t="s">
        <v>1621</v>
      </c>
      <c r="B39" s="20" t="s">
        <v>1622</v>
      </c>
      <c r="C39" s="20" t="s">
        <v>1623</v>
      </c>
      <c r="D39" s="20" t="s">
        <v>1307</v>
      </c>
      <c r="E39" s="20" t="s">
        <v>1500</v>
      </c>
      <c r="F39" s="20" t="s">
        <v>1658</v>
      </c>
      <c r="G39" s="20" t="s">
        <v>1403</v>
      </c>
      <c r="H39" s="20" t="s">
        <v>1659</v>
      </c>
      <c r="I39" s="20" t="s">
        <v>1660</v>
      </c>
      <c r="J39" s="20" t="s">
        <v>1661</v>
      </c>
      <c r="K39" s="20" t="s">
        <v>1662</v>
      </c>
      <c r="L39" s="22" t="s">
        <v>1454</v>
      </c>
      <c r="M39" s="22" t="s">
        <v>1455</v>
      </c>
      <c r="N39" s="22" t="s">
        <v>1663</v>
      </c>
      <c r="O39" s="20" t="s">
        <v>1487</v>
      </c>
      <c r="P39" s="20" t="s">
        <v>1628</v>
      </c>
      <c r="Q39" s="20"/>
      <c r="R39" s="20"/>
      <c r="S39" s="20" t="s">
        <v>1458</v>
      </c>
      <c r="T39" s="20" t="s">
        <v>1664</v>
      </c>
      <c r="U39" s="23" t="s">
        <v>1629</v>
      </c>
      <c r="V39" s="20" t="s">
        <v>1461</v>
      </c>
      <c r="W39" s="22" t="s">
        <v>1462</v>
      </c>
      <c r="X39" s="22" t="s">
        <v>1463</v>
      </c>
    </row>
    <row r="40" customFormat="false" ht="39" hidden="false" customHeight="true" outlineLevel="0" collapsed="false">
      <c r="A40" s="21" t="s">
        <v>1621</v>
      </c>
      <c r="B40" s="21" t="s">
        <v>1622</v>
      </c>
      <c r="C40" s="21" t="s">
        <v>1623</v>
      </c>
      <c r="D40" s="21" t="s">
        <v>1307</v>
      </c>
      <c r="E40" s="21" t="s">
        <v>1508</v>
      </c>
      <c r="F40" s="21" t="s">
        <v>1665</v>
      </c>
      <c r="G40" s="21" t="s">
        <v>1415</v>
      </c>
      <c r="H40" s="21" t="s">
        <v>1415</v>
      </c>
      <c r="I40" s="21" t="s">
        <v>1609</v>
      </c>
      <c r="J40" s="21" t="s">
        <v>1666</v>
      </c>
      <c r="K40" s="21" t="s">
        <v>1667</v>
      </c>
      <c r="L40" s="24" t="s">
        <v>1454</v>
      </c>
      <c r="M40" s="24" t="s">
        <v>1455</v>
      </c>
      <c r="N40" s="24" t="s">
        <v>1668</v>
      </c>
      <c r="O40" s="21" t="s">
        <v>1487</v>
      </c>
      <c r="P40" s="21" t="s">
        <v>1628</v>
      </c>
      <c r="Q40" s="21"/>
      <c r="R40" s="21"/>
      <c r="S40" s="21" t="s">
        <v>1458</v>
      </c>
      <c r="T40" s="21" t="s">
        <v>1669</v>
      </c>
      <c r="U40" s="25" t="s">
        <v>1629</v>
      </c>
      <c r="V40" s="21" t="s">
        <v>1461</v>
      </c>
      <c r="W40" s="24" t="s">
        <v>1462</v>
      </c>
      <c r="X40" s="24" t="s">
        <v>1463</v>
      </c>
    </row>
    <row r="41" customFormat="false" ht="39" hidden="false" customHeight="true" outlineLevel="0" collapsed="false">
      <c r="A41" s="20" t="s">
        <v>1670</v>
      </c>
      <c r="B41" s="20" t="s">
        <v>274</v>
      </c>
      <c r="C41" s="20" t="s">
        <v>1671</v>
      </c>
      <c r="D41" s="20" t="s">
        <v>1308</v>
      </c>
      <c r="E41" s="20" t="s">
        <v>1448</v>
      </c>
      <c r="F41" s="20" t="s">
        <v>1672</v>
      </c>
      <c r="G41" s="20" t="s">
        <v>1320</v>
      </c>
      <c r="H41" s="20" t="s">
        <v>1320</v>
      </c>
      <c r="I41" s="20" t="s">
        <v>1673</v>
      </c>
      <c r="J41" s="20" t="s">
        <v>1674</v>
      </c>
      <c r="K41" s="20" t="s">
        <v>1675</v>
      </c>
      <c r="L41" s="22" t="s">
        <v>1454</v>
      </c>
      <c r="M41" s="22" t="s">
        <v>1455</v>
      </c>
      <c r="N41" s="22"/>
      <c r="O41" s="20" t="s">
        <v>1456</v>
      </c>
      <c r="P41" s="20" t="s">
        <v>1676</v>
      </c>
      <c r="Q41" s="20"/>
      <c r="R41" s="20"/>
      <c r="S41" s="20" t="s">
        <v>1458</v>
      </c>
      <c r="T41" s="20" t="s">
        <v>1459</v>
      </c>
      <c r="U41" s="23" t="s">
        <v>1677</v>
      </c>
      <c r="V41" s="20" t="s">
        <v>1461</v>
      </c>
      <c r="W41" s="22" t="s">
        <v>1462</v>
      </c>
      <c r="X41" s="22" t="s">
        <v>1463</v>
      </c>
    </row>
    <row r="42" customFormat="false" ht="39" hidden="false" customHeight="true" outlineLevel="0" collapsed="false">
      <c r="A42" s="21" t="s">
        <v>1670</v>
      </c>
      <c r="B42" s="21" t="s">
        <v>274</v>
      </c>
      <c r="C42" s="21" t="s">
        <v>1671</v>
      </c>
      <c r="D42" s="21" t="s">
        <v>1308</v>
      </c>
      <c r="E42" s="21" t="s">
        <v>1464</v>
      </c>
      <c r="F42" s="21" t="s">
        <v>1678</v>
      </c>
      <c r="G42" s="21" t="s">
        <v>1332</v>
      </c>
      <c r="H42" s="21" t="s">
        <v>1332</v>
      </c>
      <c r="I42" s="21" t="s">
        <v>1673</v>
      </c>
      <c r="J42" s="21" t="s">
        <v>1679</v>
      </c>
      <c r="K42" s="21" t="s">
        <v>1680</v>
      </c>
      <c r="L42" s="24" t="s">
        <v>1454</v>
      </c>
      <c r="M42" s="24" t="s">
        <v>1455</v>
      </c>
      <c r="N42" s="24"/>
      <c r="O42" s="21" t="s">
        <v>1456</v>
      </c>
      <c r="P42" s="21" t="s">
        <v>1676</v>
      </c>
      <c r="Q42" s="21"/>
      <c r="R42" s="21"/>
      <c r="S42" s="21" t="s">
        <v>1458</v>
      </c>
      <c r="T42" s="21" t="s">
        <v>1459</v>
      </c>
      <c r="U42" s="25" t="s">
        <v>1677</v>
      </c>
      <c r="V42" s="21" t="s">
        <v>1461</v>
      </c>
      <c r="W42" s="24" t="s">
        <v>1462</v>
      </c>
      <c r="X42" s="24" t="s">
        <v>1463</v>
      </c>
    </row>
    <row r="43" customFormat="false" ht="39" hidden="false" customHeight="true" outlineLevel="0" collapsed="false">
      <c r="A43" s="20" t="s">
        <v>1670</v>
      </c>
      <c r="B43" s="20" t="s">
        <v>274</v>
      </c>
      <c r="C43" s="20" t="s">
        <v>1671</v>
      </c>
      <c r="D43" s="20" t="s">
        <v>1308</v>
      </c>
      <c r="E43" s="20" t="s">
        <v>1468</v>
      </c>
      <c r="F43" s="20" t="s">
        <v>1681</v>
      </c>
      <c r="G43" s="20" t="s">
        <v>1344</v>
      </c>
      <c r="H43" s="20" t="s">
        <v>1344</v>
      </c>
      <c r="I43" s="20" t="s">
        <v>1673</v>
      </c>
      <c r="J43" s="20" t="s">
        <v>1682</v>
      </c>
      <c r="K43" s="20" t="s">
        <v>1683</v>
      </c>
      <c r="L43" s="22" t="s">
        <v>1454</v>
      </c>
      <c r="M43" s="22" t="s">
        <v>1455</v>
      </c>
      <c r="N43" s="22"/>
      <c r="O43" s="20" t="s">
        <v>1487</v>
      </c>
      <c r="P43" s="20" t="s">
        <v>1676</v>
      </c>
      <c r="Q43" s="20"/>
      <c r="R43" s="20"/>
      <c r="S43" s="20" t="s">
        <v>1458</v>
      </c>
      <c r="T43" s="20" t="s">
        <v>1459</v>
      </c>
      <c r="U43" s="23" t="s">
        <v>1677</v>
      </c>
      <c r="V43" s="20" t="s">
        <v>1461</v>
      </c>
      <c r="W43" s="22" t="s">
        <v>1462</v>
      </c>
      <c r="X43" s="22" t="s">
        <v>1463</v>
      </c>
    </row>
    <row r="44" customFormat="false" ht="39" hidden="false" customHeight="true" outlineLevel="0" collapsed="false">
      <c r="A44" s="21" t="s">
        <v>1670</v>
      </c>
      <c r="B44" s="21" t="s">
        <v>274</v>
      </c>
      <c r="C44" s="21" t="s">
        <v>1671</v>
      </c>
      <c r="D44" s="21" t="s">
        <v>1308</v>
      </c>
      <c r="E44" s="21" t="s">
        <v>1475</v>
      </c>
      <c r="F44" s="21" t="s">
        <v>1684</v>
      </c>
      <c r="G44" s="21" t="s">
        <v>1356</v>
      </c>
      <c r="H44" s="21" t="s">
        <v>1356</v>
      </c>
      <c r="I44" s="21" t="s">
        <v>1685</v>
      </c>
      <c r="J44" s="21" t="s">
        <v>1686</v>
      </c>
      <c r="K44" s="21" t="s">
        <v>1687</v>
      </c>
      <c r="L44" s="24" t="s">
        <v>1454</v>
      </c>
      <c r="M44" s="24" t="s">
        <v>1455</v>
      </c>
      <c r="N44" s="24"/>
      <c r="O44" s="21" t="s">
        <v>1487</v>
      </c>
      <c r="P44" s="21" t="s">
        <v>1676</v>
      </c>
      <c r="Q44" s="21"/>
      <c r="R44" s="21"/>
      <c r="S44" s="21" t="s">
        <v>1458</v>
      </c>
      <c r="T44" s="21" t="s">
        <v>1459</v>
      </c>
      <c r="U44" s="25" t="s">
        <v>1677</v>
      </c>
      <c r="V44" s="21" t="s">
        <v>1461</v>
      </c>
      <c r="W44" s="24" t="s">
        <v>1462</v>
      </c>
      <c r="X44" s="24" t="s">
        <v>1463</v>
      </c>
    </row>
    <row r="45" customFormat="false" ht="39" hidden="false" customHeight="true" outlineLevel="0" collapsed="false">
      <c r="A45" s="20" t="s">
        <v>1670</v>
      </c>
      <c r="B45" s="20" t="s">
        <v>274</v>
      </c>
      <c r="C45" s="20" t="s">
        <v>1671</v>
      </c>
      <c r="D45" s="20" t="s">
        <v>1308</v>
      </c>
      <c r="E45" s="20" t="s">
        <v>1481</v>
      </c>
      <c r="F45" s="20" t="s">
        <v>1688</v>
      </c>
      <c r="G45" s="20" t="s">
        <v>1368</v>
      </c>
      <c r="H45" s="20" t="s">
        <v>1368</v>
      </c>
      <c r="I45" s="20" t="s">
        <v>1689</v>
      </c>
      <c r="J45" s="20" t="s">
        <v>1690</v>
      </c>
      <c r="K45" s="20" t="s">
        <v>1691</v>
      </c>
      <c r="L45" s="22" t="s">
        <v>1454</v>
      </c>
      <c r="M45" s="22" t="s">
        <v>1455</v>
      </c>
      <c r="N45" s="22"/>
      <c r="O45" s="20" t="s">
        <v>1487</v>
      </c>
      <c r="P45" s="20" t="s">
        <v>1676</v>
      </c>
      <c r="Q45" s="20"/>
      <c r="R45" s="20"/>
      <c r="S45" s="20" t="s">
        <v>1458</v>
      </c>
      <c r="T45" s="20" t="s">
        <v>1459</v>
      </c>
      <c r="U45" s="23" t="s">
        <v>1677</v>
      </c>
      <c r="V45" s="20" t="s">
        <v>1461</v>
      </c>
      <c r="W45" s="22" t="s">
        <v>1462</v>
      </c>
      <c r="X45" s="22" t="s">
        <v>1463</v>
      </c>
    </row>
    <row r="46" customFormat="false" ht="39" hidden="false" customHeight="true" outlineLevel="0" collapsed="false">
      <c r="A46" s="21" t="s">
        <v>1670</v>
      </c>
      <c r="B46" s="21" t="s">
        <v>274</v>
      </c>
      <c r="C46" s="21" t="s">
        <v>1671</v>
      </c>
      <c r="D46" s="21" t="s">
        <v>1308</v>
      </c>
      <c r="E46" s="21" t="s">
        <v>1488</v>
      </c>
      <c r="F46" s="21" t="s">
        <v>1692</v>
      </c>
      <c r="G46" s="21" t="s">
        <v>1380</v>
      </c>
      <c r="H46" s="21" t="s">
        <v>1380</v>
      </c>
      <c r="I46" s="21" t="s">
        <v>1693</v>
      </c>
      <c r="J46" s="21" t="s">
        <v>1694</v>
      </c>
      <c r="K46" s="21" t="s">
        <v>1695</v>
      </c>
      <c r="L46" s="24" t="s">
        <v>1454</v>
      </c>
      <c r="M46" s="24" t="s">
        <v>1455</v>
      </c>
      <c r="N46" s="24"/>
      <c r="O46" s="21" t="s">
        <v>1487</v>
      </c>
      <c r="P46" s="21" t="s">
        <v>1676</v>
      </c>
      <c r="Q46" s="21"/>
      <c r="R46" s="21"/>
      <c r="S46" s="21" t="s">
        <v>1458</v>
      </c>
      <c r="T46" s="21" t="s">
        <v>1459</v>
      </c>
      <c r="U46" s="25" t="s">
        <v>1677</v>
      </c>
      <c r="V46" s="21" t="s">
        <v>1461</v>
      </c>
      <c r="W46" s="24" t="s">
        <v>1462</v>
      </c>
      <c r="X46" s="24" t="s">
        <v>1463</v>
      </c>
    </row>
    <row r="47" customFormat="false" ht="39" hidden="false" customHeight="true" outlineLevel="0" collapsed="false">
      <c r="A47" s="20" t="s">
        <v>1670</v>
      </c>
      <c r="B47" s="20" t="s">
        <v>274</v>
      </c>
      <c r="C47" s="20" t="s">
        <v>1671</v>
      </c>
      <c r="D47" s="20" t="s">
        <v>1308</v>
      </c>
      <c r="E47" s="20" t="s">
        <v>1495</v>
      </c>
      <c r="F47" s="20" t="s">
        <v>1696</v>
      </c>
      <c r="G47" s="20" t="s">
        <v>1392</v>
      </c>
      <c r="H47" s="20" t="s">
        <v>1392</v>
      </c>
      <c r="I47" s="20" t="s">
        <v>1609</v>
      </c>
      <c r="J47" s="20" t="s">
        <v>1697</v>
      </c>
      <c r="K47" s="20" t="s">
        <v>1698</v>
      </c>
      <c r="L47" s="22" t="s">
        <v>1454</v>
      </c>
      <c r="M47" s="22" t="s">
        <v>1455</v>
      </c>
      <c r="N47" s="22" t="s">
        <v>1699</v>
      </c>
      <c r="O47" s="20" t="s">
        <v>1487</v>
      </c>
      <c r="P47" s="20" t="s">
        <v>1676</v>
      </c>
      <c r="Q47" s="20"/>
      <c r="R47" s="20"/>
      <c r="S47" s="20" t="s">
        <v>1458</v>
      </c>
      <c r="T47" s="20" t="s">
        <v>1459</v>
      </c>
      <c r="U47" s="23" t="s">
        <v>1677</v>
      </c>
      <c r="V47" s="20" t="s">
        <v>1461</v>
      </c>
      <c r="W47" s="22" t="s">
        <v>1462</v>
      </c>
      <c r="X47" s="22" t="s">
        <v>1463</v>
      </c>
    </row>
    <row r="48" customFormat="false" ht="51.75" hidden="false" customHeight="true" outlineLevel="0" collapsed="false">
      <c r="A48" s="21" t="s">
        <v>1670</v>
      </c>
      <c r="B48" s="21" t="s">
        <v>274</v>
      </c>
      <c r="C48" s="21" t="s">
        <v>1671</v>
      </c>
      <c r="D48" s="21" t="s">
        <v>1308</v>
      </c>
      <c r="E48" s="21" t="s">
        <v>1500</v>
      </c>
      <c r="F48" s="21" t="s">
        <v>1700</v>
      </c>
      <c r="G48" s="21" t="s">
        <v>1404</v>
      </c>
      <c r="H48" s="21" t="s">
        <v>1404</v>
      </c>
      <c r="I48" s="21" t="s">
        <v>1701</v>
      </c>
      <c r="J48" s="21" t="s">
        <v>1702</v>
      </c>
      <c r="K48" s="21" t="s">
        <v>1703</v>
      </c>
      <c r="L48" s="24" t="s">
        <v>1454</v>
      </c>
      <c r="M48" s="24" t="s">
        <v>1455</v>
      </c>
      <c r="N48" s="24" t="s">
        <v>1704</v>
      </c>
      <c r="O48" s="21" t="s">
        <v>1487</v>
      </c>
      <c r="P48" s="21" t="s">
        <v>1676</v>
      </c>
      <c r="Q48" s="21"/>
      <c r="R48" s="21"/>
      <c r="S48" s="21" t="s">
        <v>1458</v>
      </c>
      <c r="T48" s="21" t="s">
        <v>1705</v>
      </c>
      <c r="U48" s="25" t="s">
        <v>1677</v>
      </c>
      <c r="V48" s="21" t="s">
        <v>1461</v>
      </c>
      <c r="W48" s="24" t="s">
        <v>1462</v>
      </c>
      <c r="X48" s="24" t="s">
        <v>1463</v>
      </c>
    </row>
    <row r="49" customFormat="false" ht="51.75" hidden="false" customHeight="true" outlineLevel="0" collapsed="false">
      <c r="A49" s="20" t="s">
        <v>1670</v>
      </c>
      <c r="B49" s="20" t="s">
        <v>274</v>
      </c>
      <c r="C49" s="20" t="s">
        <v>1671</v>
      </c>
      <c r="D49" s="20" t="s">
        <v>1308</v>
      </c>
      <c r="E49" s="20" t="s">
        <v>1508</v>
      </c>
      <c r="F49" s="20" t="s">
        <v>1706</v>
      </c>
      <c r="G49" s="20" t="s">
        <v>1416</v>
      </c>
      <c r="H49" s="20" t="s">
        <v>1416</v>
      </c>
      <c r="I49" s="20" t="s">
        <v>1616</v>
      </c>
      <c r="J49" s="20" t="s">
        <v>1707</v>
      </c>
      <c r="K49" s="20" t="s">
        <v>1708</v>
      </c>
      <c r="L49" s="22" t="s">
        <v>1454</v>
      </c>
      <c r="M49" s="22" t="s">
        <v>1455</v>
      </c>
      <c r="N49" s="22" t="s">
        <v>1709</v>
      </c>
      <c r="O49" s="20" t="s">
        <v>1487</v>
      </c>
      <c r="P49" s="20" t="s">
        <v>1676</v>
      </c>
      <c r="Q49" s="20"/>
      <c r="R49" s="20"/>
      <c r="S49" s="20" t="s">
        <v>1458</v>
      </c>
      <c r="T49" s="20" t="s">
        <v>1710</v>
      </c>
      <c r="U49" s="23" t="s">
        <v>1677</v>
      </c>
      <c r="V49" s="20" t="s">
        <v>1461</v>
      </c>
      <c r="W49" s="22" t="s">
        <v>1462</v>
      </c>
      <c r="X49" s="22" t="s">
        <v>1463</v>
      </c>
    </row>
    <row r="50" customFormat="false" ht="39" hidden="false" customHeight="true" outlineLevel="0" collapsed="false">
      <c r="A50" s="21" t="s">
        <v>1670</v>
      </c>
      <c r="B50" s="21" t="s">
        <v>274</v>
      </c>
      <c r="C50" s="21" t="s">
        <v>1711</v>
      </c>
      <c r="D50" s="21" t="s">
        <v>1309</v>
      </c>
      <c r="E50" s="21" t="s">
        <v>1448</v>
      </c>
      <c r="F50" s="21" t="s">
        <v>1712</v>
      </c>
      <c r="G50" s="21" t="s">
        <v>1321</v>
      </c>
      <c r="H50" s="21" t="s">
        <v>1321</v>
      </c>
      <c r="I50" s="21" t="s">
        <v>1713</v>
      </c>
      <c r="J50" s="21" t="s">
        <v>1714</v>
      </c>
      <c r="K50" s="21" t="s">
        <v>1715</v>
      </c>
      <c r="L50" s="24" t="s">
        <v>1454</v>
      </c>
      <c r="M50" s="24" t="s">
        <v>1455</v>
      </c>
      <c r="N50" s="24"/>
      <c r="O50" s="21" t="s">
        <v>1456</v>
      </c>
      <c r="P50" s="21" t="s">
        <v>1716</v>
      </c>
      <c r="Q50" s="21"/>
      <c r="R50" s="21"/>
      <c r="S50" s="21" t="s">
        <v>1458</v>
      </c>
      <c r="T50" s="21" t="s">
        <v>1459</v>
      </c>
      <c r="U50" s="25" t="s">
        <v>1717</v>
      </c>
      <c r="V50" s="21" t="s">
        <v>1461</v>
      </c>
      <c r="W50" s="24" t="s">
        <v>1462</v>
      </c>
      <c r="X50" s="24" t="s">
        <v>1463</v>
      </c>
    </row>
    <row r="51" customFormat="false" ht="39" hidden="false" customHeight="true" outlineLevel="0" collapsed="false">
      <c r="A51" s="20" t="s">
        <v>1670</v>
      </c>
      <c r="B51" s="20" t="s">
        <v>274</v>
      </c>
      <c r="C51" s="20" t="s">
        <v>1711</v>
      </c>
      <c r="D51" s="20" t="s">
        <v>1309</v>
      </c>
      <c r="E51" s="20" t="s">
        <v>1464</v>
      </c>
      <c r="F51" s="20" t="s">
        <v>1718</v>
      </c>
      <c r="G51" s="20" t="s">
        <v>1333</v>
      </c>
      <c r="H51" s="20" t="s">
        <v>1719</v>
      </c>
      <c r="I51" s="20" t="s">
        <v>1720</v>
      </c>
      <c r="J51" s="20" t="s">
        <v>1721</v>
      </c>
      <c r="K51" s="20" t="s">
        <v>1722</v>
      </c>
      <c r="L51" s="22" t="s">
        <v>1454</v>
      </c>
      <c r="M51" s="22" t="s">
        <v>1455</v>
      </c>
      <c r="N51" s="22"/>
      <c r="O51" s="20" t="s">
        <v>1456</v>
      </c>
      <c r="P51" s="20" t="s">
        <v>1716</v>
      </c>
      <c r="Q51" s="20"/>
      <c r="R51" s="20"/>
      <c r="S51" s="20" t="s">
        <v>1458</v>
      </c>
      <c r="T51" s="20" t="s">
        <v>1459</v>
      </c>
      <c r="U51" s="23" t="s">
        <v>1717</v>
      </c>
      <c r="V51" s="20" t="s">
        <v>1461</v>
      </c>
      <c r="W51" s="22" t="s">
        <v>1462</v>
      </c>
      <c r="X51" s="22" t="s">
        <v>1463</v>
      </c>
    </row>
    <row r="52" customFormat="false" ht="39" hidden="false" customHeight="true" outlineLevel="0" collapsed="false">
      <c r="A52" s="21" t="s">
        <v>1670</v>
      </c>
      <c r="B52" s="21" t="s">
        <v>274</v>
      </c>
      <c r="C52" s="21" t="s">
        <v>1711</v>
      </c>
      <c r="D52" s="21" t="s">
        <v>1309</v>
      </c>
      <c r="E52" s="21" t="s">
        <v>1468</v>
      </c>
      <c r="F52" s="21" t="s">
        <v>1723</v>
      </c>
      <c r="G52" s="21" t="s">
        <v>1345</v>
      </c>
      <c r="H52" s="21" t="s">
        <v>1345</v>
      </c>
      <c r="I52" s="21" t="s">
        <v>1724</v>
      </c>
      <c r="J52" s="21" t="s">
        <v>1725</v>
      </c>
      <c r="K52" s="21" t="s">
        <v>1726</v>
      </c>
      <c r="L52" s="24" t="s">
        <v>1454</v>
      </c>
      <c r="M52" s="24" t="s">
        <v>1455</v>
      </c>
      <c r="N52" s="24"/>
      <c r="O52" s="21" t="s">
        <v>1456</v>
      </c>
      <c r="P52" s="21" t="s">
        <v>1716</v>
      </c>
      <c r="Q52" s="21"/>
      <c r="R52" s="21"/>
      <c r="S52" s="21" t="s">
        <v>1458</v>
      </c>
      <c r="T52" s="21" t="s">
        <v>1459</v>
      </c>
      <c r="U52" s="25" t="s">
        <v>1717</v>
      </c>
      <c r="V52" s="21" t="s">
        <v>1461</v>
      </c>
      <c r="W52" s="24" t="s">
        <v>1462</v>
      </c>
      <c r="X52" s="24" t="s">
        <v>1463</v>
      </c>
    </row>
    <row r="53" customFormat="false" ht="39" hidden="false" customHeight="true" outlineLevel="0" collapsed="false">
      <c r="A53" s="20" t="s">
        <v>1670</v>
      </c>
      <c r="B53" s="20" t="s">
        <v>274</v>
      </c>
      <c r="C53" s="20" t="s">
        <v>1711</v>
      </c>
      <c r="D53" s="20" t="s">
        <v>1309</v>
      </c>
      <c r="E53" s="20" t="s">
        <v>1475</v>
      </c>
      <c r="F53" s="20" t="s">
        <v>1727</v>
      </c>
      <c r="G53" s="20" t="s">
        <v>1357</v>
      </c>
      <c r="H53" s="20" t="s">
        <v>1728</v>
      </c>
      <c r="I53" s="20" t="s">
        <v>1729</v>
      </c>
      <c r="J53" s="20" t="s">
        <v>1730</v>
      </c>
      <c r="K53" s="20" t="s">
        <v>1642</v>
      </c>
      <c r="L53" s="22" t="s">
        <v>1454</v>
      </c>
      <c r="M53" s="22" t="s">
        <v>1455</v>
      </c>
      <c r="N53" s="22"/>
      <c r="O53" s="20" t="s">
        <v>1456</v>
      </c>
      <c r="P53" s="20" t="s">
        <v>1716</v>
      </c>
      <c r="Q53" s="20"/>
      <c r="R53" s="20"/>
      <c r="S53" s="20" t="s">
        <v>1458</v>
      </c>
      <c r="T53" s="20" t="s">
        <v>1459</v>
      </c>
      <c r="U53" s="23" t="s">
        <v>1717</v>
      </c>
      <c r="V53" s="20" t="s">
        <v>1461</v>
      </c>
      <c r="W53" s="22" t="s">
        <v>1462</v>
      </c>
      <c r="X53" s="22" t="s">
        <v>1463</v>
      </c>
    </row>
    <row r="54" customFormat="false" ht="39" hidden="false" customHeight="true" outlineLevel="0" collapsed="false">
      <c r="A54" s="21" t="s">
        <v>1670</v>
      </c>
      <c r="B54" s="21" t="s">
        <v>274</v>
      </c>
      <c r="C54" s="21" t="s">
        <v>1711</v>
      </c>
      <c r="D54" s="21" t="s">
        <v>1309</v>
      </c>
      <c r="E54" s="21" t="s">
        <v>1481</v>
      </c>
      <c r="F54" s="21" t="s">
        <v>1731</v>
      </c>
      <c r="G54" s="21" t="s">
        <v>1369</v>
      </c>
      <c r="H54" s="21" t="s">
        <v>1369</v>
      </c>
      <c r="I54" s="21" t="s">
        <v>1732</v>
      </c>
      <c r="J54" s="21" t="s">
        <v>1733</v>
      </c>
      <c r="K54" s="21" t="s">
        <v>1734</v>
      </c>
      <c r="L54" s="24" t="s">
        <v>1454</v>
      </c>
      <c r="M54" s="24" t="s">
        <v>1455</v>
      </c>
      <c r="N54" s="24"/>
      <c r="O54" s="21" t="s">
        <v>1456</v>
      </c>
      <c r="P54" s="21" t="s">
        <v>1716</v>
      </c>
      <c r="Q54" s="21"/>
      <c r="R54" s="21"/>
      <c r="S54" s="21" t="s">
        <v>1458</v>
      </c>
      <c r="T54" s="21" t="s">
        <v>1459</v>
      </c>
      <c r="U54" s="25" t="s">
        <v>1717</v>
      </c>
      <c r="V54" s="21" t="s">
        <v>1461</v>
      </c>
      <c r="W54" s="24" t="s">
        <v>1462</v>
      </c>
      <c r="X54" s="24" t="s">
        <v>1463</v>
      </c>
    </row>
    <row r="55" customFormat="false" ht="39" hidden="false" customHeight="true" outlineLevel="0" collapsed="false">
      <c r="A55" s="20" t="s">
        <v>1670</v>
      </c>
      <c r="B55" s="20" t="s">
        <v>274</v>
      </c>
      <c r="C55" s="20" t="s">
        <v>1711</v>
      </c>
      <c r="D55" s="20" t="s">
        <v>1309</v>
      </c>
      <c r="E55" s="20" t="s">
        <v>1488</v>
      </c>
      <c r="F55" s="20" t="s">
        <v>1735</v>
      </c>
      <c r="G55" s="20" t="s">
        <v>1381</v>
      </c>
      <c r="H55" s="20" t="s">
        <v>1381</v>
      </c>
      <c r="I55" s="20" t="s">
        <v>1736</v>
      </c>
      <c r="J55" s="20" t="s">
        <v>1737</v>
      </c>
      <c r="K55" s="20" t="s">
        <v>1738</v>
      </c>
      <c r="L55" s="22" t="s">
        <v>1454</v>
      </c>
      <c r="M55" s="22" t="s">
        <v>1455</v>
      </c>
      <c r="N55" s="22" t="s">
        <v>1739</v>
      </c>
      <c r="O55" s="20" t="s">
        <v>1487</v>
      </c>
      <c r="P55" s="20" t="s">
        <v>1716</v>
      </c>
      <c r="Q55" s="20"/>
      <c r="R55" s="20"/>
      <c r="S55" s="20" t="s">
        <v>1458</v>
      </c>
      <c r="T55" s="20" t="s">
        <v>1740</v>
      </c>
      <c r="U55" s="23" t="s">
        <v>1717</v>
      </c>
      <c r="V55" s="20" t="s">
        <v>1461</v>
      </c>
      <c r="W55" s="22" t="s">
        <v>1462</v>
      </c>
      <c r="X55" s="22" t="s">
        <v>1463</v>
      </c>
    </row>
    <row r="56" customFormat="false" ht="39" hidden="false" customHeight="true" outlineLevel="0" collapsed="false">
      <c r="A56" s="21" t="s">
        <v>1670</v>
      </c>
      <c r="B56" s="21" t="s">
        <v>274</v>
      </c>
      <c r="C56" s="21" t="s">
        <v>1711</v>
      </c>
      <c r="D56" s="21" t="s">
        <v>1309</v>
      </c>
      <c r="E56" s="21" t="s">
        <v>1495</v>
      </c>
      <c r="F56" s="21" t="s">
        <v>1741</v>
      </c>
      <c r="G56" s="21" t="s">
        <v>1393</v>
      </c>
      <c r="H56" s="21" t="s">
        <v>1393</v>
      </c>
      <c r="I56" s="21" t="s">
        <v>1742</v>
      </c>
      <c r="J56" s="21" t="s">
        <v>1743</v>
      </c>
      <c r="K56" s="21" t="s">
        <v>1744</v>
      </c>
      <c r="L56" s="24" t="s">
        <v>1454</v>
      </c>
      <c r="M56" s="24" t="s">
        <v>1455</v>
      </c>
      <c r="N56" s="24"/>
      <c r="O56" s="21" t="s">
        <v>1487</v>
      </c>
      <c r="P56" s="21" t="s">
        <v>1716</v>
      </c>
      <c r="Q56" s="21"/>
      <c r="R56" s="21"/>
      <c r="S56" s="21" t="s">
        <v>1458</v>
      </c>
      <c r="T56" s="21" t="s">
        <v>1459</v>
      </c>
      <c r="U56" s="25" t="s">
        <v>1717</v>
      </c>
      <c r="V56" s="21" t="s">
        <v>1461</v>
      </c>
      <c r="W56" s="24" t="s">
        <v>1462</v>
      </c>
      <c r="X56" s="24" t="s">
        <v>1463</v>
      </c>
    </row>
    <row r="57" customFormat="false" ht="39" hidden="false" customHeight="true" outlineLevel="0" collapsed="false">
      <c r="A57" s="20" t="s">
        <v>1670</v>
      </c>
      <c r="B57" s="20" t="s">
        <v>274</v>
      </c>
      <c r="C57" s="20" t="s">
        <v>1711</v>
      </c>
      <c r="D57" s="20" t="s">
        <v>1309</v>
      </c>
      <c r="E57" s="20" t="s">
        <v>1500</v>
      </c>
      <c r="F57" s="20" t="s">
        <v>1745</v>
      </c>
      <c r="G57" s="20" t="s">
        <v>1405</v>
      </c>
      <c r="H57" s="20" t="s">
        <v>1405</v>
      </c>
      <c r="I57" s="20" t="s">
        <v>1746</v>
      </c>
      <c r="J57" s="20" t="s">
        <v>1747</v>
      </c>
      <c r="K57" s="20" t="s">
        <v>1748</v>
      </c>
      <c r="L57" s="22" t="s">
        <v>1454</v>
      </c>
      <c r="M57" s="22" t="s">
        <v>1455</v>
      </c>
      <c r="N57" s="22" t="s">
        <v>1699</v>
      </c>
      <c r="O57" s="20" t="s">
        <v>1487</v>
      </c>
      <c r="P57" s="20" t="s">
        <v>1716</v>
      </c>
      <c r="Q57" s="20"/>
      <c r="R57" s="20"/>
      <c r="S57" s="20" t="s">
        <v>1458</v>
      </c>
      <c r="T57" s="20" t="s">
        <v>1459</v>
      </c>
      <c r="U57" s="23" t="s">
        <v>1717</v>
      </c>
      <c r="V57" s="20" t="s">
        <v>1461</v>
      </c>
      <c r="W57" s="22" t="s">
        <v>1462</v>
      </c>
      <c r="X57" s="22" t="s">
        <v>1463</v>
      </c>
    </row>
    <row r="58" customFormat="false" ht="39" hidden="false" customHeight="true" outlineLevel="0" collapsed="false">
      <c r="A58" s="21" t="s">
        <v>1670</v>
      </c>
      <c r="B58" s="21" t="s">
        <v>274</v>
      </c>
      <c r="C58" s="21" t="s">
        <v>1711</v>
      </c>
      <c r="D58" s="21" t="s">
        <v>1309</v>
      </c>
      <c r="E58" s="21" t="s">
        <v>1508</v>
      </c>
      <c r="F58" s="21" t="s">
        <v>1749</v>
      </c>
      <c r="G58" s="21" t="s">
        <v>1417</v>
      </c>
      <c r="H58" s="21" t="s">
        <v>1750</v>
      </c>
      <c r="I58" s="21" t="s">
        <v>1751</v>
      </c>
      <c r="J58" s="21" t="s">
        <v>1752</v>
      </c>
      <c r="K58" s="21" t="s">
        <v>1753</v>
      </c>
      <c r="L58" s="24" t="s">
        <v>1454</v>
      </c>
      <c r="M58" s="24" t="s">
        <v>1455</v>
      </c>
      <c r="N58" s="24" t="s">
        <v>1754</v>
      </c>
      <c r="O58" s="21" t="s">
        <v>1487</v>
      </c>
      <c r="P58" s="21" t="s">
        <v>1716</v>
      </c>
      <c r="Q58" s="21"/>
      <c r="R58" s="21"/>
      <c r="S58" s="21" t="s">
        <v>1458</v>
      </c>
      <c r="T58" s="21" t="s">
        <v>1755</v>
      </c>
      <c r="U58" s="25" t="s">
        <v>1717</v>
      </c>
      <c r="V58" s="21" t="s">
        <v>1461</v>
      </c>
      <c r="W58" s="24" t="s">
        <v>1462</v>
      </c>
      <c r="X58" s="24" t="s">
        <v>1463</v>
      </c>
    </row>
    <row r="59" customFormat="false" ht="39" hidden="false" customHeight="true" outlineLevel="0" collapsed="false">
      <c r="A59" s="20" t="s">
        <v>1756</v>
      </c>
      <c r="B59" s="20" t="s">
        <v>1757</v>
      </c>
      <c r="C59" s="20" t="s">
        <v>1756</v>
      </c>
      <c r="D59" s="20" t="s">
        <v>1310</v>
      </c>
      <c r="E59" s="20" t="s">
        <v>1448</v>
      </c>
      <c r="F59" s="20" t="s">
        <v>1758</v>
      </c>
      <c r="G59" s="20" t="s">
        <v>1322</v>
      </c>
      <c r="H59" s="20" t="s">
        <v>1759</v>
      </c>
      <c r="I59" s="20" t="s">
        <v>1760</v>
      </c>
      <c r="J59" s="20" t="s">
        <v>1761</v>
      </c>
      <c r="K59" s="20" t="s">
        <v>1762</v>
      </c>
      <c r="L59" s="22" t="s">
        <v>1454</v>
      </c>
      <c r="M59" s="22" t="s">
        <v>1455</v>
      </c>
      <c r="N59" s="22"/>
      <c r="O59" s="20" t="s">
        <v>1456</v>
      </c>
      <c r="P59" s="20" t="s">
        <v>1763</v>
      </c>
      <c r="Q59" s="20"/>
      <c r="R59" s="20"/>
      <c r="S59" s="20" t="s">
        <v>1458</v>
      </c>
      <c r="T59" s="20" t="s">
        <v>1459</v>
      </c>
      <c r="U59" s="23" t="s">
        <v>1764</v>
      </c>
      <c r="V59" s="20" t="s">
        <v>1461</v>
      </c>
      <c r="W59" s="22" t="s">
        <v>1462</v>
      </c>
      <c r="X59" s="22" t="s">
        <v>1463</v>
      </c>
    </row>
    <row r="60" customFormat="false" ht="39" hidden="false" customHeight="true" outlineLevel="0" collapsed="false">
      <c r="A60" s="21" t="s">
        <v>1756</v>
      </c>
      <c r="B60" s="21" t="s">
        <v>1757</v>
      </c>
      <c r="C60" s="21" t="s">
        <v>1756</v>
      </c>
      <c r="D60" s="21" t="s">
        <v>1310</v>
      </c>
      <c r="E60" s="21" t="s">
        <v>1464</v>
      </c>
      <c r="F60" s="21" t="s">
        <v>1765</v>
      </c>
      <c r="G60" s="21" t="s">
        <v>1334</v>
      </c>
      <c r="H60" s="21" t="s">
        <v>1766</v>
      </c>
      <c r="I60" s="21" t="s">
        <v>1767</v>
      </c>
      <c r="J60" s="21" t="s">
        <v>1768</v>
      </c>
      <c r="K60" s="21" t="s">
        <v>1769</v>
      </c>
      <c r="L60" s="24" t="s">
        <v>1454</v>
      </c>
      <c r="M60" s="24" t="s">
        <v>1455</v>
      </c>
      <c r="N60" s="24"/>
      <c r="O60" s="21" t="s">
        <v>1456</v>
      </c>
      <c r="P60" s="21" t="s">
        <v>1763</v>
      </c>
      <c r="Q60" s="21"/>
      <c r="R60" s="21"/>
      <c r="S60" s="21" t="s">
        <v>1458</v>
      </c>
      <c r="T60" s="21" t="s">
        <v>1459</v>
      </c>
      <c r="U60" s="25" t="s">
        <v>1764</v>
      </c>
      <c r="V60" s="21" t="s">
        <v>1461</v>
      </c>
      <c r="W60" s="24" t="s">
        <v>1462</v>
      </c>
      <c r="X60" s="24" t="s">
        <v>1463</v>
      </c>
    </row>
    <row r="61" customFormat="false" ht="39" hidden="false" customHeight="true" outlineLevel="0" collapsed="false">
      <c r="A61" s="20" t="s">
        <v>1756</v>
      </c>
      <c r="B61" s="20" t="s">
        <v>1757</v>
      </c>
      <c r="C61" s="20" t="s">
        <v>1756</v>
      </c>
      <c r="D61" s="20" t="s">
        <v>1310</v>
      </c>
      <c r="E61" s="20" t="s">
        <v>1468</v>
      </c>
      <c r="F61" s="20" t="s">
        <v>1770</v>
      </c>
      <c r="G61" s="20" t="s">
        <v>1346</v>
      </c>
      <c r="H61" s="20" t="s">
        <v>1771</v>
      </c>
      <c r="I61" s="20" t="s">
        <v>1772</v>
      </c>
      <c r="J61" s="20" t="s">
        <v>1773</v>
      </c>
      <c r="K61" s="20" t="s">
        <v>1774</v>
      </c>
      <c r="L61" s="22" t="s">
        <v>1454</v>
      </c>
      <c r="M61" s="22" t="s">
        <v>1455</v>
      </c>
      <c r="N61" s="22"/>
      <c r="O61" s="20" t="s">
        <v>1456</v>
      </c>
      <c r="P61" s="20" t="s">
        <v>1763</v>
      </c>
      <c r="Q61" s="20"/>
      <c r="R61" s="20"/>
      <c r="S61" s="20" t="s">
        <v>1458</v>
      </c>
      <c r="T61" s="20" t="s">
        <v>1459</v>
      </c>
      <c r="U61" s="23" t="s">
        <v>1764</v>
      </c>
      <c r="V61" s="20" t="s">
        <v>1461</v>
      </c>
      <c r="W61" s="22" t="s">
        <v>1462</v>
      </c>
      <c r="X61" s="22" t="s">
        <v>1463</v>
      </c>
    </row>
    <row r="62" customFormat="false" ht="39" hidden="false" customHeight="true" outlineLevel="0" collapsed="false">
      <c r="A62" s="21" t="s">
        <v>1756</v>
      </c>
      <c r="B62" s="21" t="s">
        <v>1757</v>
      </c>
      <c r="C62" s="21" t="s">
        <v>1756</v>
      </c>
      <c r="D62" s="21" t="s">
        <v>1310</v>
      </c>
      <c r="E62" s="21" t="s">
        <v>1475</v>
      </c>
      <c r="F62" s="21" t="s">
        <v>1775</v>
      </c>
      <c r="G62" s="21" t="s">
        <v>1358</v>
      </c>
      <c r="H62" s="21" t="s">
        <v>1776</v>
      </c>
      <c r="I62" s="21" t="s">
        <v>1777</v>
      </c>
      <c r="J62" s="21" t="s">
        <v>1778</v>
      </c>
      <c r="K62" s="21" t="s">
        <v>1779</v>
      </c>
      <c r="L62" s="24" t="s">
        <v>1454</v>
      </c>
      <c r="M62" s="24" t="s">
        <v>1455</v>
      </c>
      <c r="N62" s="24" t="s">
        <v>1780</v>
      </c>
      <c r="O62" s="21" t="s">
        <v>1487</v>
      </c>
      <c r="P62" s="21" t="s">
        <v>1763</v>
      </c>
      <c r="Q62" s="21"/>
      <c r="R62" s="21"/>
      <c r="S62" s="21" t="s">
        <v>1458</v>
      </c>
      <c r="T62" s="21" t="s">
        <v>1781</v>
      </c>
      <c r="U62" s="25" t="s">
        <v>1764</v>
      </c>
      <c r="V62" s="21" t="s">
        <v>1461</v>
      </c>
      <c r="W62" s="24" t="s">
        <v>1462</v>
      </c>
      <c r="X62" s="24" t="s">
        <v>1463</v>
      </c>
    </row>
    <row r="63" customFormat="false" ht="39" hidden="false" customHeight="true" outlineLevel="0" collapsed="false">
      <c r="A63" s="20" t="s">
        <v>1756</v>
      </c>
      <c r="B63" s="20" t="s">
        <v>1757</v>
      </c>
      <c r="C63" s="20" t="s">
        <v>1756</v>
      </c>
      <c r="D63" s="20" t="s">
        <v>1310</v>
      </c>
      <c r="E63" s="20" t="s">
        <v>1481</v>
      </c>
      <c r="F63" s="20" t="s">
        <v>1782</v>
      </c>
      <c r="G63" s="20" t="s">
        <v>1370</v>
      </c>
      <c r="H63" s="20" t="s">
        <v>1783</v>
      </c>
      <c r="I63" s="20" t="s">
        <v>1784</v>
      </c>
      <c r="J63" s="20" t="s">
        <v>1785</v>
      </c>
      <c r="K63" s="20" t="s">
        <v>1786</v>
      </c>
      <c r="L63" s="22" t="s">
        <v>1454</v>
      </c>
      <c r="M63" s="22" t="s">
        <v>1455</v>
      </c>
      <c r="N63" s="22"/>
      <c r="O63" s="20" t="s">
        <v>1487</v>
      </c>
      <c r="P63" s="20" t="s">
        <v>1763</v>
      </c>
      <c r="Q63" s="20"/>
      <c r="R63" s="20"/>
      <c r="S63" s="20" t="s">
        <v>1458</v>
      </c>
      <c r="T63" s="20" t="s">
        <v>1459</v>
      </c>
      <c r="U63" s="23" t="s">
        <v>1764</v>
      </c>
      <c r="V63" s="20" t="s">
        <v>1461</v>
      </c>
      <c r="W63" s="22" t="s">
        <v>1462</v>
      </c>
      <c r="X63" s="22" t="s">
        <v>1463</v>
      </c>
    </row>
    <row r="64" customFormat="false" ht="39" hidden="false" customHeight="true" outlineLevel="0" collapsed="false">
      <c r="A64" s="21" t="s">
        <v>1756</v>
      </c>
      <c r="B64" s="21" t="s">
        <v>1757</v>
      </c>
      <c r="C64" s="21" t="s">
        <v>1756</v>
      </c>
      <c r="D64" s="21" t="s">
        <v>1310</v>
      </c>
      <c r="E64" s="21" t="s">
        <v>1488</v>
      </c>
      <c r="F64" s="21" t="s">
        <v>1787</v>
      </c>
      <c r="G64" s="21" t="s">
        <v>1382</v>
      </c>
      <c r="H64" s="21" t="s">
        <v>1382</v>
      </c>
      <c r="I64" s="21" t="s">
        <v>1788</v>
      </c>
      <c r="J64" s="21" t="s">
        <v>1789</v>
      </c>
      <c r="K64" s="21" t="s">
        <v>1790</v>
      </c>
      <c r="L64" s="24" t="s">
        <v>1454</v>
      </c>
      <c r="M64" s="24" t="s">
        <v>1455</v>
      </c>
      <c r="N64" s="24"/>
      <c r="O64" s="21" t="s">
        <v>1487</v>
      </c>
      <c r="P64" s="21" t="s">
        <v>1763</v>
      </c>
      <c r="Q64" s="21"/>
      <c r="R64" s="21"/>
      <c r="S64" s="21" t="s">
        <v>1458</v>
      </c>
      <c r="T64" s="21" t="s">
        <v>1459</v>
      </c>
      <c r="U64" s="25" t="s">
        <v>1764</v>
      </c>
      <c r="V64" s="21" t="s">
        <v>1461</v>
      </c>
      <c r="W64" s="24" t="s">
        <v>1462</v>
      </c>
      <c r="X64" s="24" t="s">
        <v>1463</v>
      </c>
    </row>
    <row r="65" customFormat="false" ht="39" hidden="false" customHeight="true" outlineLevel="0" collapsed="false">
      <c r="A65" s="20" t="s">
        <v>1756</v>
      </c>
      <c r="B65" s="20" t="s">
        <v>1757</v>
      </c>
      <c r="C65" s="20" t="s">
        <v>1756</v>
      </c>
      <c r="D65" s="20" t="s">
        <v>1310</v>
      </c>
      <c r="E65" s="20" t="s">
        <v>1495</v>
      </c>
      <c r="F65" s="20" t="s">
        <v>1791</v>
      </c>
      <c r="G65" s="20" t="s">
        <v>1394</v>
      </c>
      <c r="H65" s="20" t="s">
        <v>1394</v>
      </c>
      <c r="I65" s="20" t="s">
        <v>1792</v>
      </c>
      <c r="J65" s="20" t="s">
        <v>1793</v>
      </c>
      <c r="K65" s="20" t="s">
        <v>1794</v>
      </c>
      <c r="L65" s="22" t="s">
        <v>1454</v>
      </c>
      <c r="M65" s="22" t="s">
        <v>1455</v>
      </c>
      <c r="N65" s="22"/>
      <c r="O65" s="20" t="s">
        <v>1487</v>
      </c>
      <c r="P65" s="20" t="s">
        <v>1763</v>
      </c>
      <c r="Q65" s="20"/>
      <c r="R65" s="20"/>
      <c r="S65" s="20" t="s">
        <v>1458</v>
      </c>
      <c r="T65" s="20" t="s">
        <v>1459</v>
      </c>
      <c r="U65" s="23" t="s">
        <v>1764</v>
      </c>
      <c r="V65" s="20" t="s">
        <v>1461</v>
      </c>
      <c r="W65" s="22" t="s">
        <v>1462</v>
      </c>
      <c r="X65" s="22" t="s">
        <v>1463</v>
      </c>
    </row>
    <row r="66" customFormat="false" ht="39" hidden="false" customHeight="true" outlineLevel="0" collapsed="false">
      <c r="A66" s="21" t="s">
        <v>1756</v>
      </c>
      <c r="B66" s="21" t="s">
        <v>1757</v>
      </c>
      <c r="C66" s="21" t="s">
        <v>1756</v>
      </c>
      <c r="D66" s="21" t="s">
        <v>1310</v>
      </c>
      <c r="E66" s="21" t="s">
        <v>1500</v>
      </c>
      <c r="F66" s="21" t="s">
        <v>1795</v>
      </c>
      <c r="G66" s="21" t="s">
        <v>1406</v>
      </c>
      <c r="H66" s="21" t="s">
        <v>1406</v>
      </c>
      <c r="I66" s="21" t="s">
        <v>1796</v>
      </c>
      <c r="J66" s="21" t="s">
        <v>1797</v>
      </c>
      <c r="K66" s="21" t="s">
        <v>1798</v>
      </c>
      <c r="L66" s="24" t="s">
        <v>1454</v>
      </c>
      <c r="M66" s="24" t="s">
        <v>1455</v>
      </c>
      <c r="N66" s="24" t="s">
        <v>1699</v>
      </c>
      <c r="O66" s="21" t="s">
        <v>1487</v>
      </c>
      <c r="P66" s="21" t="s">
        <v>1763</v>
      </c>
      <c r="Q66" s="21"/>
      <c r="R66" s="21"/>
      <c r="S66" s="21" t="s">
        <v>1458</v>
      </c>
      <c r="T66" s="21" t="s">
        <v>1459</v>
      </c>
      <c r="U66" s="25" t="s">
        <v>1764</v>
      </c>
      <c r="V66" s="21" t="s">
        <v>1461</v>
      </c>
      <c r="W66" s="24" t="s">
        <v>1462</v>
      </c>
      <c r="X66" s="24" t="s">
        <v>1463</v>
      </c>
    </row>
    <row r="67" customFormat="false" ht="39" hidden="false" customHeight="true" outlineLevel="0" collapsed="false">
      <c r="A67" s="20" t="s">
        <v>1756</v>
      </c>
      <c r="B67" s="20" t="s">
        <v>1757</v>
      </c>
      <c r="C67" s="20" t="s">
        <v>1756</v>
      </c>
      <c r="D67" s="20" t="s">
        <v>1310</v>
      </c>
      <c r="E67" s="20" t="s">
        <v>1508</v>
      </c>
      <c r="F67" s="20" t="s">
        <v>1799</v>
      </c>
      <c r="G67" s="20" t="s">
        <v>1418</v>
      </c>
      <c r="H67" s="20" t="s">
        <v>1800</v>
      </c>
      <c r="I67" s="20" t="s">
        <v>1801</v>
      </c>
      <c r="J67" s="20" t="s">
        <v>1802</v>
      </c>
      <c r="K67" s="20" t="s">
        <v>1803</v>
      </c>
      <c r="L67" s="22" t="s">
        <v>1454</v>
      </c>
      <c r="M67" s="22" t="s">
        <v>1455</v>
      </c>
      <c r="N67" s="22" t="s">
        <v>1804</v>
      </c>
      <c r="O67" s="20" t="s">
        <v>1487</v>
      </c>
      <c r="P67" s="20" t="s">
        <v>1763</v>
      </c>
      <c r="Q67" s="20"/>
      <c r="R67" s="20"/>
      <c r="S67" s="20" t="s">
        <v>1458</v>
      </c>
      <c r="T67" s="20" t="s">
        <v>1805</v>
      </c>
      <c r="U67" s="23" t="s">
        <v>1764</v>
      </c>
      <c r="V67" s="20" t="s">
        <v>1461</v>
      </c>
      <c r="W67" s="22" t="s">
        <v>1462</v>
      </c>
      <c r="X67" s="22" t="s">
        <v>1463</v>
      </c>
    </row>
    <row r="68" customFormat="false" ht="39" hidden="false" customHeight="true" outlineLevel="0" collapsed="false">
      <c r="A68" s="21" t="s">
        <v>1806</v>
      </c>
      <c r="B68" s="21" t="s">
        <v>1807</v>
      </c>
      <c r="C68" s="21" t="s">
        <v>1806</v>
      </c>
      <c r="D68" s="21" t="s">
        <v>1311</v>
      </c>
      <c r="E68" s="21" t="s">
        <v>1448</v>
      </c>
      <c r="F68" s="21" t="s">
        <v>1808</v>
      </c>
      <c r="G68" s="21" t="s">
        <v>1323</v>
      </c>
      <c r="H68" s="21" t="s">
        <v>1809</v>
      </c>
      <c r="I68" s="21" t="s">
        <v>1810</v>
      </c>
      <c r="J68" s="21" t="s">
        <v>1811</v>
      </c>
      <c r="K68" s="21" t="s">
        <v>1812</v>
      </c>
      <c r="L68" s="24" t="s">
        <v>1454</v>
      </c>
      <c r="M68" s="24" t="s">
        <v>1455</v>
      </c>
      <c r="N68" s="24"/>
      <c r="O68" s="21" t="s">
        <v>1456</v>
      </c>
      <c r="P68" s="21" t="s">
        <v>1813</v>
      </c>
      <c r="Q68" s="21"/>
      <c r="R68" s="21"/>
      <c r="S68" s="21" t="s">
        <v>1458</v>
      </c>
      <c r="T68" s="21" t="s">
        <v>1459</v>
      </c>
      <c r="U68" s="25" t="s">
        <v>1814</v>
      </c>
      <c r="V68" s="21" t="s">
        <v>1461</v>
      </c>
      <c r="W68" s="24" t="s">
        <v>1462</v>
      </c>
      <c r="X68" s="24" t="s">
        <v>1463</v>
      </c>
    </row>
    <row r="69" customFormat="false" ht="39" hidden="false" customHeight="true" outlineLevel="0" collapsed="false">
      <c r="A69" s="20" t="s">
        <v>1806</v>
      </c>
      <c r="B69" s="20" t="s">
        <v>1807</v>
      </c>
      <c r="C69" s="20" t="s">
        <v>1806</v>
      </c>
      <c r="D69" s="20" t="s">
        <v>1311</v>
      </c>
      <c r="E69" s="20" t="s">
        <v>1464</v>
      </c>
      <c r="F69" s="20" t="s">
        <v>1815</v>
      </c>
      <c r="G69" s="20" t="s">
        <v>1335</v>
      </c>
      <c r="H69" s="20" t="s">
        <v>1335</v>
      </c>
      <c r="I69" s="20" t="s">
        <v>1810</v>
      </c>
      <c r="J69" s="20" t="s">
        <v>1816</v>
      </c>
      <c r="K69" s="20" t="s">
        <v>1817</v>
      </c>
      <c r="L69" s="22" t="s">
        <v>1454</v>
      </c>
      <c r="M69" s="22" t="s">
        <v>1455</v>
      </c>
      <c r="N69" s="22"/>
      <c r="O69" s="20" t="s">
        <v>1456</v>
      </c>
      <c r="P69" s="20" t="s">
        <v>1813</v>
      </c>
      <c r="Q69" s="20"/>
      <c r="R69" s="20"/>
      <c r="S69" s="20" t="s">
        <v>1458</v>
      </c>
      <c r="T69" s="20" t="s">
        <v>1459</v>
      </c>
      <c r="U69" s="23" t="s">
        <v>1814</v>
      </c>
      <c r="V69" s="20" t="s">
        <v>1461</v>
      </c>
      <c r="W69" s="22" t="s">
        <v>1462</v>
      </c>
      <c r="X69" s="22" t="s">
        <v>1463</v>
      </c>
    </row>
    <row r="70" customFormat="false" ht="39" hidden="false" customHeight="true" outlineLevel="0" collapsed="false">
      <c r="A70" s="21" t="s">
        <v>1806</v>
      </c>
      <c r="B70" s="21" t="s">
        <v>1807</v>
      </c>
      <c r="C70" s="21" t="s">
        <v>1806</v>
      </c>
      <c r="D70" s="21" t="s">
        <v>1311</v>
      </c>
      <c r="E70" s="21" t="s">
        <v>1468</v>
      </c>
      <c r="F70" s="21" t="s">
        <v>1818</v>
      </c>
      <c r="G70" s="21" t="s">
        <v>1347</v>
      </c>
      <c r="H70" s="21" t="s">
        <v>1819</v>
      </c>
      <c r="I70" s="21" t="s">
        <v>1820</v>
      </c>
      <c r="J70" s="21" t="s">
        <v>1821</v>
      </c>
      <c r="K70" s="21" t="s">
        <v>1822</v>
      </c>
      <c r="L70" s="24" t="s">
        <v>1454</v>
      </c>
      <c r="M70" s="24" t="s">
        <v>1455</v>
      </c>
      <c r="N70" s="24" t="s">
        <v>1823</v>
      </c>
      <c r="O70" s="21" t="s">
        <v>1456</v>
      </c>
      <c r="P70" s="21" t="s">
        <v>1813</v>
      </c>
      <c r="Q70" s="21"/>
      <c r="R70" s="21"/>
      <c r="S70" s="21" t="s">
        <v>1458</v>
      </c>
      <c r="T70" s="21" t="s">
        <v>1824</v>
      </c>
      <c r="U70" s="25" t="s">
        <v>1814</v>
      </c>
      <c r="V70" s="21" t="s">
        <v>1461</v>
      </c>
      <c r="W70" s="24" t="s">
        <v>1462</v>
      </c>
      <c r="X70" s="24" t="s">
        <v>1463</v>
      </c>
    </row>
    <row r="71" customFormat="false" ht="39" hidden="false" customHeight="true" outlineLevel="0" collapsed="false">
      <c r="A71" s="20" t="s">
        <v>1806</v>
      </c>
      <c r="B71" s="20" t="s">
        <v>1807</v>
      </c>
      <c r="C71" s="20" t="s">
        <v>1806</v>
      </c>
      <c r="D71" s="20" t="s">
        <v>1311</v>
      </c>
      <c r="E71" s="20" t="s">
        <v>1475</v>
      </c>
      <c r="F71" s="20" t="s">
        <v>1825</v>
      </c>
      <c r="G71" s="20" t="s">
        <v>1359</v>
      </c>
      <c r="H71" s="20" t="s">
        <v>1826</v>
      </c>
      <c r="I71" s="20" t="s">
        <v>1827</v>
      </c>
      <c r="J71" s="20" t="s">
        <v>1828</v>
      </c>
      <c r="K71" s="20" t="s">
        <v>1829</v>
      </c>
      <c r="L71" s="22" t="s">
        <v>1454</v>
      </c>
      <c r="M71" s="22" t="s">
        <v>1455</v>
      </c>
      <c r="N71" s="22"/>
      <c r="O71" s="20" t="s">
        <v>1487</v>
      </c>
      <c r="P71" s="20" t="s">
        <v>1813</v>
      </c>
      <c r="Q71" s="20"/>
      <c r="R71" s="20"/>
      <c r="S71" s="20" t="s">
        <v>1458</v>
      </c>
      <c r="T71" s="20" t="s">
        <v>1459</v>
      </c>
      <c r="U71" s="23" t="s">
        <v>1814</v>
      </c>
      <c r="V71" s="20" t="s">
        <v>1461</v>
      </c>
      <c r="W71" s="22" t="s">
        <v>1462</v>
      </c>
      <c r="X71" s="22" t="s">
        <v>1463</v>
      </c>
    </row>
    <row r="72" customFormat="false" ht="39" hidden="false" customHeight="true" outlineLevel="0" collapsed="false">
      <c r="A72" s="21" t="s">
        <v>1806</v>
      </c>
      <c r="B72" s="21" t="s">
        <v>1807</v>
      </c>
      <c r="C72" s="21" t="s">
        <v>1806</v>
      </c>
      <c r="D72" s="21" t="s">
        <v>1311</v>
      </c>
      <c r="E72" s="21" t="s">
        <v>1481</v>
      </c>
      <c r="F72" s="21" t="s">
        <v>1830</v>
      </c>
      <c r="G72" s="21" t="s">
        <v>1371</v>
      </c>
      <c r="H72" s="21" t="s">
        <v>1371</v>
      </c>
      <c r="I72" s="21" t="s">
        <v>1831</v>
      </c>
      <c r="J72" s="21" t="s">
        <v>1832</v>
      </c>
      <c r="K72" s="21" t="s">
        <v>1833</v>
      </c>
      <c r="L72" s="24" t="s">
        <v>1454</v>
      </c>
      <c r="M72" s="24" t="s">
        <v>1455</v>
      </c>
      <c r="N72" s="24"/>
      <c r="O72" s="21" t="s">
        <v>1456</v>
      </c>
      <c r="P72" s="21" t="s">
        <v>1813</v>
      </c>
      <c r="Q72" s="21"/>
      <c r="R72" s="21"/>
      <c r="S72" s="21" t="s">
        <v>1458</v>
      </c>
      <c r="T72" s="21" t="s">
        <v>1459</v>
      </c>
      <c r="U72" s="25" t="s">
        <v>1814</v>
      </c>
      <c r="V72" s="21" t="s">
        <v>1461</v>
      </c>
      <c r="W72" s="24" t="s">
        <v>1462</v>
      </c>
      <c r="X72" s="24" t="s">
        <v>1463</v>
      </c>
    </row>
    <row r="73" customFormat="false" ht="39" hidden="false" customHeight="true" outlineLevel="0" collapsed="false">
      <c r="A73" s="20" t="s">
        <v>1806</v>
      </c>
      <c r="B73" s="20" t="s">
        <v>1807</v>
      </c>
      <c r="C73" s="20" t="s">
        <v>1806</v>
      </c>
      <c r="D73" s="20" t="s">
        <v>1311</v>
      </c>
      <c r="E73" s="20" t="s">
        <v>1488</v>
      </c>
      <c r="F73" s="20" t="s">
        <v>1834</v>
      </c>
      <c r="G73" s="20" t="s">
        <v>1383</v>
      </c>
      <c r="H73" s="20" t="s">
        <v>1383</v>
      </c>
      <c r="I73" s="20" t="s">
        <v>1835</v>
      </c>
      <c r="J73" s="20" t="s">
        <v>1836</v>
      </c>
      <c r="K73" s="20" t="s">
        <v>1837</v>
      </c>
      <c r="L73" s="22" t="s">
        <v>1454</v>
      </c>
      <c r="M73" s="22" t="s">
        <v>1455</v>
      </c>
      <c r="N73" s="22"/>
      <c r="O73" s="20" t="s">
        <v>1487</v>
      </c>
      <c r="P73" s="20" t="s">
        <v>1813</v>
      </c>
      <c r="Q73" s="20"/>
      <c r="R73" s="20"/>
      <c r="S73" s="20" t="s">
        <v>1458</v>
      </c>
      <c r="T73" s="20" t="s">
        <v>1459</v>
      </c>
      <c r="U73" s="23" t="s">
        <v>1814</v>
      </c>
      <c r="V73" s="20" t="s">
        <v>1461</v>
      </c>
      <c r="W73" s="22" t="s">
        <v>1462</v>
      </c>
      <c r="X73" s="22" t="s">
        <v>1463</v>
      </c>
    </row>
    <row r="74" customFormat="false" ht="51.75" hidden="false" customHeight="true" outlineLevel="0" collapsed="false">
      <c r="A74" s="21" t="s">
        <v>1806</v>
      </c>
      <c r="B74" s="21" t="s">
        <v>1807</v>
      </c>
      <c r="C74" s="21" t="s">
        <v>1806</v>
      </c>
      <c r="D74" s="21" t="s">
        <v>1311</v>
      </c>
      <c r="E74" s="21" t="s">
        <v>1495</v>
      </c>
      <c r="F74" s="21" t="s">
        <v>1838</v>
      </c>
      <c r="G74" s="21" t="s">
        <v>1395</v>
      </c>
      <c r="H74" s="21" t="s">
        <v>1395</v>
      </c>
      <c r="I74" s="21" t="s">
        <v>1839</v>
      </c>
      <c r="J74" s="21" t="s">
        <v>1840</v>
      </c>
      <c r="K74" s="21" t="s">
        <v>1841</v>
      </c>
      <c r="L74" s="24" t="s">
        <v>1454</v>
      </c>
      <c r="M74" s="24" t="s">
        <v>1455</v>
      </c>
      <c r="N74" s="24" t="s">
        <v>1842</v>
      </c>
      <c r="O74" s="21" t="s">
        <v>1487</v>
      </c>
      <c r="P74" s="21" t="s">
        <v>1813</v>
      </c>
      <c r="Q74" s="21"/>
      <c r="R74" s="21"/>
      <c r="S74" s="21" t="s">
        <v>1458</v>
      </c>
      <c r="T74" s="21" t="s">
        <v>1843</v>
      </c>
      <c r="U74" s="25" t="s">
        <v>1814</v>
      </c>
      <c r="V74" s="21" t="s">
        <v>1461</v>
      </c>
      <c r="W74" s="24" t="s">
        <v>1462</v>
      </c>
      <c r="X74" s="24" t="s">
        <v>1463</v>
      </c>
    </row>
    <row r="75" customFormat="false" ht="39" hidden="false" customHeight="true" outlineLevel="0" collapsed="false">
      <c r="A75" s="20" t="s">
        <v>1806</v>
      </c>
      <c r="B75" s="20" t="s">
        <v>1807</v>
      </c>
      <c r="C75" s="20" t="s">
        <v>1806</v>
      </c>
      <c r="D75" s="20" t="s">
        <v>1311</v>
      </c>
      <c r="E75" s="20" t="s">
        <v>1500</v>
      </c>
      <c r="F75" s="20" t="s">
        <v>1844</v>
      </c>
      <c r="G75" s="20" t="s">
        <v>1407</v>
      </c>
      <c r="H75" s="20" t="s">
        <v>1407</v>
      </c>
      <c r="I75" s="20" t="s">
        <v>1845</v>
      </c>
      <c r="J75" s="20" t="s">
        <v>1846</v>
      </c>
      <c r="K75" s="20" t="s">
        <v>1847</v>
      </c>
      <c r="L75" s="22" t="s">
        <v>1454</v>
      </c>
      <c r="M75" s="22" t="s">
        <v>1455</v>
      </c>
      <c r="N75" s="22" t="s">
        <v>1848</v>
      </c>
      <c r="O75" s="20" t="s">
        <v>1487</v>
      </c>
      <c r="P75" s="20" t="s">
        <v>1813</v>
      </c>
      <c r="Q75" s="20"/>
      <c r="R75" s="20"/>
      <c r="S75" s="20" t="s">
        <v>1458</v>
      </c>
      <c r="T75" s="20" t="s">
        <v>1849</v>
      </c>
      <c r="U75" s="23" t="s">
        <v>1814</v>
      </c>
      <c r="V75" s="20" t="s">
        <v>1461</v>
      </c>
      <c r="W75" s="22" t="s">
        <v>1462</v>
      </c>
      <c r="X75" s="22" t="s">
        <v>1463</v>
      </c>
    </row>
    <row r="76" customFormat="false" ht="51.75" hidden="false" customHeight="true" outlineLevel="0" collapsed="false">
      <c r="A76" s="21" t="s">
        <v>1806</v>
      </c>
      <c r="B76" s="21" t="s">
        <v>1807</v>
      </c>
      <c r="C76" s="21" t="s">
        <v>1806</v>
      </c>
      <c r="D76" s="21" t="s">
        <v>1311</v>
      </c>
      <c r="E76" s="21" t="s">
        <v>1508</v>
      </c>
      <c r="F76" s="21" t="s">
        <v>1850</v>
      </c>
      <c r="G76" s="21" t="s">
        <v>1419</v>
      </c>
      <c r="H76" s="21" t="s">
        <v>1419</v>
      </c>
      <c r="I76" s="21" t="s">
        <v>1851</v>
      </c>
      <c r="J76" s="21" t="s">
        <v>1852</v>
      </c>
      <c r="K76" s="21" t="s">
        <v>1853</v>
      </c>
      <c r="L76" s="24" t="s">
        <v>1454</v>
      </c>
      <c r="M76" s="24" t="s">
        <v>1455</v>
      </c>
      <c r="N76" s="24" t="s">
        <v>1854</v>
      </c>
      <c r="O76" s="21" t="s">
        <v>1487</v>
      </c>
      <c r="P76" s="21" t="s">
        <v>1813</v>
      </c>
      <c r="Q76" s="21"/>
      <c r="R76" s="21"/>
      <c r="S76" s="21" t="s">
        <v>1458</v>
      </c>
      <c r="T76" s="21" t="s">
        <v>1855</v>
      </c>
      <c r="U76" s="25" t="s">
        <v>1814</v>
      </c>
      <c r="V76" s="21" t="s">
        <v>1461</v>
      </c>
      <c r="W76" s="24" t="s">
        <v>1462</v>
      </c>
      <c r="X76" s="24" t="s">
        <v>1463</v>
      </c>
    </row>
    <row r="77" customFormat="false" ht="39" hidden="false" customHeight="true" outlineLevel="0" collapsed="false">
      <c r="A77" s="20" t="s">
        <v>1856</v>
      </c>
      <c r="B77" s="20" t="s">
        <v>1857</v>
      </c>
      <c r="C77" s="20" t="s">
        <v>1858</v>
      </c>
      <c r="D77" s="20" t="s">
        <v>1312</v>
      </c>
      <c r="E77" s="20" t="s">
        <v>1448</v>
      </c>
      <c r="F77" s="20" t="s">
        <v>1859</v>
      </c>
      <c r="G77" s="20" t="s">
        <v>1324</v>
      </c>
      <c r="H77" s="20" t="s">
        <v>1860</v>
      </c>
      <c r="I77" s="20" t="s">
        <v>1861</v>
      </c>
      <c r="J77" s="20" t="s">
        <v>1862</v>
      </c>
      <c r="K77" s="20" t="s">
        <v>1863</v>
      </c>
      <c r="L77" s="22" t="s">
        <v>1454</v>
      </c>
      <c r="M77" s="22" t="s">
        <v>1455</v>
      </c>
      <c r="N77" s="22"/>
      <c r="O77" s="20" t="s">
        <v>1456</v>
      </c>
      <c r="P77" s="20" t="s">
        <v>1864</v>
      </c>
      <c r="Q77" s="20"/>
      <c r="R77" s="20"/>
      <c r="S77" s="20" t="s">
        <v>1458</v>
      </c>
      <c r="T77" s="20" t="s">
        <v>1459</v>
      </c>
      <c r="U77" s="23" t="s">
        <v>1865</v>
      </c>
      <c r="V77" s="20" t="s">
        <v>1461</v>
      </c>
      <c r="W77" s="22" t="s">
        <v>1462</v>
      </c>
      <c r="X77" s="22" t="s">
        <v>1463</v>
      </c>
    </row>
    <row r="78" customFormat="false" ht="39" hidden="false" customHeight="true" outlineLevel="0" collapsed="false">
      <c r="A78" s="21" t="s">
        <v>1856</v>
      </c>
      <c r="B78" s="21" t="s">
        <v>1857</v>
      </c>
      <c r="C78" s="21" t="s">
        <v>1858</v>
      </c>
      <c r="D78" s="21" t="s">
        <v>1312</v>
      </c>
      <c r="E78" s="21" t="s">
        <v>1464</v>
      </c>
      <c r="F78" s="21" t="s">
        <v>1866</v>
      </c>
      <c r="G78" s="21" t="s">
        <v>1336</v>
      </c>
      <c r="H78" s="21" t="s">
        <v>1336</v>
      </c>
      <c r="I78" s="21" t="s">
        <v>1867</v>
      </c>
      <c r="J78" s="21" t="s">
        <v>1868</v>
      </c>
      <c r="K78" s="21" t="s">
        <v>1869</v>
      </c>
      <c r="L78" s="24" t="s">
        <v>1454</v>
      </c>
      <c r="M78" s="24" t="s">
        <v>1455</v>
      </c>
      <c r="N78" s="24"/>
      <c r="O78" s="21" t="s">
        <v>1456</v>
      </c>
      <c r="P78" s="21" t="s">
        <v>1864</v>
      </c>
      <c r="Q78" s="21"/>
      <c r="R78" s="21"/>
      <c r="S78" s="21" t="s">
        <v>1458</v>
      </c>
      <c r="T78" s="21" t="s">
        <v>1459</v>
      </c>
      <c r="U78" s="25" t="s">
        <v>1865</v>
      </c>
      <c r="V78" s="21" t="s">
        <v>1461</v>
      </c>
      <c r="W78" s="24" t="s">
        <v>1462</v>
      </c>
      <c r="X78" s="24" t="s">
        <v>1463</v>
      </c>
    </row>
    <row r="79" customFormat="false" ht="39" hidden="false" customHeight="true" outlineLevel="0" collapsed="false">
      <c r="A79" s="20" t="s">
        <v>1856</v>
      </c>
      <c r="B79" s="20" t="s">
        <v>1857</v>
      </c>
      <c r="C79" s="20" t="s">
        <v>1858</v>
      </c>
      <c r="D79" s="20" t="s">
        <v>1312</v>
      </c>
      <c r="E79" s="20" t="s">
        <v>1468</v>
      </c>
      <c r="F79" s="20" t="s">
        <v>1870</v>
      </c>
      <c r="G79" s="20" t="s">
        <v>1348</v>
      </c>
      <c r="H79" s="20" t="s">
        <v>1348</v>
      </c>
      <c r="I79" s="20" t="s">
        <v>1867</v>
      </c>
      <c r="J79" s="20" t="s">
        <v>1871</v>
      </c>
      <c r="K79" s="20" t="s">
        <v>1872</v>
      </c>
      <c r="L79" s="22" t="s">
        <v>1454</v>
      </c>
      <c r="M79" s="22" t="s">
        <v>1455</v>
      </c>
      <c r="N79" s="22"/>
      <c r="O79" s="20" t="s">
        <v>1456</v>
      </c>
      <c r="P79" s="20" t="s">
        <v>1864</v>
      </c>
      <c r="Q79" s="20"/>
      <c r="R79" s="20"/>
      <c r="S79" s="20" t="s">
        <v>1458</v>
      </c>
      <c r="T79" s="20" t="s">
        <v>1459</v>
      </c>
      <c r="U79" s="23" t="s">
        <v>1865</v>
      </c>
      <c r="V79" s="20" t="s">
        <v>1461</v>
      </c>
      <c r="W79" s="22" t="s">
        <v>1462</v>
      </c>
      <c r="X79" s="22" t="s">
        <v>1463</v>
      </c>
    </row>
    <row r="80" customFormat="false" ht="39" hidden="false" customHeight="true" outlineLevel="0" collapsed="false">
      <c r="A80" s="21" t="s">
        <v>1856</v>
      </c>
      <c r="B80" s="21" t="s">
        <v>1857</v>
      </c>
      <c r="C80" s="21" t="s">
        <v>1858</v>
      </c>
      <c r="D80" s="21" t="s">
        <v>1312</v>
      </c>
      <c r="E80" s="21" t="s">
        <v>1475</v>
      </c>
      <c r="F80" s="21" t="s">
        <v>1873</v>
      </c>
      <c r="G80" s="21" t="s">
        <v>1360</v>
      </c>
      <c r="H80" s="21" t="s">
        <v>1360</v>
      </c>
      <c r="I80" s="21" t="s">
        <v>1874</v>
      </c>
      <c r="J80" s="21" t="s">
        <v>1875</v>
      </c>
      <c r="K80" s="21" t="s">
        <v>1876</v>
      </c>
      <c r="L80" s="24" t="s">
        <v>1454</v>
      </c>
      <c r="M80" s="24" t="s">
        <v>1455</v>
      </c>
      <c r="N80" s="24"/>
      <c r="O80" s="21" t="s">
        <v>1456</v>
      </c>
      <c r="P80" s="21" t="s">
        <v>1864</v>
      </c>
      <c r="Q80" s="21"/>
      <c r="R80" s="21"/>
      <c r="S80" s="21" t="s">
        <v>1458</v>
      </c>
      <c r="T80" s="21" t="s">
        <v>1459</v>
      </c>
      <c r="U80" s="25" t="s">
        <v>1865</v>
      </c>
      <c r="V80" s="21" t="s">
        <v>1461</v>
      </c>
      <c r="W80" s="24" t="s">
        <v>1462</v>
      </c>
      <c r="X80" s="24" t="s">
        <v>1463</v>
      </c>
    </row>
    <row r="81" customFormat="false" ht="39" hidden="false" customHeight="true" outlineLevel="0" collapsed="false">
      <c r="A81" s="20" t="s">
        <v>1856</v>
      </c>
      <c r="B81" s="20" t="s">
        <v>1857</v>
      </c>
      <c r="C81" s="20" t="s">
        <v>1858</v>
      </c>
      <c r="D81" s="20" t="s">
        <v>1312</v>
      </c>
      <c r="E81" s="20" t="s">
        <v>1481</v>
      </c>
      <c r="F81" s="20" t="s">
        <v>1877</v>
      </c>
      <c r="G81" s="20" t="s">
        <v>1372</v>
      </c>
      <c r="H81" s="20" t="s">
        <v>1878</v>
      </c>
      <c r="I81" s="20" t="s">
        <v>1879</v>
      </c>
      <c r="J81" s="20" t="s">
        <v>1880</v>
      </c>
      <c r="K81" s="20" t="s">
        <v>1881</v>
      </c>
      <c r="L81" s="22" t="s">
        <v>1454</v>
      </c>
      <c r="M81" s="22" t="s">
        <v>1455</v>
      </c>
      <c r="N81" s="22"/>
      <c r="O81" s="20" t="s">
        <v>1487</v>
      </c>
      <c r="P81" s="20" t="s">
        <v>1864</v>
      </c>
      <c r="Q81" s="20"/>
      <c r="R81" s="20"/>
      <c r="S81" s="20" t="s">
        <v>1458</v>
      </c>
      <c r="T81" s="20" t="s">
        <v>1459</v>
      </c>
      <c r="U81" s="23" t="s">
        <v>1865</v>
      </c>
      <c r="V81" s="20" t="s">
        <v>1461</v>
      </c>
      <c r="W81" s="22" t="s">
        <v>1462</v>
      </c>
      <c r="X81" s="22" t="s">
        <v>1463</v>
      </c>
    </row>
    <row r="82" customFormat="false" ht="39" hidden="false" customHeight="true" outlineLevel="0" collapsed="false">
      <c r="A82" s="21" t="s">
        <v>1856</v>
      </c>
      <c r="B82" s="21" t="s">
        <v>1857</v>
      </c>
      <c r="C82" s="21" t="s">
        <v>1858</v>
      </c>
      <c r="D82" s="21" t="s">
        <v>1312</v>
      </c>
      <c r="E82" s="21" t="s">
        <v>1488</v>
      </c>
      <c r="F82" s="21" t="s">
        <v>1882</v>
      </c>
      <c r="G82" s="21" t="s">
        <v>1384</v>
      </c>
      <c r="H82" s="21" t="s">
        <v>1384</v>
      </c>
      <c r="I82" s="21" t="s">
        <v>1883</v>
      </c>
      <c r="J82" s="21" t="s">
        <v>1884</v>
      </c>
      <c r="K82" s="21" t="s">
        <v>1885</v>
      </c>
      <c r="L82" s="24" t="s">
        <v>1454</v>
      </c>
      <c r="M82" s="24" t="s">
        <v>1455</v>
      </c>
      <c r="N82" s="24"/>
      <c r="O82" s="21" t="s">
        <v>1487</v>
      </c>
      <c r="P82" s="21" t="s">
        <v>1864</v>
      </c>
      <c r="Q82" s="21"/>
      <c r="R82" s="21"/>
      <c r="S82" s="21" t="s">
        <v>1458</v>
      </c>
      <c r="T82" s="21" t="s">
        <v>1459</v>
      </c>
      <c r="U82" s="25" t="s">
        <v>1865</v>
      </c>
      <c r="V82" s="21" t="s">
        <v>1461</v>
      </c>
      <c r="W82" s="24" t="s">
        <v>1462</v>
      </c>
      <c r="X82" s="24" t="s">
        <v>1463</v>
      </c>
    </row>
    <row r="83" customFormat="false" ht="39" hidden="false" customHeight="true" outlineLevel="0" collapsed="false">
      <c r="A83" s="20" t="s">
        <v>1856</v>
      </c>
      <c r="B83" s="20" t="s">
        <v>1857</v>
      </c>
      <c r="C83" s="20" t="s">
        <v>1858</v>
      </c>
      <c r="D83" s="20" t="s">
        <v>1312</v>
      </c>
      <c r="E83" s="20" t="s">
        <v>1495</v>
      </c>
      <c r="F83" s="20" t="s">
        <v>1886</v>
      </c>
      <c r="G83" s="20" t="s">
        <v>1396</v>
      </c>
      <c r="H83" s="20" t="s">
        <v>1887</v>
      </c>
      <c r="I83" s="20" t="s">
        <v>1888</v>
      </c>
      <c r="J83" s="20" t="s">
        <v>1889</v>
      </c>
      <c r="K83" s="20" t="s">
        <v>1738</v>
      </c>
      <c r="L83" s="22" t="s">
        <v>1454</v>
      </c>
      <c r="M83" s="22" t="s">
        <v>1455</v>
      </c>
      <c r="N83" s="22"/>
      <c r="O83" s="20" t="s">
        <v>1487</v>
      </c>
      <c r="P83" s="20" t="s">
        <v>1864</v>
      </c>
      <c r="Q83" s="20"/>
      <c r="R83" s="20"/>
      <c r="S83" s="20" t="s">
        <v>1458</v>
      </c>
      <c r="T83" s="20" t="s">
        <v>1459</v>
      </c>
      <c r="U83" s="23" t="s">
        <v>1865</v>
      </c>
      <c r="V83" s="20" t="s">
        <v>1461</v>
      </c>
      <c r="W83" s="22" t="s">
        <v>1462</v>
      </c>
      <c r="X83" s="22" t="s">
        <v>1463</v>
      </c>
    </row>
    <row r="84" customFormat="false" ht="39" hidden="false" customHeight="true" outlineLevel="0" collapsed="false">
      <c r="A84" s="21" t="s">
        <v>1856</v>
      </c>
      <c r="B84" s="21" t="s">
        <v>1857</v>
      </c>
      <c r="C84" s="21" t="s">
        <v>1858</v>
      </c>
      <c r="D84" s="21" t="s">
        <v>1312</v>
      </c>
      <c r="E84" s="21" t="s">
        <v>1500</v>
      </c>
      <c r="F84" s="21" t="s">
        <v>1890</v>
      </c>
      <c r="G84" s="21" t="s">
        <v>1408</v>
      </c>
      <c r="H84" s="21" t="s">
        <v>1891</v>
      </c>
      <c r="I84" s="21" t="s">
        <v>1892</v>
      </c>
      <c r="J84" s="21" t="s">
        <v>1893</v>
      </c>
      <c r="K84" s="21" t="s">
        <v>1894</v>
      </c>
      <c r="L84" s="24" t="s">
        <v>1454</v>
      </c>
      <c r="M84" s="24" t="s">
        <v>1455</v>
      </c>
      <c r="N84" s="24" t="s">
        <v>1895</v>
      </c>
      <c r="O84" s="21" t="s">
        <v>1487</v>
      </c>
      <c r="P84" s="21" t="s">
        <v>1864</v>
      </c>
      <c r="Q84" s="21"/>
      <c r="R84" s="21"/>
      <c r="S84" s="21" t="s">
        <v>1458</v>
      </c>
      <c r="T84" s="21" t="s">
        <v>1896</v>
      </c>
      <c r="U84" s="25" t="s">
        <v>1865</v>
      </c>
      <c r="V84" s="21" t="s">
        <v>1461</v>
      </c>
      <c r="W84" s="24" t="s">
        <v>1462</v>
      </c>
      <c r="X84" s="24" t="s">
        <v>1463</v>
      </c>
    </row>
    <row r="85" customFormat="false" ht="39" hidden="false" customHeight="true" outlineLevel="0" collapsed="false">
      <c r="A85" s="20" t="s">
        <v>1856</v>
      </c>
      <c r="B85" s="20" t="s">
        <v>1857</v>
      </c>
      <c r="C85" s="20" t="s">
        <v>1858</v>
      </c>
      <c r="D85" s="20" t="s">
        <v>1312</v>
      </c>
      <c r="E85" s="20" t="s">
        <v>1508</v>
      </c>
      <c r="F85" s="20" t="s">
        <v>1897</v>
      </c>
      <c r="G85" s="20" t="s">
        <v>1420</v>
      </c>
      <c r="H85" s="20" t="s">
        <v>1420</v>
      </c>
      <c r="I85" s="20" t="s">
        <v>1898</v>
      </c>
      <c r="J85" s="20" t="s">
        <v>1899</v>
      </c>
      <c r="K85" s="20" t="s">
        <v>1900</v>
      </c>
      <c r="L85" s="22" t="s">
        <v>1454</v>
      </c>
      <c r="M85" s="22" t="s">
        <v>1455</v>
      </c>
      <c r="N85" s="22" t="s">
        <v>1901</v>
      </c>
      <c r="O85" s="20" t="s">
        <v>1487</v>
      </c>
      <c r="P85" s="20" t="s">
        <v>1864</v>
      </c>
      <c r="Q85" s="20"/>
      <c r="R85" s="20"/>
      <c r="S85" s="20" t="s">
        <v>1458</v>
      </c>
      <c r="T85" s="20" t="s">
        <v>1902</v>
      </c>
      <c r="U85" s="23" t="s">
        <v>1865</v>
      </c>
      <c r="V85" s="20" t="s">
        <v>1461</v>
      </c>
      <c r="W85" s="22" t="s">
        <v>1462</v>
      </c>
      <c r="X85" s="22" t="s">
        <v>1463</v>
      </c>
    </row>
    <row r="86" customFormat="false" ht="39" hidden="false" customHeight="true" outlineLevel="0" collapsed="false">
      <c r="A86" s="21" t="s">
        <v>1903</v>
      </c>
      <c r="B86" s="21" t="s">
        <v>1904</v>
      </c>
      <c r="C86" s="21" t="s">
        <v>1905</v>
      </c>
      <c r="D86" s="21" t="s">
        <v>1313</v>
      </c>
      <c r="E86" s="21" t="s">
        <v>1448</v>
      </c>
      <c r="F86" s="21" t="s">
        <v>1906</v>
      </c>
      <c r="G86" s="21" t="s">
        <v>1325</v>
      </c>
      <c r="H86" s="21" t="s">
        <v>1907</v>
      </c>
      <c r="I86" s="21" t="s">
        <v>1908</v>
      </c>
      <c r="J86" s="21" t="s">
        <v>1909</v>
      </c>
      <c r="K86" s="21" t="s">
        <v>1910</v>
      </c>
      <c r="L86" s="24" t="s">
        <v>1454</v>
      </c>
      <c r="M86" s="24" t="s">
        <v>1455</v>
      </c>
      <c r="N86" s="24"/>
      <c r="O86" s="21" t="s">
        <v>1456</v>
      </c>
      <c r="P86" s="21" t="s">
        <v>1911</v>
      </c>
      <c r="Q86" s="21"/>
      <c r="R86" s="21"/>
      <c r="S86" s="21" t="s">
        <v>1458</v>
      </c>
      <c r="T86" s="21" t="s">
        <v>1459</v>
      </c>
      <c r="U86" s="25" t="s">
        <v>1578</v>
      </c>
      <c r="V86" s="21" t="s">
        <v>1461</v>
      </c>
      <c r="W86" s="24" t="s">
        <v>1462</v>
      </c>
      <c r="X86" s="24" t="s">
        <v>1463</v>
      </c>
    </row>
    <row r="87" customFormat="false" ht="39" hidden="false" customHeight="true" outlineLevel="0" collapsed="false">
      <c r="A87" s="20" t="s">
        <v>1903</v>
      </c>
      <c r="B87" s="20" t="s">
        <v>1904</v>
      </c>
      <c r="C87" s="20" t="s">
        <v>1905</v>
      </c>
      <c r="D87" s="20" t="s">
        <v>1313</v>
      </c>
      <c r="E87" s="20" t="s">
        <v>1464</v>
      </c>
      <c r="F87" s="20" t="s">
        <v>1912</v>
      </c>
      <c r="G87" s="20" t="s">
        <v>1337</v>
      </c>
      <c r="H87" s="20" t="s">
        <v>1913</v>
      </c>
      <c r="I87" s="20" t="s">
        <v>1914</v>
      </c>
      <c r="J87" s="20" t="s">
        <v>1915</v>
      </c>
      <c r="K87" s="20" t="s">
        <v>1916</v>
      </c>
      <c r="L87" s="22" t="s">
        <v>1454</v>
      </c>
      <c r="M87" s="22" t="s">
        <v>1455</v>
      </c>
      <c r="N87" s="22"/>
      <c r="O87" s="20" t="s">
        <v>1456</v>
      </c>
      <c r="P87" s="20" t="s">
        <v>1911</v>
      </c>
      <c r="Q87" s="20"/>
      <c r="R87" s="20"/>
      <c r="S87" s="20" t="s">
        <v>1458</v>
      </c>
      <c r="T87" s="20" t="s">
        <v>1459</v>
      </c>
      <c r="U87" s="23" t="s">
        <v>1578</v>
      </c>
      <c r="V87" s="20" t="s">
        <v>1461</v>
      </c>
      <c r="W87" s="22" t="s">
        <v>1462</v>
      </c>
      <c r="X87" s="22" t="s">
        <v>1463</v>
      </c>
    </row>
    <row r="88" customFormat="false" ht="39" hidden="false" customHeight="true" outlineLevel="0" collapsed="false">
      <c r="A88" s="21" t="s">
        <v>1903</v>
      </c>
      <c r="B88" s="21" t="s">
        <v>1904</v>
      </c>
      <c r="C88" s="21" t="s">
        <v>1905</v>
      </c>
      <c r="D88" s="21" t="s">
        <v>1313</v>
      </c>
      <c r="E88" s="21" t="s">
        <v>1468</v>
      </c>
      <c r="F88" s="21" t="s">
        <v>1917</v>
      </c>
      <c r="G88" s="21" t="s">
        <v>1349</v>
      </c>
      <c r="H88" s="21" t="s">
        <v>1349</v>
      </c>
      <c r="I88" s="21" t="s">
        <v>1918</v>
      </c>
      <c r="J88" s="21" t="s">
        <v>1919</v>
      </c>
      <c r="K88" s="21" t="s">
        <v>1920</v>
      </c>
      <c r="L88" s="24" t="s">
        <v>1454</v>
      </c>
      <c r="M88" s="24" t="s">
        <v>1455</v>
      </c>
      <c r="N88" s="24"/>
      <c r="O88" s="21" t="s">
        <v>1456</v>
      </c>
      <c r="P88" s="21" t="s">
        <v>1911</v>
      </c>
      <c r="Q88" s="21"/>
      <c r="R88" s="21"/>
      <c r="S88" s="21" t="s">
        <v>1458</v>
      </c>
      <c r="T88" s="21" t="s">
        <v>1459</v>
      </c>
      <c r="U88" s="25" t="s">
        <v>1578</v>
      </c>
      <c r="V88" s="21" t="s">
        <v>1461</v>
      </c>
      <c r="W88" s="24" t="s">
        <v>1462</v>
      </c>
      <c r="X88" s="24" t="s">
        <v>1463</v>
      </c>
    </row>
    <row r="89" customFormat="false" ht="39" hidden="false" customHeight="true" outlineLevel="0" collapsed="false">
      <c r="A89" s="20" t="s">
        <v>1903</v>
      </c>
      <c r="B89" s="20" t="s">
        <v>1904</v>
      </c>
      <c r="C89" s="20" t="s">
        <v>1905</v>
      </c>
      <c r="D89" s="20" t="s">
        <v>1313</v>
      </c>
      <c r="E89" s="20" t="s">
        <v>1475</v>
      </c>
      <c r="F89" s="20" t="s">
        <v>1921</v>
      </c>
      <c r="G89" s="20" t="s">
        <v>1361</v>
      </c>
      <c r="H89" s="20" t="s">
        <v>1922</v>
      </c>
      <c r="I89" s="20" t="s">
        <v>1923</v>
      </c>
      <c r="J89" s="20" t="s">
        <v>1924</v>
      </c>
      <c r="K89" s="20" t="s">
        <v>1925</v>
      </c>
      <c r="L89" s="22" t="s">
        <v>1454</v>
      </c>
      <c r="M89" s="22" t="s">
        <v>1455</v>
      </c>
      <c r="N89" s="22"/>
      <c r="O89" s="20" t="s">
        <v>1456</v>
      </c>
      <c r="P89" s="20" t="s">
        <v>1911</v>
      </c>
      <c r="Q89" s="20"/>
      <c r="R89" s="20"/>
      <c r="S89" s="20" t="s">
        <v>1458</v>
      </c>
      <c r="T89" s="20" t="s">
        <v>1459</v>
      </c>
      <c r="U89" s="23" t="s">
        <v>1578</v>
      </c>
      <c r="V89" s="20" t="s">
        <v>1461</v>
      </c>
      <c r="W89" s="22" t="s">
        <v>1462</v>
      </c>
      <c r="X89" s="22" t="s">
        <v>1463</v>
      </c>
    </row>
    <row r="90" customFormat="false" ht="39" hidden="false" customHeight="true" outlineLevel="0" collapsed="false">
      <c r="A90" s="21" t="s">
        <v>1903</v>
      </c>
      <c r="B90" s="21" t="s">
        <v>1904</v>
      </c>
      <c r="C90" s="21" t="s">
        <v>1905</v>
      </c>
      <c r="D90" s="21" t="s">
        <v>1313</v>
      </c>
      <c r="E90" s="21" t="s">
        <v>1481</v>
      </c>
      <c r="F90" s="21" t="s">
        <v>1926</v>
      </c>
      <c r="G90" s="21" t="s">
        <v>1373</v>
      </c>
      <c r="H90" s="21" t="s">
        <v>1927</v>
      </c>
      <c r="I90" s="21" t="s">
        <v>1928</v>
      </c>
      <c r="J90" s="21" t="s">
        <v>1929</v>
      </c>
      <c r="K90" s="21" t="s">
        <v>1930</v>
      </c>
      <c r="L90" s="24" t="s">
        <v>1454</v>
      </c>
      <c r="M90" s="24" t="s">
        <v>1455</v>
      </c>
      <c r="N90" s="24"/>
      <c r="O90" s="21" t="s">
        <v>1456</v>
      </c>
      <c r="P90" s="21" t="s">
        <v>1911</v>
      </c>
      <c r="Q90" s="21"/>
      <c r="R90" s="21"/>
      <c r="S90" s="21" t="s">
        <v>1458</v>
      </c>
      <c r="T90" s="21" t="s">
        <v>1459</v>
      </c>
      <c r="U90" s="25" t="s">
        <v>1578</v>
      </c>
      <c r="V90" s="21" t="s">
        <v>1461</v>
      </c>
      <c r="W90" s="24" t="s">
        <v>1462</v>
      </c>
      <c r="X90" s="24" t="s">
        <v>1463</v>
      </c>
    </row>
    <row r="91" customFormat="false" ht="39" hidden="false" customHeight="true" outlineLevel="0" collapsed="false">
      <c r="A91" s="20" t="s">
        <v>1903</v>
      </c>
      <c r="B91" s="20" t="s">
        <v>1904</v>
      </c>
      <c r="C91" s="20" t="s">
        <v>1905</v>
      </c>
      <c r="D91" s="20" t="s">
        <v>1313</v>
      </c>
      <c r="E91" s="20" t="s">
        <v>1488</v>
      </c>
      <c r="F91" s="20" t="s">
        <v>1931</v>
      </c>
      <c r="G91" s="20" t="s">
        <v>1385</v>
      </c>
      <c r="H91" s="20" t="s">
        <v>1932</v>
      </c>
      <c r="I91" s="20" t="s">
        <v>1933</v>
      </c>
      <c r="J91" s="20" t="s">
        <v>1934</v>
      </c>
      <c r="K91" s="20" t="s">
        <v>1935</v>
      </c>
      <c r="L91" s="22" t="s">
        <v>1454</v>
      </c>
      <c r="M91" s="22" t="s">
        <v>1455</v>
      </c>
      <c r="N91" s="22"/>
      <c r="O91" s="20" t="s">
        <v>1487</v>
      </c>
      <c r="P91" s="20" t="s">
        <v>1911</v>
      </c>
      <c r="Q91" s="20"/>
      <c r="R91" s="20"/>
      <c r="S91" s="20" t="s">
        <v>1458</v>
      </c>
      <c r="T91" s="20" t="s">
        <v>1459</v>
      </c>
      <c r="U91" s="23" t="s">
        <v>1578</v>
      </c>
      <c r="V91" s="20" t="s">
        <v>1461</v>
      </c>
      <c r="W91" s="22" t="s">
        <v>1462</v>
      </c>
      <c r="X91" s="22" t="s">
        <v>1463</v>
      </c>
    </row>
    <row r="92" customFormat="false" ht="39" hidden="false" customHeight="true" outlineLevel="0" collapsed="false">
      <c r="A92" s="21" t="s">
        <v>1903</v>
      </c>
      <c r="B92" s="21" t="s">
        <v>1904</v>
      </c>
      <c r="C92" s="21" t="s">
        <v>1905</v>
      </c>
      <c r="D92" s="21" t="s">
        <v>1313</v>
      </c>
      <c r="E92" s="21" t="s">
        <v>1495</v>
      </c>
      <c r="F92" s="21" t="s">
        <v>1936</v>
      </c>
      <c r="G92" s="21" t="s">
        <v>1397</v>
      </c>
      <c r="H92" s="21" t="s">
        <v>1937</v>
      </c>
      <c r="I92" s="21" t="s">
        <v>1938</v>
      </c>
      <c r="J92" s="21" t="s">
        <v>1939</v>
      </c>
      <c r="K92" s="21" t="s">
        <v>1940</v>
      </c>
      <c r="L92" s="24" t="s">
        <v>1454</v>
      </c>
      <c r="M92" s="24" t="s">
        <v>1455</v>
      </c>
      <c r="N92" s="24" t="s">
        <v>1941</v>
      </c>
      <c r="O92" s="21" t="s">
        <v>1487</v>
      </c>
      <c r="P92" s="21" t="s">
        <v>1911</v>
      </c>
      <c r="Q92" s="21"/>
      <c r="R92" s="21"/>
      <c r="S92" s="21" t="s">
        <v>1458</v>
      </c>
      <c r="T92" s="21" t="s">
        <v>1942</v>
      </c>
      <c r="U92" s="25" t="s">
        <v>1578</v>
      </c>
      <c r="V92" s="21" t="s">
        <v>1461</v>
      </c>
      <c r="W92" s="24" t="s">
        <v>1462</v>
      </c>
      <c r="X92" s="24" t="s">
        <v>1463</v>
      </c>
    </row>
    <row r="93" customFormat="false" ht="39" hidden="false" customHeight="true" outlineLevel="0" collapsed="false">
      <c r="A93" s="20" t="s">
        <v>1903</v>
      </c>
      <c r="B93" s="20" t="s">
        <v>1904</v>
      </c>
      <c r="C93" s="20" t="s">
        <v>1905</v>
      </c>
      <c r="D93" s="20" t="s">
        <v>1313</v>
      </c>
      <c r="E93" s="20" t="s">
        <v>1500</v>
      </c>
      <c r="F93" s="20" t="s">
        <v>1943</v>
      </c>
      <c r="G93" s="20" t="s">
        <v>1409</v>
      </c>
      <c r="H93" s="20" t="s">
        <v>1409</v>
      </c>
      <c r="I93" s="20" t="s">
        <v>1944</v>
      </c>
      <c r="J93" s="20" t="s">
        <v>1945</v>
      </c>
      <c r="K93" s="20" t="s">
        <v>1946</v>
      </c>
      <c r="L93" s="22" t="s">
        <v>1454</v>
      </c>
      <c r="M93" s="22" t="s">
        <v>1455</v>
      </c>
      <c r="N93" s="22"/>
      <c r="O93" s="20" t="s">
        <v>1487</v>
      </c>
      <c r="P93" s="20" t="s">
        <v>1911</v>
      </c>
      <c r="Q93" s="20"/>
      <c r="R93" s="20"/>
      <c r="S93" s="20" t="s">
        <v>1458</v>
      </c>
      <c r="T93" s="20" t="s">
        <v>1459</v>
      </c>
      <c r="U93" s="23" t="s">
        <v>1578</v>
      </c>
      <c r="V93" s="20" t="s">
        <v>1461</v>
      </c>
      <c r="W93" s="22" t="s">
        <v>1462</v>
      </c>
      <c r="X93" s="22" t="s">
        <v>1463</v>
      </c>
    </row>
    <row r="94" customFormat="false" ht="51.75" hidden="false" customHeight="true" outlineLevel="0" collapsed="false">
      <c r="A94" s="21" t="s">
        <v>1903</v>
      </c>
      <c r="B94" s="21" t="s">
        <v>1904</v>
      </c>
      <c r="C94" s="21" t="s">
        <v>1905</v>
      </c>
      <c r="D94" s="21" t="s">
        <v>1313</v>
      </c>
      <c r="E94" s="21" t="s">
        <v>1508</v>
      </c>
      <c r="F94" s="21" t="s">
        <v>1947</v>
      </c>
      <c r="G94" s="21" t="s">
        <v>1421</v>
      </c>
      <c r="H94" s="21" t="s">
        <v>1948</v>
      </c>
      <c r="I94" s="21" t="s">
        <v>1949</v>
      </c>
      <c r="J94" s="21" t="s">
        <v>1950</v>
      </c>
      <c r="K94" s="21" t="s">
        <v>1951</v>
      </c>
      <c r="L94" s="24" t="s">
        <v>1454</v>
      </c>
      <c r="M94" s="24" t="s">
        <v>1455</v>
      </c>
      <c r="N94" s="24" t="s">
        <v>1952</v>
      </c>
      <c r="O94" s="21" t="s">
        <v>1487</v>
      </c>
      <c r="P94" s="21" t="s">
        <v>1911</v>
      </c>
      <c r="Q94" s="21"/>
      <c r="R94" s="21"/>
      <c r="S94" s="21" t="s">
        <v>1458</v>
      </c>
      <c r="T94" s="21" t="s">
        <v>1953</v>
      </c>
      <c r="U94" s="25" t="s">
        <v>1578</v>
      </c>
      <c r="V94" s="21" t="s">
        <v>1461</v>
      </c>
      <c r="W94" s="24" t="s">
        <v>1462</v>
      </c>
      <c r="X94" s="24" t="s">
        <v>1463</v>
      </c>
    </row>
    <row r="95" customFormat="false" ht="39" hidden="false" customHeight="true" outlineLevel="0" collapsed="false">
      <c r="A95" s="20" t="s">
        <v>1954</v>
      </c>
      <c r="B95" s="20" t="s">
        <v>1955</v>
      </c>
      <c r="C95" s="20" t="s">
        <v>1956</v>
      </c>
      <c r="D95" s="20" t="s">
        <v>1314</v>
      </c>
      <c r="E95" s="20" t="s">
        <v>1448</v>
      </c>
      <c r="F95" s="20" t="s">
        <v>1957</v>
      </c>
      <c r="G95" s="20" t="s">
        <v>1326</v>
      </c>
      <c r="H95" s="20" t="s">
        <v>1958</v>
      </c>
      <c r="I95" s="20" t="s">
        <v>1959</v>
      </c>
      <c r="J95" s="20" t="s">
        <v>1960</v>
      </c>
      <c r="K95" s="20" t="s">
        <v>1961</v>
      </c>
      <c r="L95" s="22" t="s">
        <v>1454</v>
      </c>
      <c r="M95" s="22" t="s">
        <v>1455</v>
      </c>
      <c r="N95" s="22"/>
      <c r="O95" s="20" t="s">
        <v>1456</v>
      </c>
      <c r="P95" s="20" t="s">
        <v>1962</v>
      </c>
      <c r="Q95" s="20"/>
      <c r="R95" s="20"/>
      <c r="S95" s="20" t="s">
        <v>1458</v>
      </c>
      <c r="T95" s="20" t="s">
        <v>1459</v>
      </c>
      <c r="U95" s="23" t="s">
        <v>1523</v>
      </c>
      <c r="V95" s="20" t="s">
        <v>1461</v>
      </c>
      <c r="W95" s="22" t="s">
        <v>1462</v>
      </c>
      <c r="X95" s="22" t="s">
        <v>1463</v>
      </c>
    </row>
    <row r="96" customFormat="false" ht="39" hidden="false" customHeight="true" outlineLevel="0" collapsed="false">
      <c r="A96" s="21" t="s">
        <v>1954</v>
      </c>
      <c r="B96" s="21" t="s">
        <v>1955</v>
      </c>
      <c r="C96" s="21" t="s">
        <v>1956</v>
      </c>
      <c r="D96" s="21" t="s">
        <v>1314</v>
      </c>
      <c r="E96" s="21" t="s">
        <v>1464</v>
      </c>
      <c r="F96" s="21" t="s">
        <v>1963</v>
      </c>
      <c r="G96" s="21" t="s">
        <v>1338</v>
      </c>
      <c r="H96" s="21" t="s">
        <v>1964</v>
      </c>
      <c r="I96" s="21" t="s">
        <v>1959</v>
      </c>
      <c r="J96" s="21" t="s">
        <v>1965</v>
      </c>
      <c r="K96" s="21" t="s">
        <v>1966</v>
      </c>
      <c r="L96" s="24" t="s">
        <v>1454</v>
      </c>
      <c r="M96" s="24" t="s">
        <v>1455</v>
      </c>
      <c r="N96" s="24"/>
      <c r="O96" s="21" t="s">
        <v>1456</v>
      </c>
      <c r="P96" s="21" t="s">
        <v>1962</v>
      </c>
      <c r="Q96" s="21"/>
      <c r="R96" s="21"/>
      <c r="S96" s="21" t="s">
        <v>1458</v>
      </c>
      <c r="T96" s="21" t="s">
        <v>1459</v>
      </c>
      <c r="U96" s="25" t="s">
        <v>1523</v>
      </c>
      <c r="V96" s="21" t="s">
        <v>1461</v>
      </c>
      <c r="W96" s="24" t="s">
        <v>1462</v>
      </c>
      <c r="X96" s="24" t="s">
        <v>1463</v>
      </c>
    </row>
    <row r="97" customFormat="false" ht="39" hidden="false" customHeight="true" outlineLevel="0" collapsed="false">
      <c r="A97" s="20" t="s">
        <v>1954</v>
      </c>
      <c r="B97" s="20" t="s">
        <v>1955</v>
      </c>
      <c r="C97" s="20" t="s">
        <v>1956</v>
      </c>
      <c r="D97" s="20" t="s">
        <v>1314</v>
      </c>
      <c r="E97" s="20" t="s">
        <v>1468</v>
      </c>
      <c r="F97" s="20" t="s">
        <v>1967</v>
      </c>
      <c r="G97" s="20" t="s">
        <v>1350</v>
      </c>
      <c r="H97" s="20" t="s">
        <v>1968</v>
      </c>
      <c r="I97" s="20" t="s">
        <v>1969</v>
      </c>
      <c r="J97" s="20" t="s">
        <v>1970</v>
      </c>
      <c r="K97" s="20" t="s">
        <v>1971</v>
      </c>
      <c r="L97" s="22" t="s">
        <v>1454</v>
      </c>
      <c r="M97" s="22" t="s">
        <v>1455</v>
      </c>
      <c r="N97" s="22"/>
      <c r="O97" s="20" t="s">
        <v>1487</v>
      </c>
      <c r="P97" s="20" t="s">
        <v>1962</v>
      </c>
      <c r="Q97" s="20"/>
      <c r="R97" s="20"/>
      <c r="S97" s="20" t="s">
        <v>1458</v>
      </c>
      <c r="T97" s="20" t="s">
        <v>1459</v>
      </c>
      <c r="U97" s="23" t="s">
        <v>1523</v>
      </c>
      <c r="V97" s="20" t="s">
        <v>1461</v>
      </c>
      <c r="W97" s="22" t="s">
        <v>1462</v>
      </c>
      <c r="X97" s="22" t="s">
        <v>1463</v>
      </c>
    </row>
    <row r="98" customFormat="false" ht="39" hidden="false" customHeight="true" outlineLevel="0" collapsed="false">
      <c r="A98" s="21" t="s">
        <v>1954</v>
      </c>
      <c r="B98" s="21" t="s">
        <v>1955</v>
      </c>
      <c r="C98" s="21" t="s">
        <v>1956</v>
      </c>
      <c r="D98" s="21" t="s">
        <v>1314</v>
      </c>
      <c r="E98" s="21" t="s">
        <v>1475</v>
      </c>
      <c r="F98" s="21" t="s">
        <v>1972</v>
      </c>
      <c r="G98" s="21" t="s">
        <v>1362</v>
      </c>
      <c r="H98" s="21" t="s">
        <v>1973</v>
      </c>
      <c r="I98" s="21" t="s">
        <v>1974</v>
      </c>
      <c r="J98" s="21" t="s">
        <v>1975</v>
      </c>
      <c r="K98" s="21" t="s">
        <v>1642</v>
      </c>
      <c r="L98" s="24" t="s">
        <v>1454</v>
      </c>
      <c r="M98" s="24" t="s">
        <v>1455</v>
      </c>
      <c r="N98" s="24"/>
      <c r="O98" s="21" t="s">
        <v>1456</v>
      </c>
      <c r="P98" s="21" t="s">
        <v>1962</v>
      </c>
      <c r="Q98" s="21"/>
      <c r="R98" s="21"/>
      <c r="S98" s="21" t="s">
        <v>1458</v>
      </c>
      <c r="T98" s="21" t="s">
        <v>1459</v>
      </c>
      <c r="U98" s="25" t="s">
        <v>1523</v>
      </c>
      <c r="V98" s="21" t="s">
        <v>1461</v>
      </c>
      <c r="W98" s="24" t="s">
        <v>1462</v>
      </c>
      <c r="X98" s="24" t="s">
        <v>1463</v>
      </c>
    </row>
    <row r="99" customFormat="false" ht="39" hidden="false" customHeight="true" outlineLevel="0" collapsed="false">
      <c r="A99" s="20" t="s">
        <v>1954</v>
      </c>
      <c r="B99" s="20" t="s">
        <v>1955</v>
      </c>
      <c r="C99" s="20" t="s">
        <v>1956</v>
      </c>
      <c r="D99" s="20" t="s">
        <v>1314</v>
      </c>
      <c r="E99" s="20" t="s">
        <v>1481</v>
      </c>
      <c r="F99" s="20" t="s">
        <v>1976</v>
      </c>
      <c r="G99" s="20" t="s">
        <v>1374</v>
      </c>
      <c r="H99" s="20" t="s">
        <v>1977</v>
      </c>
      <c r="I99" s="20" t="s">
        <v>1978</v>
      </c>
      <c r="J99" s="20" t="s">
        <v>1979</v>
      </c>
      <c r="K99" s="20" t="s">
        <v>1980</v>
      </c>
      <c r="L99" s="22" t="s">
        <v>1454</v>
      </c>
      <c r="M99" s="22" t="s">
        <v>1455</v>
      </c>
      <c r="N99" s="22"/>
      <c r="O99" s="20" t="s">
        <v>1456</v>
      </c>
      <c r="P99" s="20" t="s">
        <v>1962</v>
      </c>
      <c r="Q99" s="20"/>
      <c r="R99" s="20"/>
      <c r="S99" s="20" t="s">
        <v>1458</v>
      </c>
      <c r="T99" s="20" t="s">
        <v>1459</v>
      </c>
      <c r="U99" s="23" t="s">
        <v>1523</v>
      </c>
      <c r="V99" s="20" t="s">
        <v>1461</v>
      </c>
      <c r="W99" s="22" t="s">
        <v>1462</v>
      </c>
      <c r="X99" s="22" t="s">
        <v>1463</v>
      </c>
    </row>
    <row r="100" customFormat="false" ht="39" hidden="false" customHeight="true" outlineLevel="0" collapsed="false">
      <c r="A100" s="21" t="s">
        <v>1954</v>
      </c>
      <c r="B100" s="21" t="s">
        <v>1955</v>
      </c>
      <c r="C100" s="21" t="s">
        <v>1956</v>
      </c>
      <c r="D100" s="21" t="s">
        <v>1314</v>
      </c>
      <c r="E100" s="21" t="s">
        <v>1488</v>
      </c>
      <c r="F100" s="21" t="s">
        <v>1981</v>
      </c>
      <c r="G100" s="21" t="s">
        <v>1386</v>
      </c>
      <c r="H100" s="21" t="s">
        <v>1982</v>
      </c>
      <c r="I100" s="21" t="s">
        <v>1983</v>
      </c>
      <c r="J100" s="21" t="s">
        <v>1984</v>
      </c>
      <c r="K100" s="21" t="s">
        <v>1985</v>
      </c>
      <c r="L100" s="24" t="s">
        <v>1454</v>
      </c>
      <c r="M100" s="24" t="s">
        <v>1455</v>
      </c>
      <c r="N100" s="24" t="s">
        <v>1986</v>
      </c>
      <c r="O100" s="21" t="s">
        <v>1487</v>
      </c>
      <c r="P100" s="21" t="s">
        <v>1962</v>
      </c>
      <c r="Q100" s="21"/>
      <c r="R100" s="21"/>
      <c r="S100" s="21" t="s">
        <v>1458</v>
      </c>
      <c r="T100" s="21" t="s">
        <v>1987</v>
      </c>
      <c r="U100" s="25" t="s">
        <v>1523</v>
      </c>
      <c r="V100" s="21" t="s">
        <v>1461</v>
      </c>
      <c r="W100" s="24" t="s">
        <v>1462</v>
      </c>
      <c r="X100" s="24" t="s">
        <v>1463</v>
      </c>
    </row>
    <row r="101" customFormat="false" ht="39" hidden="false" customHeight="true" outlineLevel="0" collapsed="false">
      <c r="A101" s="20" t="s">
        <v>1954</v>
      </c>
      <c r="B101" s="20" t="s">
        <v>1955</v>
      </c>
      <c r="C101" s="20" t="s">
        <v>1956</v>
      </c>
      <c r="D101" s="20" t="s">
        <v>1314</v>
      </c>
      <c r="E101" s="20" t="s">
        <v>1495</v>
      </c>
      <c r="F101" s="20" t="s">
        <v>1988</v>
      </c>
      <c r="G101" s="20" t="s">
        <v>1398</v>
      </c>
      <c r="H101" s="20" t="s">
        <v>1989</v>
      </c>
      <c r="I101" s="20" t="s">
        <v>1990</v>
      </c>
      <c r="J101" s="20" t="s">
        <v>1991</v>
      </c>
      <c r="K101" s="20" t="s">
        <v>1992</v>
      </c>
      <c r="L101" s="22" t="s">
        <v>1454</v>
      </c>
      <c r="M101" s="22" t="s">
        <v>1455</v>
      </c>
      <c r="N101" s="22"/>
      <c r="O101" s="20" t="s">
        <v>1487</v>
      </c>
      <c r="P101" s="20" t="s">
        <v>1962</v>
      </c>
      <c r="Q101" s="20"/>
      <c r="R101" s="20"/>
      <c r="S101" s="20" t="s">
        <v>1458</v>
      </c>
      <c r="T101" s="20" t="s">
        <v>1459</v>
      </c>
      <c r="U101" s="23" t="s">
        <v>1523</v>
      </c>
      <c r="V101" s="20" t="s">
        <v>1461</v>
      </c>
      <c r="W101" s="22" t="s">
        <v>1462</v>
      </c>
      <c r="X101" s="22" t="s">
        <v>1463</v>
      </c>
    </row>
    <row r="102" customFormat="false" ht="39" hidden="false" customHeight="true" outlineLevel="0" collapsed="false">
      <c r="A102" s="21" t="s">
        <v>1954</v>
      </c>
      <c r="B102" s="21" t="s">
        <v>1955</v>
      </c>
      <c r="C102" s="21" t="s">
        <v>1956</v>
      </c>
      <c r="D102" s="21" t="s">
        <v>1314</v>
      </c>
      <c r="E102" s="21" t="s">
        <v>1500</v>
      </c>
      <c r="F102" s="21" t="s">
        <v>1993</v>
      </c>
      <c r="G102" s="21" t="s">
        <v>1410</v>
      </c>
      <c r="H102" s="21" t="s">
        <v>1994</v>
      </c>
      <c r="I102" s="21" t="s">
        <v>1995</v>
      </c>
      <c r="J102" s="21" t="s">
        <v>1996</v>
      </c>
      <c r="K102" s="21" t="s">
        <v>1997</v>
      </c>
      <c r="L102" s="24" t="s">
        <v>1454</v>
      </c>
      <c r="M102" s="24" t="s">
        <v>1455</v>
      </c>
      <c r="N102" s="24" t="s">
        <v>1998</v>
      </c>
      <c r="O102" s="21" t="s">
        <v>1487</v>
      </c>
      <c r="P102" s="21" t="s">
        <v>1962</v>
      </c>
      <c r="Q102" s="21"/>
      <c r="R102" s="21"/>
      <c r="S102" s="21" t="s">
        <v>1458</v>
      </c>
      <c r="T102" s="21" t="s">
        <v>1999</v>
      </c>
      <c r="U102" s="25" t="s">
        <v>1523</v>
      </c>
      <c r="V102" s="21" t="s">
        <v>1461</v>
      </c>
      <c r="W102" s="24" t="s">
        <v>1462</v>
      </c>
      <c r="X102" s="24" t="s">
        <v>1463</v>
      </c>
    </row>
    <row r="103" customFormat="false" ht="39" hidden="false" customHeight="true" outlineLevel="0" collapsed="false">
      <c r="A103" s="20" t="s">
        <v>1954</v>
      </c>
      <c r="B103" s="20" t="s">
        <v>1955</v>
      </c>
      <c r="C103" s="20" t="s">
        <v>1956</v>
      </c>
      <c r="D103" s="20" t="s">
        <v>1314</v>
      </c>
      <c r="E103" s="20" t="s">
        <v>1508</v>
      </c>
      <c r="F103" s="20" t="s">
        <v>2000</v>
      </c>
      <c r="G103" s="20" t="s">
        <v>1422</v>
      </c>
      <c r="H103" s="20" t="s">
        <v>2001</v>
      </c>
      <c r="I103" s="20" t="s">
        <v>2002</v>
      </c>
      <c r="J103" s="20" t="s">
        <v>2003</v>
      </c>
      <c r="K103" s="20" t="s">
        <v>2004</v>
      </c>
      <c r="L103" s="22" t="s">
        <v>1454</v>
      </c>
      <c r="M103" s="22" t="s">
        <v>1455</v>
      </c>
      <c r="N103" s="22" t="s">
        <v>2005</v>
      </c>
      <c r="O103" s="20" t="s">
        <v>1487</v>
      </c>
      <c r="P103" s="20" t="s">
        <v>1962</v>
      </c>
      <c r="Q103" s="20"/>
      <c r="R103" s="20"/>
      <c r="S103" s="20" t="s">
        <v>1458</v>
      </c>
      <c r="T103" s="20" t="s">
        <v>2006</v>
      </c>
      <c r="U103" s="23" t="s">
        <v>1523</v>
      </c>
      <c r="V103" s="20" t="s">
        <v>1461</v>
      </c>
      <c r="W103" s="22" t="s">
        <v>1462</v>
      </c>
      <c r="X103" s="22" t="s">
        <v>1463</v>
      </c>
    </row>
  </sheetData>
  <autoFilter ref="A4:X103"/>
  <mergeCells count="2">
    <mergeCell ref="A1:X1"/>
    <mergeCell ref="A2:X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8" t="s">
        <v>2007</v>
      </c>
      <c r="B1" s="8"/>
      <c r="C1" s="8"/>
      <c r="D1" s="8"/>
      <c r="E1" s="8"/>
      <c r="F1" s="8"/>
      <c r="G1" s="8"/>
      <c r="H1" s="8"/>
      <c r="I1" s="8"/>
      <c r="J1" s="8"/>
      <c r="K1" s="8"/>
      <c r="L1" s="8"/>
      <c r="M1" s="8"/>
      <c r="N1" s="8"/>
      <c r="O1" s="8"/>
      <c r="P1" s="8"/>
      <c r="Q1" s="8"/>
      <c r="R1" s="8"/>
      <c r="S1" s="8"/>
      <c r="T1" s="8"/>
      <c r="U1" s="8"/>
      <c r="V1" s="8"/>
      <c r="W1" s="8"/>
      <c r="X1" s="8"/>
      <c r="Y1" s="8"/>
      <c r="Z1" s="8"/>
    </row>
    <row r="2" customFormat="false" ht="33.75" hidden="false" customHeight="true" outlineLevel="0" collapsed="false">
      <c r="A2" s="19" t="s">
        <v>2008</v>
      </c>
      <c r="B2" s="19"/>
      <c r="C2" s="19"/>
      <c r="D2" s="19"/>
      <c r="E2" s="19"/>
      <c r="F2" s="19"/>
      <c r="G2" s="19"/>
      <c r="H2" s="19"/>
      <c r="I2" s="19"/>
      <c r="J2" s="19"/>
      <c r="K2" s="19"/>
      <c r="L2" s="19"/>
      <c r="M2" s="19"/>
      <c r="N2" s="19"/>
      <c r="O2" s="19"/>
      <c r="P2" s="19"/>
      <c r="Q2" s="19"/>
      <c r="R2" s="19"/>
      <c r="S2" s="19"/>
      <c r="T2" s="19"/>
      <c r="U2" s="19"/>
      <c r="V2" s="19"/>
      <c r="W2" s="19"/>
      <c r="X2" s="19"/>
      <c r="Y2" s="19"/>
      <c r="Z2" s="19"/>
    </row>
    <row r="4" customFormat="false" ht="33.75" hidden="false" customHeight="true" outlineLevel="0" collapsed="false">
      <c r="A4" s="10" t="s">
        <v>1438</v>
      </c>
      <c r="B4" s="10" t="s">
        <v>1427</v>
      </c>
      <c r="C4" s="10" t="s">
        <v>2009</v>
      </c>
      <c r="D4" s="10" t="s">
        <v>2010</v>
      </c>
      <c r="E4" s="10" t="s">
        <v>2011</v>
      </c>
      <c r="F4" s="10" t="s">
        <v>2012</v>
      </c>
      <c r="G4" s="10" t="s">
        <v>2013</v>
      </c>
      <c r="H4" s="10" t="s">
        <v>2014</v>
      </c>
      <c r="I4" s="10" t="s">
        <v>2015</v>
      </c>
      <c r="J4" s="10" t="s">
        <v>2016</v>
      </c>
      <c r="K4" s="10" t="s">
        <v>2017</v>
      </c>
      <c r="L4" s="10" t="s">
        <v>2018</v>
      </c>
      <c r="M4" s="10" t="s">
        <v>2019</v>
      </c>
      <c r="N4" s="10" t="s">
        <v>2020</v>
      </c>
      <c r="O4" s="10" t="s">
        <v>2021</v>
      </c>
      <c r="P4" s="10" t="s">
        <v>2022</v>
      </c>
      <c r="Q4" s="10" t="s">
        <v>2023</v>
      </c>
      <c r="R4" s="10" t="s">
        <v>2024</v>
      </c>
      <c r="S4" s="10" t="s">
        <v>1436</v>
      </c>
      <c r="T4" s="10" t="s">
        <v>2025</v>
      </c>
      <c r="U4" s="10" t="s">
        <v>2026</v>
      </c>
      <c r="V4" s="10" t="s">
        <v>2027</v>
      </c>
      <c r="W4" s="10" t="s">
        <v>2028</v>
      </c>
      <c r="X4" s="10" t="s">
        <v>2029</v>
      </c>
      <c r="Y4" s="10" t="s">
        <v>2030</v>
      </c>
      <c r="Z4" s="10" t="s">
        <v>2031</v>
      </c>
    </row>
    <row r="5" customFormat="false" ht="39" hidden="false" customHeight="true" outlineLevel="0" collapsed="false">
      <c r="A5" s="20" t="s">
        <v>1457</v>
      </c>
      <c r="B5" s="20" t="s">
        <v>1447</v>
      </c>
      <c r="C5" s="20"/>
      <c r="D5" s="20"/>
      <c r="E5" s="22"/>
      <c r="F5" s="22"/>
      <c r="G5" s="22"/>
      <c r="H5" s="22"/>
      <c r="I5" s="22" t="s">
        <v>2032</v>
      </c>
      <c r="J5" s="22"/>
      <c r="K5" s="22" t="s">
        <v>2033</v>
      </c>
      <c r="L5" s="22"/>
      <c r="M5" s="22" t="s">
        <v>2034</v>
      </c>
      <c r="N5" s="22" t="s">
        <v>2032</v>
      </c>
      <c r="O5" s="22" t="s">
        <v>2034</v>
      </c>
      <c r="P5" s="22" t="s">
        <v>2035</v>
      </c>
      <c r="Q5" s="22" t="s">
        <v>2036</v>
      </c>
      <c r="R5" s="22" t="s">
        <v>2037</v>
      </c>
      <c r="S5" s="22" t="s">
        <v>2038</v>
      </c>
      <c r="T5" s="22" t="s">
        <v>2039</v>
      </c>
      <c r="U5" s="22" t="s">
        <v>2040</v>
      </c>
      <c r="V5" s="22" t="s">
        <v>2041</v>
      </c>
      <c r="W5" s="22" t="s">
        <v>2042</v>
      </c>
      <c r="X5" s="22" t="s">
        <v>2043</v>
      </c>
      <c r="Y5" s="22" t="s">
        <v>2044</v>
      </c>
      <c r="Z5" s="22" t="s">
        <v>2045</v>
      </c>
    </row>
    <row r="6" customFormat="false" ht="39" hidden="false" customHeight="true" outlineLevel="0" collapsed="false">
      <c r="A6" s="21" t="s">
        <v>1522</v>
      </c>
      <c r="B6" s="21" t="s">
        <v>1515</v>
      </c>
      <c r="C6" s="21" t="s">
        <v>1447</v>
      </c>
      <c r="D6" s="21"/>
      <c r="E6" s="24" t="s">
        <v>1468</v>
      </c>
      <c r="F6" s="24" t="s">
        <v>1475</v>
      </c>
      <c r="G6" s="24"/>
      <c r="H6" s="24"/>
      <c r="I6" s="24" t="s">
        <v>1448</v>
      </c>
      <c r="J6" s="24" t="s">
        <v>1475</v>
      </c>
      <c r="K6" s="24" t="s">
        <v>2046</v>
      </c>
      <c r="L6" s="24" t="s">
        <v>2047</v>
      </c>
      <c r="M6" s="24" t="s">
        <v>2048</v>
      </c>
      <c r="N6" s="24" t="s">
        <v>1464</v>
      </c>
      <c r="O6" s="24" t="s">
        <v>2049</v>
      </c>
      <c r="P6" s="24" t="s">
        <v>2050</v>
      </c>
      <c r="Q6" s="24" t="s">
        <v>2051</v>
      </c>
      <c r="R6" s="24" t="s">
        <v>2037</v>
      </c>
      <c r="S6" s="24" t="s">
        <v>2052</v>
      </c>
      <c r="T6" s="24" t="s">
        <v>2039</v>
      </c>
      <c r="U6" s="24" t="s">
        <v>2040</v>
      </c>
      <c r="V6" s="24" t="s">
        <v>2041</v>
      </c>
      <c r="W6" s="24" t="s">
        <v>2042</v>
      </c>
      <c r="X6" s="24" t="s">
        <v>2043</v>
      </c>
      <c r="Y6" s="24" t="s">
        <v>2044</v>
      </c>
      <c r="Z6" s="24" t="s">
        <v>2045</v>
      </c>
    </row>
    <row r="7" customFormat="false" ht="39" hidden="false" customHeight="true" outlineLevel="0" collapsed="false">
      <c r="A7" s="20" t="s">
        <v>1577</v>
      </c>
      <c r="B7" s="20" t="s">
        <v>1570</v>
      </c>
      <c r="C7" s="20" t="s">
        <v>1621</v>
      </c>
      <c r="D7" s="20" t="s">
        <v>1806</v>
      </c>
      <c r="E7" s="22" t="s">
        <v>1464</v>
      </c>
      <c r="F7" s="22" t="s">
        <v>1468</v>
      </c>
      <c r="G7" s="22" t="s">
        <v>1468</v>
      </c>
      <c r="H7" s="22" t="s">
        <v>1475</v>
      </c>
      <c r="I7" s="22" t="s">
        <v>1448</v>
      </c>
      <c r="J7" s="22" t="s">
        <v>1468</v>
      </c>
      <c r="K7" s="22" t="s">
        <v>2046</v>
      </c>
      <c r="L7" s="22" t="s">
        <v>2053</v>
      </c>
      <c r="M7" s="22" t="s">
        <v>2048</v>
      </c>
      <c r="N7" s="22" t="s">
        <v>1464</v>
      </c>
      <c r="O7" s="22" t="s">
        <v>2048</v>
      </c>
      <c r="P7" s="22" t="s">
        <v>2054</v>
      </c>
      <c r="Q7" s="22" t="s">
        <v>2055</v>
      </c>
      <c r="R7" s="22" t="s">
        <v>2037</v>
      </c>
      <c r="S7" s="22" t="s">
        <v>2056</v>
      </c>
      <c r="T7" s="22" t="s">
        <v>2039</v>
      </c>
      <c r="U7" s="22" t="s">
        <v>2040</v>
      </c>
      <c r="V7" s="22" t="s">
        <v>2041</v>
      </c>
      <c r="W7" s="22" t="s">
        <v>2042</v>
      </c>
      <c r="X7" s="22" t="s">
        <v>2043</v>
      </c>
      <c r="Y7" s="22" t="s">
        <v>2044</v>
      </c>
      <c r="Z7" s="22" t="s">
        <v>2045</v>
      </c>
    </row>
    <row r="8" customFormat="false" ht="39" hidden="false" customHeight="true" outlineLevel="0" collapsed="false">
      <c r="A8" s="21" t="s">
        <v>1628</v>
      </c>
      <c r="B8" s="21" t="s">
        <v>1623</v>
      </c>
      <c r="C8" s="21" t="s">
        <v>1447</v>
      </c>
      <c r="D8" s="21"/>
      <c r="E8" s="24" t="s">
        <v>1464</v>
      </c>
      <c r="F8" s="24" t="s">
        <v>1468</v>
      </c>
      <c r="G8" s="24"/>
      <c r="H8" s="24"/>
      <c r="I8" s="24" t="s">
        <v>1448</v>
      </c>
      <c r="J8" s="24" t="s">
        <v>1468</v>
      </c>
      <c r="K8" s="24" t="s">
        <v>2057</v>
      </c>
      <c r="L8" s="24" t="s">
        <v>2058</v>
      </c>
      <c r="M8" s="24" t="s">
        <v>2048</v>
      </c>
      <c r="N8" s="24" t="s">
        <v>1464</v>
      </c>
      <c r="O8" s="24" t="s">
        <v>2049</v>
      </c>
      <c r="P8" s="24" t="s">
        <v>2059</v>
      </c>
      <c r="Q8" s="24" t="s">
        <v>2060</v>
      </c>
      <c r="R8" s="24" t="s">
        <v>2037</v>
      </c>
      <c r="S8" s="24" t="s">
        <v>2061</v>
      </c>
      <c r="T8" s="24" t="s">
        <v>2039</v>
      </c>
      <c r="U8" s="24" t="s">
        <v>2040</v>
      </c>
      <c r="V8" s="24" t="s">
        <v>2041</v>
      </c>
      <c r="W8" s="24" t="s">
        <v>2042</v>
      </c>
      <c r="X8" s="24" t="s">
        <v>2043</v>
      </c>
      <c r="Y8" s="24" t="s">
        <v>2044</v>
      </c>
      <c r="Z8" s="24" t="s">
        <v>2045</v>
      </c>
    </row>
    <row r="9" customFormat="false" ht="39" hidden="false" customHeight="true" outlineLevel="0" collapsed="false">
      <c r="A9" s="20" t="s">
        <v>1676</v>
      </c>
      <c r="B9" s="20" t="s">
        <v>1671</v>
      </c>
      <c r="C9" s="20" t="s">
        <v>1621</v>
      </c>
      <c r="D9" s="20" t="s">
        <v>1447</v>
      </c>
      <c r="E9" s="22" t="s">
        <v>1464</v>
      </c>
      <c r="F9" s="22" t="s">
        <v>1468</v>
      </c>
      <c r="G9" s="22" t="s">
        <v>1468</v>
      </c>
      <c r="H9" s="22" t="s">
        <v>1475</v>
      </c>
      <c r="I9" s="22" t="s">
        <v>1448</v>
      </c>
      <c r="J9" s="22" t="s">
        <v>1468</v>
      </c>
      <c r="K9" s="22" t="s">
        <v>2062</v>
      </c>
      <c r="L9" s="22" t="s">
        <v>2063</v>
      </c>
      <c r="M9" s="22" t="s">
        <v>2048</v>
      </c>
      <c r="N9" s="22" t="s">
        <v>1464</v>
      </c>
      <c r="O9" s="22" t="s">
        <v>2048</v>
      </c>
      <c r="P9" s="22" t="s">
        <v>2064</v>
      </c>
      <c r="Q9" s="22" t="s">
        <v>2065</v>
      </c>
      <c r="R9" s="22" t="s">
        <v>2037</v>
      </c>
      <c r="S9" s="22" t="s">
        <v>2066</v>
      </c>
      <c r="T9" s="22" t="s">
        <v>2039</v>
      </c>
      <c r="U9" s="22" t="s">
        <v>2040</v>
      </c>
      <c r="V9" s="22" t="s">
        <v>2041</v>
      </c>
      <c r="W9" s="22" t="s">
        <v>2042</v>
      </c>
      <c r="X9" s="22" t="s">
        <v>2043</v>
      </c>
      <c r="Y9" s="22" t="s">
        <v>2044</v>
      </c>
      <c r="Z9" s="22" t="s">
        <v>2045</v>
      </c>
    </row>
    <row r="10" customFormat="false" ht="39" hidden="false" customHeight="true" outlineLevel="0" collapsed="false">
      <c r="A10" s="21" t="s">
        <v>1716</v>
      </c>
      <c r="B10" s="21" t="s">
        <v>1711</v>
      </c>
      <c r="C10" s="21" t="s">
        <v>1621</v>
      </c>
      <c r="D10" s="21" t="s">
        <v>1447</v>
      </c>
      <c r="E10" s="24" t="s">
        <v>1464</v>
      </c>
      <c r="F10" s="24" t="s">
        <v>1468</v>
      </c>
      <c r="G10" s="24" t="s">
        <v>1468</v>
      </c>
      <c r="H10" s="24" t="s">
        <v>1475</v>
      </c>
      <c r="I10" s="24" t="s">
        <v>1448</v>
      </c>
      <c r="J10" s="24" t="s">
        <v>1468</v>
      </c>
      <c r="K10" s="24" t="s">
        <v>2067</v>
      </c>
      <c r="L10" s="24" t="s">
        <v>2068</v>
      </c>
      <c r="M10" s="24" t="s">
        <v>2048</v>
      </c>
      <c r="N10" s="24" t="s">
        <v>1464</v>
      </c>
      <c r="O10" s="24" t="s">
        <v>2048</v>
      </c>
      <c r="P10" s="24" t="s">
        <v>2069</v>
      </c>
      <c r="Q10" s="24" t="s">
        <v>2070</v>
      </c>
      <c r="R10" s="24" t="s">
        <v>2037</v>
      </c>
      <c r="S10" s="24" t="s">
        <v>2071</v>
      </c>
      <c r="T10" s="24" t="s">
        <v>2039</v>
      </c>
      <c r="U10" s="24" t="s">
        <v>2040</v>
      </c>
      <c r="V10" s="24" t="s">
        <v>2041</v>
      </c>
      <c r="W10" s="24" t="s">
        <v>2042</v>
      </c>
      <c r="X10" s="24" t="s">
        <v>2043</v>
      </c>
      <c r="Y10" s="24" t="s">
        <v>2044</v>
      </c>
      <c r="Z10" s="24" t="s">
        <v>2045</v>
      </c>
    </row>
    <row r="11" customFormat="false" ht="39" hidden="false" customHeight="true" outlineLevel="0" collapsed="false">
      <c r="A11" s="20" t="s">
        <v>1763</v>
      </c>
      <c r="B11" s="20" t="s">
        <v>1756</v>
      </c>
      <c r="C11" s="20" t="s">
        <v>1806</v>
      </c>
      <c r="D11" s="20" t="s">
        <v>1621</v>
      </c>
      <c r="E11" s="22" t="s">
        <v>1464</v>
      </c>
      <c r="F11" s="22" t="s">
        <v>1468</v>
      </c>
      <c r="G11" s="22" t="s">
        <v>1468</v>
      </c>
      <c r="H11" s="22" t="s">
        <v>1475</v>
      </c>
      <c r="I11" s="22" t="s">
        <v>1448</v>
      </c>
      <c r="J11" s="22" t="s">
        <v>1475</v>
      </c>
      <c r="K11" s="22" t="s">
        <v>2072</v>
      </c>
      <c r="L11" s="22" t="s">
        <v>2073</v>
      </c>
      <c r="M11" s="22" t="s">
        <v>2048</v>
      </c>
      <c r="N11" s="22" t="s">
        <v>1464</v>
      </c>
      <c r="O11" s="22" t="s">
        <v>2048</v>
      </c>
      <c r="P11" s="22" t="s">
        <v>2074</v>
      </c>
      <c r="Q11" s="22" t="s">
        <v>2075</v>
      </c>
      <c r="R11" s="22" t="s">
        <v>2037</v>
      </c>
      <c r="S11" s="22" t="s">
        <v>2076</v>
      </c>
      <c r="T11" s="22" t="s">
        <v>2039</v>
      </c>
      <c r="U11" s="22" t="s">
        <v>2040</v>
      </c>
      <c r="V11" s="22" t="s">
        <v>2041</v>
      </c>
      <c r="W11" s="22" t="s">
        <v>2042</v>
      </c>
      <c r="X11" s="22" t="s">
        <v>2043</v>
      </c>
      <c r="Y11" s="22" t="s">
        <v>2044</v>
      </c>
      <c r="Z11" s="22" t="s">
        <v>2045</v>
      </c>
    </row>
    <row r="12" customFormat="false" ht="39" hidden="false" customHeight="true" outlineLevel="0" collapsed="false">
      <c r="A12" s="21" t="s">
        <v>1813</v>
      </c>
      <c r="B12" s="21" t="s">
        <v>1806</v>
      </c>
      <c r="C12" s="21" t="s">
        <v>1621</v>
      </c>
      <c r="D12" s="21" t="s">
        <v>1447</v>
      </c>
      <c r="E12" s="24" t="s">
        <v>1468</v>
      </c>
      <c r="F12" s="24" t="s">
        <v>1475</v>
      </c>
      <c r="G12" s="24" t="s">
        <v>1475</v>
      </c>
      <c r="H12" s="24" t="s">
        <v>1481</v>
      </c>
      <c r="I12" s="24" t="s">
        <v>1448</v>
      </c>
      <c r="J12" s="24" t="s">
        <v>1475</v>
      </c>
      <c r="K12" s="24" t="s">
        <v>2077</v>
      </c>
      <c r="L12" s="24" t="s">
        <v>2078</v>
      </c>
      <c r="M12" s="24" t="s">
        <v>2048</v>
      </c>
      <c r="N12" s="24" t="s">
        <v>1464</v>
      </c>
      <c r="O12" s="24" t="s">
        <v>2048</v>
      </c>
      <c r="P12" s="24" t="s">
        <v>2079</v>
      </c>
      <c r="Q12" s="24" t="s">
        <v>2080</v>
      </c>
      <c r="R12" s="24" t="s">
        <v>2037</v>
      </c>
      <c r="S12" s="24" t="s">
        <v>2081</v>
      </c>
      <c r="T12" s="24" t="s">
        <v>2039</v>
      </c>
      <c r="U12" s="24" t="s">
        <v>2040</v>
      </c>
      <c r="V12" s="24" t="s">
        <v>2041</v>
      </c>
      <c r="W12" s="24" t="s">
        <v>2042</v>
      </c>
      <c r="X12" s="24" t="s">
        <v>2043</v>
      </c>
      <c r="Y12" s="24" t="s">
        <v>2044</v>
      </c>
      <c r="Z12" s="24" t="s">
        <v>2045</v>
      </c>
    </row>
    <row r="13" customFormat="false" ht="39" hidden="false" customHeight="true" outlineLevel="0" collapsed="false">
      <c r="A13" s="20" t="s">
        <v>1864</v>
      </c>
      <c r="B13" s="20" t="s">
        <v>1858</v>
      </c>
      <c r="C13" s="20" t="s">
        <v>1447</v>
      </c>
      <c r="D13" s="20" t="s">
        <v>1806</v>
      </c>
      <c r="E13" s="22" t="s">
        <v>1464</v>
      </c>
      <c r="F13" s="22" t="s">
        <v>1468</v>
      </c>
      <c r="G13" s="22" t="s">
        <v>1468</v>
      </c>
      <c r="H13" s="22" t="s">
        <v>1475</v>
      </c>
      <c r="I13" s="22" t="s">
        <v>1448</v>
      </c>
      <c r="J13" s="22" t="s">
        <v>1475</v>
      </c>
      <c r="K13" s="22" t="s">
        <v>2082</v>
      </c>
      <c r="L13" s="22" t="s">
        <v>2083</v>
      </c>
      <c r="M13" s="22" t="s">
        <v>2048</v>
      </c>
      <c r="N13" s="22" t="s">
        <v>1464</v>
      </c>
      <c r="O13" s="22" t="s">
        <v>2049</v>
      </c>
      <c r="P13" s="22" t="s">
        <v>2084</v>
      </c>
      <c r="Q13" s="22" t="s">
        <v>2085</v>
      </c>
      <c r="R13" s="22" t="s">
        <v>2037</v>
      </c>
      <c r="S13" s="22" t="s">
        <v>2086</v>
      </c>
      <c r="T13" s="22" t="s">
        <v>2039</v>
      </c>
      <c r="U13" s="22" t="s">
        <v>2040</v>
      </c>
      <c r="V13" s="22" t="s">
        <v>2041</v>
      </c>
      <c r="W13" s="22" t="s">
        <v>2042</v>
      </c>
      <c r="X13" s="22" t="s">
        <v>2043</v>
      </c>
      <c r="Y13" s="22" t="s">
        <v>2044</v>
      </c>
      <c r="Z13" s="22" t="s">
        <v>2045</v>
      </c>
    </row>
    <row r="14" customFormat="false" ht="39" hidden="false" customHeight="true" outlineLevel="0" collapsed="false">
      <c r="A14" s="21" t="s">
        <v>1911</v>
      </c>
      <c r="B14" s="21" t="s">
        <v>1905</v>
      </c>
      <c r="C14" s="21" t="s">
        <v>1621</v>
      </c>
      <c r="D14" s="21" t="s">
        <v>1806</v>
      </c>
      <c r="E14" s="24" t="s">
        <v>1464</v>
      </c>
      <c r="F14" s="24" t="s">
        <v>1468</v>
      </c>
      <c r="G14" s="24" t="s">
        <v>1468</v>
      </c>
      <c r="H14" s="24" t="s">
        <v>1475</v>
      </c>
      <c r="I14" s="24" t="s">
        <v>1448</v>
      </c>
      <c r="J14" s="24" t="s">
        <v>1468</v>
      </c>
      <c r="K14" s="24" t="s">
        <v>2087</v>
      </c>
      <c r="L14" s="24" t="s">
        <v>2088</v>
      </c>
      <c r="M14" s="24" t="s">
        <v>2048</v>
      </c>
      <c r="N14" s="24" t="s">
        <v>1464</v>
      </c>
      <c r="O14" s="24" t="s">
        <v>2048</v>
      </c>
      <c r="P14" s="24" t="s">
        <v>2089</v>
      </c>
      <c r="Q14" s="24" t="s">
        <v>2090</v>
      </c>
      <c r="R14" s="24" t="s">
        <v>2037</v>
      </c>
      <c r="S14" s="24" t="s">
        <v>2091</v>
      </c>
      <c r="T14" s="24" t="s">
        <v>2039</v>
      </c>
      <c r="U14" s="24" t="s">
        <v>2040</v>
      </c>
      <c r="V14" s="24" t="s">
        <v>2041</v>
      </c>
      <c r="W14" s="24" t="s">
        <v>2042</v>
      </c>
      <c r="X14" s="24" t="s">
        <v>2043</v>
      </c>
      <c r="Y14" s="24" t="s">
        <v>2044</v>
      </c>
      <c r="Z14" s="24" t="s">
        <v>2045</v>
      </c>
    </row>
    <row r="15" customFormat="false" ht="39" hidden="false" customHeight="true" outlineLevel="0" collapsed="false">
      <c r="A15" s="20" t="s">
        <v>1962</v>
      </c>
      <c r="B15" s="20" t="s">
        <v>1956</v>
      </c>
      <c r="C15" s="20" t="s">
        <v>1806</v>
      </c>
      <c r="D15" s="20" t="s">
        <v>1447</v>
      </c>
      <c r="E15" s="22" t="s">
        <v>1464</v>
      </c>
      <c r="F15" s="22" t="s">
        <v>1468</v>
      </c>
      <c r="G15" s="22" t="s">
        <v>1468</v>
      </c>
      <c r="H15" s="22" t="s">
        <v>1475</v>
      </c>
      <c r="I15" s="22" t="s">
        <v>1448</v>
      </c>
      <c r="J15" s="22" t="s">
        <v>1475</v>
      </c>
      <c r="K15" s="22" t="s">
        <v>2092</v>
      </c>
      <c r="L15" s="22" t="s">
        <v>2093</v>
      </c>
      <c r="M15" s="22" t="s">
        <v>2048</v>
      </c>
      <c r="N15" s="22" t="s">
        <v>1464</v>
      </c>
      <c r="O15" s="22" t="s">
        <v>2048</v>
      </c>
      <c r="P15" s="22" t="s">
        <v>2094</v>
      </c>
      <c r="Q15" s="22" t="s">
        <v>2095</v>
      </c>
      <c r="R15" s="22" t="s">
        <v>2037</v>
      </c>
      <c r="S15" s="22" t="s">
        <v>2096</v>
      </c>
      <c r="T15" s="22" t="s">
        <v>2039</v>
      </c>
      <c r="U15" s="22" t="s">
        <v>2040</v>
      </c>
      <c r="V15" s="22" t="s">
        <v>2041</v>
      </c>
      <c r="W15" s="22" t="s">
        <v>2042</v>
      </c>
      <c r="X15" s="22" t="s">
        <v>2043</v>
      </c>
      <c r="Y15" s="22" t="s">
        <v>2044</v>
      </c>
      <c r="Z15" s="22" t="s">
        <v>2045</v>
      </c>
    </row>
  </sheetData>
  <autoFilter ref="A4:Z15"/>
  <mergeCells count="2">
    <mergeCell ref="A1:Z1"/>
    <mergeCell ref="A2:Z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8" t="s">
        <v>2097</v>
      </c>
      <c r="B1" s="8"/>
      <c r="C1" s="8"/>
      <c r="D1" s="8"/>
    </row>
    <row r="2" customFormat="false" ht="33.75" hidden="false" customHeight="true" outlineLevel="0" collapsed="false">
      <c r="A2" s="19" t="s">
        <v>2098</v>
      </c>
      <c r="B2" s="19"/>
      <c r="C2" s="19"/>
      <c r="D2" s="19"/>
    </row>
    <row r="4" customFormat="false" ht="33.75" hidden="false" customHeight="true" outlineLevel="0" collapsed="false">
      <c r="A4" s="10" t="s">
        <v>2099</v>
      </c>
      <c r="B4" s="10" t="s">
        <v>2100</v>
      </c>
      <c r="C4" s="10" t="s">
        <v>2101</v>
      </c>
      <c r="D4" s="10" t="s">
        <v>28</v>
      </c>
    </row>
    <row r="5" customFormat="false" ht="15" hidden="false" customHeight="true" outlineLevel="0" collapsed="false">
      <c r="A5" s="20" t="s">
        <v>2102</v>
      </c>
      <c r="B5" s="20" t="s">
        <v>2103</v>
      </c>
      <c r="C5" s="20" t="s">
        <v>2104</v>
      </c>
      <c r="D5" s="22" t="s">
        <v>2105</v>
      </c>
    </row>
    <row r="6" customFormat="false" ht="26.25" hidden="false" customHeight="true" outlineLevel="0" collapsed="false">
      <c r="A6" s="21" t="s">
        <v>2106</v>
      </c>
      <c r="B6" s="21" t="s">
        <v>2107</v>
      </c>
      <c r="C6" s="21" t="s">
        <v>2108</v>
      </c>
      <c r="D6" s="24" t="s">
        <v>2105</v>
      </c>
    </row>
    <row r="7" customFormat="false" ht="26.25" hidden="false" customHeight="true" outlineLevel="0" collapsed="false">
      <c r="A7" s="20" t="s">
        <v>2109</v>
      </c>
      <c r="B7" s="20" t="s">
        <v>2110</v>
      </c>
      <c r="C7" s="20" t="s">
        <v>2111</v>
      </c>
      <c r="D7" s="22" t="s">
        <v>2105</v>
      </c>
    </row>
    <row r="8" customFormat="false" ht="26.25" hidden="false" customHeight="true" outlineLevel="0" collapsed="false">
      <c r="A8" s="21" t="s">
        <v>2112</v>
      </c>
      <c r="B8" s="21" t="s">
        <v>2113</v>
      </c>
      <c r="C8" s="21" t="s">
        <v>2114</v>
      </c>
      <c r="D8" s="24" t="s">
        <v>2105</v>
      </c>
    </row>
    <row r="9" customFormat="false" ht="26.25" hidden="false" customHeight="true" outlineLevel="0" collapsed="false">
      <c r="A9" s="20" t="s">
        <v>2115</v>
      </c>
      <c r="B9" s="20" t="s">
        <v>2116</v>
      </c>
      <c r="C9" s="20" t="s">
        <v>2117</v>
      </c>
      <c r="D9" s="22" t="s">
        <v>2105</v>
      </c>
    </row>
    <row r="10" customFormat="false" ht="26.25" hidden="false" customHeight="true" outlineLevel="0" collapsed="false">
      <c r="A10" s="21" t="s">
        <v>2118</v>
      </c>
      <c r="B10" s="21" t="s">
        <v>2119</v>
      </c>
      <c r="C10" s="21" t="s">
        <v>2120</v>
      </c>
      <c r="D10" s="24" t="s">
        <v>2121</v>
      </c>
    </row>
    <row r="11" customFormat="false" ht="26.25" hidden="false" customHeight="true" outlineLevel="0" collapsed="false">
      <c r="A11" s="20" t="s">
        <v>2122</v>
      </c>
      <c r="B11" s="20" t="s">
        <v>2123</v>
      </c>
      <c r="C11" s="20" t="s">
        <v>2124</v>
      </c>
      <c r="D11" s="22" t="s">
        <v>2125</v>
      </c>
    </row>
    <row r="12" customFormat="false" ht="15" hidden="false" customHeight="true" outlineLevel="0" collapsed="false">
      <c r="A12" s="21" t="s">
        <v>2126</v>
      </c>
      <c r="B12" s="21" t="s">
        <v>2127</v>
      </c>
      <c r="C12" s="21" t="s">
        <v>2128</v>
      </c>
      <c r="D12" s="24" t="s">
        <v>2129</v>
      </c>
    </row>
    <row r="13" customFormat="false" ht="15" hidden="false" customHeight="true" outlineLevel="0" collapsed="false">
      <c r="A13" s="20" t="s">
        <v>2130</v>
      </c>
      <c r="B13" s="20" t="s">
        <v>2131</v>
      </c>
      <c r="C13" s="20" t="s">
        <v>2132</v>
      </c>
      <c r="D13" s="22" t="s">
        <v>2121</v>
      </c>
    </row>
    <row r="14" customFormat="false" ht="15" hidden="false" customHeight="true" outlineLevel="0" collapsed="false">
      <c r="A14" s="21" t="s">
        <v>2133</v>
      </c>
      <c r="B14" s="21" t="s">
        <v>2134</v>
      </c>
      <c r="C14" s="21" t="s">
        <v>2135</v>
      </c>
      <c r="D14" s="24" t="s">
        <v>2121</v>
      </c>
    </row>
    <row r="15" customFormat="false" ht="26.25" hidden="false" customHeight="true" outlineLevel="0" collapsed="false">
      <c r="A15" s="20" t="s">
        <v>2136</v>
      </c>
      <c r="B15" s="20" t="s">
        <v>2137</v>
      </c>
      <c r="C15" s="20" t="s">
        <v>2138</v>
      </c>
      <c r="D15" s="22" t="s">
        <v>2139</v>
      </c>
    </row>
    <row r="16" customFormat="false" ht="26.25" hidden="false" customHeight="true" outlineLevel="0" collapsed="false">
      <c r="A16" s="21" t="s">
        <v>2140</v>
      </c>
      <c r="B16" s="21" t="s">
        <v>2141</v>
      </c>
      <c r="C16" s="21" t="s">
        <v>2142</v>
      </c>
      <c r="D16" s="24" t="s">
        <v>2105</v>
      </c>
    </row>
  </sheetData>
  <autoFilter ref="A4:D16"/>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8" t="s">
        <v>2143</v>
      </c>
      <c r="B1" s="8"/>
      <c r="C1" s="8"/>
      <c r="D1" s="8"/>
      <c r="E1" s="8"/>
      <c r="F1" s="8"/>
      <c r="G1" s="8"/>
      <c r="H1" s="8"/>
      <c r="I1" s="8"/>
      <c r="J1" s="8"/>
      <c r="K1" s="8"/>
      <c r="L1" s="8"/>
    </row>
    <row r="2" customFormat="false" ht="33.75" hidden="false" customHeight="true" outlineLevel="0" collapsed="false">
      <c r="A2" s="19" t="s">
        <v>2144</v>
      </c>
      <c r="B2" s="19"/>
      <c r="C2" s="19"/>
      <c r="D2" s="19"/>
      <c r="E2" s="19"/>
      <c r="F2" s="19"/>
      <c r="G2" s="19"/>
      <c r="H2" s="19"/>
      <c r="I2" s="19"/>
      <c r="J2" s="19"/>
      <c r="K2" s="19"/>
      <c r="L2" s="19"/>
    </row>
    <row r="4" customFormat="false" ht="33.75" hidden="false" customHeight="true" outlineLevel="0" collapsed="false">
      <c r="A4" s="10" t="s">
        <v>2145</v>
      </c>
      <c r="B4" s="10" t="s">
        <v>2146</v>
      </c>
      <c r="C4" s="10" t="s">
        <v>2147</v>
      </c>
      <c r="D4" s="10" t="s">
        <v>2148</v>
      </c>
      <c r="E4" s="10" t="s">
        <v>2149</v>
      </c>
      <c r="F4" s="10" t="s">
        <v>2150</v>
      </c>
      <c r="G4" s="10" t="s">
        <v>2151</v>
      </c>
      <c r="H4" s="10" t="s">
        <v>2152</v>
      </c>
      <c r="I4" s="10" t="s">
        <v>2153</v>
      </c>
      <c r="J4" s="10" t="s">
        <v>1444</v>
      </c>
      <c r="K4" s="10" t="s">
        <v>2154</v>
      </c>
      <c r="L4" s="10" t="s">
        <v>2155</v>
      </c>
    </row>
    <row r="5" customFormat="false" ht="26.25" hidden="false" customHeight="true" outlineLevel="0" collapsed="false">
      <c r="A5" s="20" t="s">
        <v>2156</v>
      </c>
      <c r="B5" s="20" t="s">
        <v>2157</v>
      </c>
      <c r="C5" s="20" t="s">
        <v>2158</v>
      </c>
      <c r="D5" s="23" t="s">
        <v>2159</v>
      </c>
      <c r="E5" s="20" t="s">
        <v>2160</v>
      </c>
      <c r="F5" s="22" t="s">
        <v>2161</v>
      </c>
      <c r="G5" s="20" t="s">
        <v>2162</v>
      </c>
      <c r="H5" s="20" t="s">
        <v>2163</v>
      </c>
      <c r="I5" s="22" t="s">
        <v>2164</v>
      </c>
      <c r="J5" s="22" t="s">
        <v>2165</v>
      </c>
      <c r="K5" s="20" t="s">
        <v>2166</v>
      </c>
      <c r="L5" s="23" t="s">
        <v>2167</v>
      </c>
    </row>
    <row r="6" customFormat="false" ht="26.25" hidden="false" customHeight="true" outlineLevel="0" collapsed="false">
      <c r="A6" s="21" t="s">
        <v>2168</v>
      </c>
      <c r="B6" s="21" t="s">
        <v>2169</v>
      </c>
      <c r="C6" s="21" t="s">
        <v>2170</v>
      </c>
      <c r="D6" s="25" t="s">
        <v>2171</v>
      </c>
      <c r="E6" s="21" t="s">
        <v>2172</v>
      </c>
      <c r="F6" s="24" t="s">
        <v>2173</v>
      </c>
      <c r="G6" s="21" t="s">
        <v>2174</v>
      </c>
      <c r="H6" s="21" t="s">
        <v>2175</v>
      </c>
      <c r="I6" s="24" t="s">
        <v>2164</v>
      </c>
      <c r="J6" s="24" t="s">
        <v>2176</v>
      </c>
      <c r="K6" s="21" t="s">
        <v>2177</v>
      </c>
      <c r="L6" s="25" t="s">
        <v>2178</v>
      </c>
    </row>
    <row r="7" customFormat="false" ht="26.25" hidden="false" customHeight="true" outlineLevel="0" collapsed="false">
      <c r="A7" s="20" t="s">
        <v>2179</v>
      </c>
      <c r="B7" s="20" t="s">
        <v>2180</v>
      </c>
      <c r="C7" s="20" t="s">
        <v>2181</v>
      </c>
      <c r="D7" s="23" t="s">
        <v>2182</v>
      </c>
      <c r="E7" s="20" t="s">
        <v>2183</v>
      </c>
      <c r="F7" s="22" t="s">
        <v>2184</v>
      </c>
      <c r="G7" s="20" t="s">
        <v>2185</v>
      </c>
      <c r="H7" s="20" t="s">
        <v>2186</v>
      </c>
      <c r="I7" s="22" t="s">
        <v>2164</v>
      </c>
      <c r="J7" s="22" t="s">
        <v>2187</v>
      </c>
      <c r="K7" s="20" t="s">
        <v>2188</v>
      </c>
      <c r="L7" s="23" t="s">
        <v>2189</v>
      </c>
    </row>
    <row r="8" customFormat="false" ht="26.25" hidden="false" customHeight="true" outlineLevel="0" collapsed="false">
      <c r="A8" s="21" t="s">
        <v>2190</v>
      </c>
      <c r="B8" s="21" t="s">
        <v>2191</v>
      </c>
      <c r="C8" s="21" t="s">
        <v>2192</v>
      </c>
      <c r="D8" s="25" t="s">
        <v>2193</v>
      </c>
      <c r="E8" s="21" t="s">
        <v>2194</v>
      </c>
      <c r="F8" s="24" t="s">
        <v>2195</v>
      </c>
      <c r="G8" s="21" t="s">
        <v>2196</v>
      </c>
      <c r="H8" s="21" t="s">
        <v>2197</v>
      </c>
      <c r="I8" s="24" t="s">
        <v>2164</v>
      </c>
      <c r="J8" s="24" t="s">
        <v>2198</v>
      </c>
      <c r="K8" s="21" t="s">
        <v>2199</v>
      </c>
      <c r="L8" s="25" t="s">
        <v>2200</v>
      </c>
    </row>
    <row r="9" customFormat="false" ht="26.25" hidden="false" customHeight="true" outlineLevel="0" collapsed="false">
      <c r="A9" s="20" t="s">
        <v>2201</v>
      </c>
      <c r="B9" s="20" t="s">
        <v>2202</v>
      </c>
      <c r="C9" s="20" t="s">
        <v>2203</v>
      </c>
      <c r="D9" s="23" t="s">
        <v>2204</v>
      </c>
      <c r="E9" s="20" t="s">
        <v>2205</v>
      </c>
      <c r="F9" s="22" t="s">
        <v>2206</v>
      </c>
      <c r="G9" s="20" t="s">
        <v>2207</v>
      </c>
      <c r="H9" s="20" t="s">
        <v>2208</v>
      </c>
      <c r="I9" s="22" t="s">
        <v>2209</v>
      </c>
      <c r="J9" s="22" t="s">
        <v>2210</v>
      </c>
      <c r="K9" s="20" t="s">
        <v>2211</v>
      </c>
      <c r="L9" s="23" t="s">
        <v>2212</v>
      </c>
    </row>
    <row r="10" customFormat="false" ht="26.25" hidden="false" customHeight="true" outlineLevel="0" collapsed="false">
      <c r="A10" s="21" t="s">
        <v>2213</v>
      </c>
      <c r="B10" s="21" t="s">
        <v>2214</v>
      </c>
      <c r="C10" s="21" t="s">
        <v>2215</v>
      </c>
      <c r="D10" s="25" t="s">
        <v>2216</v>
      </c>
      <c r="E10" s="21" t="s">
        <v>2205</v>
      </c>
      <c r="F10" s="24" t="s">
        <v>2217</v>
      </c>
      <c r="G10" s="21" t="s">
        <v>2218</v>
      </c>
      <c r="H10" s="21" t="s">
        <v>2219</v>
      </c>
      <c r="I10" s="24" t="s">
        <v>2209</v>
      </c>
      <c r="J10" s="24" t="s">
        <v>2220</v>
      </c>
      <c r="K10" s="21" t="s">
        <v>2221</v>
      </c>
      <c r="L10" s="25" t="s">
        <v>2222</v>
      </c>
    </row>
    <row r="11" customFormat="false" ht="26.25" hidden="false" customHeight="true" outlineLevel="0" collapsed="false">
      <c r="A11" s="20" t="s">
        <v>2223</v>
      </c>
      <c r="B11" s="20" t="s">
        <v>2224</v>
      </c>
      <c r="C11" s="20" t="s">
        <v>2225</v>
      </c>
      <c r="D11" s="23" t="s">
        <v>2226</v>
      </c>
      <c r="E11" s="20" t="s">
        <v>2227</v>
      </c>
      <c r="F11" s="22" t="s">
        <v>2228</v>
      </c>
      <c r="G11" s="20" t="s">
        <v>2229</v>
      </c>
      <c r="H11" s="20" t="s">
        <v>2230</v>
      </c>
      <c r="I11" s="22" t="s">
        <v>2209</v>
      </c>
      <c r="J11" s="22" t="s">
        <v>2231</v>
      </c>
      <c r="K11" s="20" t="s">
        <v>2232</v>
      </c>
      <c r="L11" s="23" t="s">
        <v>2233</v>
      </c>
    </row>
    <row r="12" customFormat="false" ht="26.25" hidden="false" customHeight="true" outlineLevel="0" collapsed="false">
      <c r="A12" s="21" t="s">
        <v>2234</v>
      </c>
      <c r="B12" s="21" t="s">
        <v>2235</v>
      </c>
      <c r="C12" s="21" t="s">
        <v>2236</v>
      </c>
      <c r="D12" s="25" t="s">
        <v>2237</v>
      </c>
      <c r="E12" s="21" t="s">
        <v>2238</v>
      </c>
      <c r="F12" s="24" t="s">
        <v>2239</v>
      </c>
      <c r="G12" s="21" t="s">
        <v>2240</v>
      </c>
      <c r="H12" s="21" t="s">
        <v>2241</v>
      </c>
      <c r="I12" s="24" t="s">
        <v>2209</v>
      </c>
      <c r="J12" s="24" t="s">
        <v>2242</v>
      </c>
      <c r="K12" s="21" t="s">
        <v>2243</v>
      </c>
      <c r="L12" s="25" t="s">
        <v>2244</v>
      </c>
    </row>
    <row r="13" customFormat="false" ht="26.25" hidden="false" customHeight="true" outlineLevel="0" collapsed="false">
      <c r="A13" s="20" t="s">
        <v>2245</v>
      </c>
      <c r="B13" s="20" t="s">
        <v>2246</v>
      </c>
      <c r="C13" s="20" t="s">
        <v>2247</v>
      </c>
      <c r="D13" s="23" t="s">
        <v>2248</v>
      </c>
      <c r="E13" s="20" t="s">
        <v>2249</v>
      </c>
      <c r="F13" s="22" t="s">
        <v>2250</v>
      </c>
      <c r="G13" s="20" t="s">
        <v>2251</v>
      </c>
      <c r="H13" s="20" t="s">
        <v>2252</v>
      </c>
      <c r="I13" s="22" t="s">
        <v>2209</v>
      </c>
      <c r="J13" s="22" t="s">
        <v>2253</v>
      </c>
      <c r="K13" s="20" t="s">
        <v>2254</v>
      </c>
      <c r="L13" s="23" t="s">
        <v>2255</v>
      </c>
    </row>
    <row r="14" customFormat="false" ht="26.25" hidden="false" customHeight="true" outlineLevel="0" collapsed="false">
      <c r="A14" s="21" t="s">
        <v>2256</v>
      </c>
      <c r="B14" s="21" t="s">
        <v>2257</v>
      </c>
      <c r="C14" s="21" t="s">
        <v>2258</v>
      </c>
      <c r="D14" s="25" t="s">
        <v>2259</v>
      </c>
      <c r="E14" s="21" t="s">
        <v>2260</v>
      </c>
      <c r="F14" s="24" t="s">
        <v>2261</v>
      </c>
      <c r="G14" s="21" t="s">
        <v>2262</v>
      </c>
      <c r="H14" s="21" t="s">
        <v>2263</v>
      </c>
      <c r="I14" s="24" t="s">
        <v>2209</v>
      </c>
      <c r="J14" s="24" t="s">
        <v>2264</v>
      </c>
      <c r="K14" s="21" t="s">
        <v>2265</v>
      </c>
      <c r="L14" s="25" t="s">
        <v>2266</v>
      </c>
    </row>
    <row r="15" customFormat="false" ht="26.25" hidden="false" customHeight="true" outlineLevel="0" collapsed="false">
      <c r="A15" s="20" t="s">
        <v>2267</v>
      </c>
      <c r="B15" s="20" t="s">
        <v>2268</v>
      </c>
      <c r="C15" s="20" t="s">
        <v>2269</v>
      </c>
      <c r="D15" s="23" t="s">
        <v>2270</v>
      </c>
      <c r="E15" s="20" t="s">
        <v>2271</v>
      </c>
      <c r="F15" s="22" t="s">
        <v>2272</v>
      </c>
      <c r="G15" s="20" t="s">
        <v>2273</v>
      </c>
      <c r="H15" s="20" t="s">
        <v>2274</v>
      </c>
      <c r="I15" s="22" t="s">
        <v>2275</v>
      </c>
      <c r="J15" s="22" t="s">
        <v>2276</v>
      </c>
      <c r="K15" s="20" t="s">
        <v>2277</v>
      </c>
      <c r="L15" s="23" t="s">
        <v>2278</v>
      </c>
    </row>
    <row r="16" customFormat="false" ht="26.25" hidden="false" customHeight="true" outlineLevel="0" collapsed="false">
      <c r="A16" s="21" t="s">
        <v>2279</v>
      </c>
      <c r="B16" s="21" t="s">
        <v>2280</v>
      </c>
      <c r="C16" s="21" t="s">
        <v>2281</v>
      </c>
      <c r="D16" s="25" t="s">
        <v>2282</v>
      </c>
      <c r="E16" s="21" t="s">
        <v>2271</v>
      </c>
      <c r="F16" s="24" t="s">
        <v>2283</v>
      </c>
      <c r="G16" s="21" t="s">
        <v>2284</v>
      </c>
      <c r="H16" s="21" t="s">
        <v>2285</v>
      </c>
      <c r="I16" s="24" t="s">
        <v>2275</v>
      </c>
      <c r="J16" s="24" t="s">
        <v>2286</v>
      </c>
      <c r="K16" s="21" t="s">
        <v>2287</v>
      </c>
      <c r="L16" s="25" t="s">
        <v>2288</v>
      </c>
    </row>
    <row r="17" customFormat="false" ht="26.25" hidden="false" customHeight="true" outlineLevel="0" collapsed="false">
      <c r="A17" s="20" t="s">
        <v>2289</v>
      </c>
      <c r="B17" s="20" t="s">
        <v>2290</v>
      </c>
      <c r="C17" s="20" t="s">
        <v>2291</v>
      </c>
      <c r="D17" s="23" t="s">
        <v>2292</v>
      </c>
      <c r="E17" s="20" t="s">
        <v>2271</v>
      </c>
      <c r="F17" s="22" t="s">
        <v>2283</v>
      </c>
      <c r="G17" s="20" t="s">
        <v>2293</v>
      </c>
      <c r="H17" s="20" t="s">
        <v>2285</v>
      </c>
      <c r="I17" s="22" t="s">
        <v>2275</v>
      </c>
      <c r="J17" s="22" t="s">
        <v>2294</v>
      </c>
      <c r="K17" s="20" t="s">
        <v>2295</v>
      </c>
      <c r="L17" s="23" t="s">
        <v>2296</v>
      </c>
    </row>
  </sheetData>
  <autoFilter ref="A4:L17"/>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8" t="s">
        <v>2297</v>
      </c>
      <c r="B1" s="8"/>
      <c r="C1" s="8"/>
      <c r="D1" s="8"/>
      <c r="E1" s="8"/>
      <c r="F1" s="8"/>
      <c r="G1" s="8"/>
      <c r="H1" s="8"/>
      <c r="I1" s="8"/>
      <c r="J1" s="8"/>
      <c r="K1" s="8"/>
      <c r="L1" s="8"/>
    </row>
    <row r="2" customFormat="false" ht="33.75" hidden="false" customHeight="true" outlineLevel="0" collapsed="false">
      <c r="A2" s="19" t="s">
        <v>2298</v>
      </c>
      <c r="B2" s="19"/>
      <c r="C2" s="19"/>
      <c r="D2" s="19"/>
      <c r="E2" s="19"/>
      <c r="F2" s="19"/>
      <c r="G2" s="19"/>
      <c r="H2" s="19"/>
      <c r="I2" s="19"/>
      <c r="J2" s="19"/>
      <c r="K2" s="19"/>
      <c r="L2" s="19"/>
    </row>
    <row r="4" customFormat="false" ht="33.75" hidden="false" customHeight="true" outlineLevel="0" collapsed="false">
      <c r="A4" s="10" t="s">
        <v>2299</v>
      </c>
      <c r="B4" s="10" t="s">
        <v>2145</v>
      </c>
      <c r="C4" s="10" t="s">
        <v>2300</v>
      </c>
      <c r="D4" s="10" t="s">
        <v>2301</v>
      </c>
      <c r="E4" s="10" t="s">
        <v>2302</v>
      </c>
      <c r="F4" s="10" t="s">
        <v>2303</v>
      </c>
      <c r="G4" s="10" t="s">
        <v>2304</v>
      </c>
      <c r="H4" s="10" t="s">
        <v>2305</v>
      </c>
      <c r="I4" s="10" t="s">
        <v>1444</v>
      </c>
      <c r="J4" s="10" t="s">
        <v>2306</v>
      </c>
      <c r="K4" s="10" t="s">
        <v>2307</v>
      </c>
      <c r="L4" s="10" t="s">
        <v>2308</v>
      </c>
    </row>
    <row r="5" customFormat="false" ht="26.25" hidden="false" customHeight="true" outlineLevel="0" collapsed="false">
      <c r="A5" s="20" t="s">
        <v>2309</v>
      </c>
      <c r="B5" s="23" t="s">
        <v>2156</v>
      </c>
      <c r="C5" s="23" t="s">
        <v>2310</v>
      </c>
      <c r="D5" s="20" t="s">
        <v>2311</v>
      </c>
      <c r="E5" s="20" t="s">
        <v>2312</v>
      </c>
      <c r="F5" s="20" t="s">
        <v>2313</v>
      </c>
      <c r="G5" s="20" t="s">
        <v>2314</v>
      </c>
      <c r="H5" s="22" t="s">
        <v>2315</v>
      </c>
      <c r="I5" s="22" t="s">
        <v>2316</v>
      </c>
      <c r="J5" s="22" t="s">
        <v>2317</v>
      </c>
      <c r="K5" s="20" t="s">
        <v>2318</v>
      </c>
      <c r="L5" s="22" t="s">
        <v>2319</v>
      </c>
    </row>
    <row r="6" customFormat="false" ht="26.25" hidden="false" customHeight="true" outlineLevel="0" collapsed="false">
      <c r="A6" s="21" t="s">
        <v>2320</v>
      </c>
      <c r="B6" s="25" t="s">
        <v>2156</v>
      </c>
      <c r="C6" s="25" t="s">
        <v>2321</v>
      </c>
      <c r="D6" s="21" t="s">
        <v>2322</v>
      </c>
      <c r="E6" s="21" t="s">
        <v>2323</v>
      </c>
      <c r="F6" s="21" t="s">
        <v>2324</v>
      </c>
      <c r="G6" s="21" t="s">
        <v>2325</v>
      </c>
      <c r="H6" s="24" t="s">
        <v>2315</v>
      </c>
      <c r="I6" s="24" t="s">
        <v>2316</v>
      </c>
      <c r="J6" s="24" t="s">
        <v>2317</v>
      </c>
      <c r="K6" s="21" t="s">
        <v>2326</v>
      </c>
      <c r="L6" s="24" t="s">
        <v>2327</v>
      </c>
    </row>
    <row r="7" customFormat="false" ht="26.25" hidden="false" customHeight="true" outlineLevel="0" collapsed="false">
      <c r="A7" s="20" t="s">
        <v>2328</v>
      </c>
      <c r="B7" s="23" t="s">
        <v>2156</v>
      </c>
      <c r="C7" s="23" t="s">
        <v>2310</v>
      </c>
      <c r="D7" s="20" t="s">
        <v>2329</v>
      </c>
      <c r="E7" s="20" t="s">
        <v>2330</v>
      </c>
      <c r="F7" s="20" t="s">
        <v>2331</v>
      </c>
      <c r="G7" s="20" t="s">
        <v>2332</v>
      </c>
      <c r="H7" s="22" t="s">
        <v>1487</v>
      </c>
      <c r="I7" s="22" t="s">
        <v>2316</v>
      </c>
      <c r="J7" s="22" t="s">
        <v>2333</v>
      </c>
      <c r="K7" s="20" t="s">
        <v>2334</v>
      </c>
      <c r="L7" s="22" t="s">
        <v>2335</v>
      </c>
    </row>
    <row r="8" customFormat="false" ht="26.25" hidden="false" customHeight="true" outlineLevel="0" collapsed="false">
      <c r="A8" s="21" t="s">
        <v>2336</v>
      </c>
      <c r="B8" s="25" t="s">
        <v>2156</v>
      </c>
      <c r="C8" s="25" t="s">
        <v>2337</v>
      </c>
      <c r="D8" s="21" t="s">
        <v>2338</v>
      </c>
      <c r="E8" s="21" t="s">
        <v>2339</v>
      </c>
      <c r="F8" s="21" t="s">
        <v>2340</v>
      </c>
      <c r="G8" s="21" t="s">
        <v>2341</v>
      </c>
      <c r="H8" s="24" t="s">
        <v>1487</v>
      </c>
      <c r="I8" s="24" t="s">
        <v>2316</v>
      </c>
      <c r="J8" s="24" t="s">
        <v>2342</v>
      </c>
      <c r="K8" s="21" t="s">
        <v>2343</v>
      </c>
      <c r="L8" s="24" t="s">
        <v>2344</v>
      </c>
    </row>
    <row r="9" customFormat="false" ht="26.25" hidden="false" customHeight="true" outlineLevel="0" collapsed="false">
      <c r="A9" s="20" t="s">
        <v>2345</v>
      </c>
      <c r="B9" s="23" t="s">
        <v>2156</v>
      </c>
      <c r="C9" s="23" t="s">
        <v>2346</v>
      </c>
      <c r="D9" s="20" t="s">
        <v>2347</v>
      </c>
      <c r="E9" s="20" t="s">
        <v>2348</v>
      </c>
      <c r="F9" s="20" t="s">
        <v>2349</v>
      </c>
      <c r="G9" s="20" t="s">
        <v>2350</v>
      </c>
      <c r="H9" s="22" t="s">
        <v>1487</v>
      </c>
      <c r="I9" s="22" t="s">
        <v>2316</v>
      </c>
      <c r="J9" s="22" t="s">
        <v>2351</v>
      </c>
      <c r="K9" s="20" t="s">
        <v>2352</v>
      </c>
      <c r="L9" s="22" t="s">
        <v>2353</v>
      </c>
    </row>
    <row r="10" customFormat="false" ht="26.25" hidden="false" customHeight="true" outlineLevel="0" collapsed="false">
      <c r="A10" s="21" t="s">
        <v>2354</v>
      </c>
      <c r="B10" s="25" t="s">
        <v>2156</v>
      </c>
      <c r="C10" s="25" t="s">
        <v>2337</v>
      </c>
      <c r="D10" s="21" t="s">
        <v>2355</v>
      </c>
      <c r="E10" s="21" t="s">
        <v>2356</v>
      </c>
      <c r="F10" s="21" t="s">
        <v>2357</v>
      </c>
      <c r="G10" s="21" t="s">
        <v>2358</v>
      </c>
      <c r="H10" s="24" t="s">
        <v>2315</v>
      </c>
      <c r="I10" s="24" t="s">
        <v>2316</v>
      </c>
      <c r="J10" s="24" t="s">
        <v>2317</v>
      </c>
      <c r="K10" s="21" t="s">
        <v>2359</v>
      </c>
      <c r="L10" s="24" t="s">
        <v>2360</v>
      </c>
    </row>
    <row r="11" customFormat="false" ht="26.25" hidden="false" customHeight="true" outlineLevel="0" collapsed="false">
      <c r="A11" s="20" t="s">
        <v>2361</v>
      </c>
      <c r="B11" s="23" t="s">
        <v>2156</v>
      </c>
      <c r="C11" s="23" t="s">
        <v>2362</v>
      </c>
      <c r="D11" s="20" t="s">
        <v>63</v>
      </c>
      <c r="E11" s="20" t="s">
        <v>2363</v>
      </c>
      <c r="F11" s="20" t="s">
        <v>2364</v>
      </c>
      <c r="G11" s="20" t="s">
        <v>2365</v>
      </c>
      <c r="H11" s="22" t="s">
        <v>1487</v>
      </c>
      <c r="I11" s="22" t="s">
        <v>2316</v>
      </c>
      <c r="J11" s="22" t="s">
        <v>2366</v>
      </c>
      <c r="K11" s="20" t="s">
        <v>2367</v>
      </c>
      <c r="L11" s="22" t="s">
        <v>2368</v>
      </c>
    </row>
    <row r="12" customFormat="false" ht="26.25" hidden="false" customHeight="true" outlineLevel="0" collapsed="false">
      <c r="A12" s="21" t="s">
        <v>2369</v>
      </c>
      <c r="B12" s="25" t="s">
        <v>2156</v>
      </c>
      <c r="C12" s="25" t="s">
        <v>2370</v>
      </c>
      <c r="D12" s="21" t="s">
        <v>2371</v>
      </c>
      <c r="E12" s="21" t="s">
        <v>2372</v>
      </c>
      <c r="F12" s="21" t="s">
        <v>2373</v>
      </c>
      <c r="G12" s="21" t="s">
        <v>2374</v>
      </c>
      <c r="H12" s="24" t="s">
        <v>2315</v>
      </c>
      <c r="I12" s="24" t="s">
        <v>2316</v>
      </c>
      <c r="J12" s="24" t="s">
        <v>2351</v>
      </c>
      <c r="K12" s="21" t="s">
        <v>2375</v>
      </c>
      <c r="L12" s="24" t="s">
        <v>2376</v>
      </c>
    </row>
    <row r="13" customFormat="false" ht="26.25" hidden="false" customHeight="true" outlineLevel="0" collapsed="false">
      <c r="A13" s="20" t="s">
        <v>2377</v>
      </c>
      <c r="B13" s="23" t="s">
        <v>2168</v>
      </c>
      <c r="C13" s="23" t="s">
        <v>2378</v>
      </c>
      <c r="D13" s="20" t="s">
        <v>1670</v>
      </c>
      <c r="E13" s="20" t="s">
        <v>2379</v>
      </c>
      <c r="F13" s="20" t="s">
        <v>2380</v>
      </c>
      <c r="G13" s="20" t="s">
        <v>2381</v>
      </c>
      <c r="H13" s="22" t="s">
        <v>2315</v>
      </c>
      <c r="I13" s="22" t="s">
        <v>2316</v>
      </c>
      <c r="J13" s="22" t="s">
        <v>2317</v>
      </c>
      <c r="K13" s="20" t="s">
        <v>2382</v>
      </c>
      <c r="L13" s="22" t="s">
        <v>2383</v>
      </c>
    </row>
    <row r="14" customFormat="false" ht="26.25" hidden="false" customHeight="true" outlineLevel="0" collapsed="false">
      <c r="A14" s="21" t="s">
        <v>2384</v>
      </c>
      <c r="B14" s="25" t="s">
        <v>2168</v>
      </c>
      <c r="C14" s="25" t="s">
        <v>2385</v>
      </c>
      <c r="D14" s="21" t="s">
        <v>2322</v>
      </c>
      <c r="E14" s="21" t="s">
        <v>2386</v>
      </c>
      <c r="F14" s="21" t="s">
        <v>2387</v>
      </c>
      <c r="G14" s="21" t="s">
        <v>2388</v>
      </c>
      <c r="H14" s="24" t="s">
        <v>1456</v>
      </c>
      <c r="I14" s="24" t="s">
        <v>2316</v>
      </c>
      <c r="J14" s="24" t="s">
        <v>2389</v>
      </c>
      <c r="K14" s="21" t="s">
        <v>2390</v>
      </c>
      <c r="L14" s="24" t="s">
        <v>2391</v>
      </c>
    </row>
    <row r="15" customFormat="false" ht="26.25" hidden="false" customHeight="true" outlineLevel="0" collapsed="false">
      <c r="A15" s="20" t="s">
        <v>2392</v>
      </c>
      <c r="B15" s="23" t="s">
        <v>2168</v>
      </c>
      <c r="C15" s="23" t="s">
        <v>2393</v>
      </c>
      <c r="D15" s="20" t="s">
        <v>2394</v>
      </c>
      <c r="E15" s="20" t="s">
        <v>2395</v>
      </c>
      <c r="F15" s="20" t="s">
        <v>2396</v>
      </c>
      <c r="G15" s="20" t="s">
        <v>2397</v>
      </c>
      <c r="H15" s="22" t="s">
        <v>1487</v>
      </c>
      <c r="I15" s="22" t="s">
        <v>2316</v>
      </c>
      <c r="J15" s="22" t="s">
        <v>2398</v>
      </c>
      <c r="K15" s="20" t="s">
        <v>2399</v>
      </c>
      <c r="L15" s="22" t="s">
        <v>2400</v>
      </c>
    </row>
    <row r="16" customFormat="false" ht="26.25" hidden="false" customHeight="true" outlineLevel="0" collapsed="false">
      <c r="A16" s="21" t="s">
        <v>2401</v>
      </c>
      <c r="B16" s="25" t="s">
        <v>2168</v>
      </c>
      <c r="C16" s="25" t="s">
        <v>2402</v>
      </c>
      <c r="D16" s="21" t="s">
        <v>2403</v>
      </c>
      <c r="E16" s="21" t="s">
        <v>2404</v>
      </c>
      <c r="F16" s="21" t="s">
        <v>2405</v>
      </c>
      <c r="G16" s="21" t="s">
        <v>2406</v>
      </c>
      <c r="H16" s="24" t="s">
        <v>1456</v>
      </c>
      <c r="I16" s="24" t="s">
        <v>2316</v>
      </c>
      <c r="J16" s="24" t="s">
        <v>2407</v>
      </c>
      <c r="K16" s="21" t="s">
        <v>2408</v>
      </c>
      <c r="L16" s="24" t="s">
        <v>2409</v>
      </c>
    </row>
    <row r="17" customFormat="false" ht="26.25" hidden="false" customHeight="true" outlineLevel="0" collapsed="false">
      <c r="A17" s="20" t="s">
        <v>2410</v>
      </c>
      <c r="B17" s="23" t="s">
        <v>2168</v>
      </c>
      <c r="C17" s="23" t="s">
        <v>2411</v>
      </c>
      <c r="D17" s="20" t="s">
        <v>2412</v>
      </c>
      <c r="E17" s="20" t="s">
        <v>2413</v>
      </c>
      <c r="F17" s="20" t="s">
        <v>2414</v>
      </c>
      <c r="G17" s="20" t="s">
        <v>2415</v>
      </c>
      <c r="H17" s="22" t="s">
        <v>1487</v>
      </c>
      <c r="I17" s="22" t="s">
        <v>2316</v>
      </c>
      <c r="J17" s="22" t="s">
        <v>2342</v>
      </c>
      <c r="K17" s="20" t="s">
        <v>2416</v>
      </c>
      <c r="L17" s="22" t="s">
        <v>2417</v>
      </c>
    </row>
    <row r="18" customFormat="false" ht="26.25" hidden="false" customHeight="true" outlineLevel="0" collapsed="false">
      <c r="A18" s="21" t="s">
        <v>2418</v>
      </c>
      <c r="B18" s="25" t="s">
        <v>2168</v>
      </c>
      <c r="C18" s="25" t="s">
        <v>2419</v>
      </c>
      <c r="D18" s="21" t="s">
        <v>2420</v>
      </c>
      <c r="E18" s="21" t="s">
        <v>2421</v>
      </c>
      <c r="F18" s="21" t="s">
        <v>2422</v>
      </c>
      <c r="G18" s="21" t="s">
        <v>2423</v>
      </c>
      <c r="H18" s="24" t="s">
        <v>2315</v>
      </c>
      <c r="I18" s="24" t="s">
        <v>2316</v>
      </c>
      <c r="J18" s="24" t="s">
        <v>2351</v>
      </c>
      <c r="K18" s="21" t="s">
        <v>2424</v>
      </c>
      <c r="L18" s="24" t="s">
        <v>2425</v>
      </c>
    </row>
    <row r="19" customFormat="false" ht="26.25" hidden="false" customHeight="true" outlineLevel="0" collapsed="false">
      <c r="A19" s="20" t="s">
        <v>2426</v>
      </c>
      <c r="B19" s="23" t="s">
        <v>2168</v>
      </c>
      <c r="C19" s="23" t="s">
        <v>2427</v>
      </c>
      <c r="D19" s="20" t="s">
        <v>2428</v>
      </c>
      <c r="E19" s="20" t="s">
        <v>2429</v>
      </c>
      <c r="F19" s="20" t="s">
        <v>2430</v>
      </c>
      <c r="G19" s="20" t="s">
        <v>2431</v>
      </c>
      <c r="H19" s="22" t="s">
        <v>2315</v>
      </c>
      <c r="I19" s="22" t="s">
        <v>2316</v>
      </c>
      <c r="J19" s="22" t="s">
        <v>2317</v>
      </c>
      <c r="K19" s="20" t="s">
        <v>2432</v>
      </c>
      <c r="L19" s="22" t="s">
        <v>2433</v>
      </c>
    </row>
    <row r="20" customFormat="false" ht="26.25" hidden="false" customHeight="true" outlineLevel="0" collapsed="false">
      <c r="A20" s="21" t="s">
        <v>2434</v>
      </c>
      <c r="B20" s="25" t="s">
        <v>2168</v>
      </c>
      <c r="C20" s="25" t="s">
        <v>2435</v>
      </c>
      <c r="D20" s="21" t="s">
        <v>2322</v>
      </c>
      <c r="E20" s="21" t="s">
        <v>2436</v>
      </c>
      <c r="F20" s="21" t="s">
        <v>2437</v>
      </c>
      <c r="G20" s="21" t="s">
        <v>2438</v>
      </c>
      <c r="H20" s="24" t="s">
        <v>2315</v>
      </c>
      <c r="I20" s="24" t="s">
        <v>2316</v>
      </c>
      <c r="J20" s="24" t="s">
        <v>2317</v>
      </c>
      <c r="K20" s="21" t="s">
        <v>2439</v>
      </c>
      <c r="L20" s="24" t="s">
        <v>2440</v>
      </c>
    </row>
    <row r="21" customFormat="false" ht="26.25" hidden="false" customHeight="true" outlineLevel="0" collapsed="false">
      <c r="A21" s="20" t="s">
        <v>2441</v>
      </c>
      <c r="B21" s="23" t="s">
        <v>2179</v>
      </c>
      <c r="C21" s="23" t="s">
        <v>2442</v>
      </c>
      <c r="D21" s="20" t="s">
        <v>2443</v>
      </c>
      <c r="E21" s="20" t="s">
        <v>2444</v>
      </c>
      <c r="F21" s="20" t="s">
        <v>2445</v>
      </c>
      <c r="G21" s="20" t="s">
        <v>2446</v>
      </c>
      <c r="H21" s="22" t="s">
        <v>2315</v>
      </c>
      <c r="I21" s="22" t="s">
        <v>2316</v>
      </c>
      <c r="J21" s="22" t="s">
        <v>2447</v>
      </c>
      <c r="K21" s="20" t="s">
        <v>2448</v>
      </c>
      <c r="L21" s="22" t="s">
        <v>2449</v>
      </c>
    </row>
    <row r="22" customFormat="false" ht="26.25" hidden="false" customHeight="true" outlineLevel="0" collapsed="false">
      <c r="A22" s="21" t="s">
        <v>2450</v>
      </c>
      <c r="B22" s="25" t="s">
        <v>2179</v>
      </c>
      <c r="C22" s="25" t="s">
        <v>2451</v>
      </c>
      <c r="D22" s="21" t="s">
        <v>1670</v>
      </c>
      <c r="E22" s="21" t="s">
        <v>2452</v>
      </c>
      <c r="F22" s="21" t="s">
        <v>2453</v>
      </c>
      <c r="G22" s="21" t="s">
        <v>2454</v>
      </c>
      <c r="H22" s="24" t="s">
        <v>2315</v>
      </c>
      <c r="I22" s="24" t="s">
        <v>2316</v>
      </c>
      <c r="J22" s="24" t="s">
        <v>2317</v>
      </c>
      <c r="K22" s="21" t="s">
        <v>2382</v>
      </c>
      <c r="L22" s="24" t="s">
        <v>2455</v>
      </c>
    </row>
    <row r="23" customFormat="false" ht="26.25" hidden="false" customHeight="true" outlineLevel="0" collapsed="false">
      <c r="A23" s="20" t="s">
        <v>2456</v>
      </c>
      <c r="B23" s="23" t="s">
        <v>2179</v>
      </c>
      <c r="C23" s="23" t="s">
        <v>2457</v>
      </c>
      <c r="D23" s="20" t="s">
        <v>2458</v>
      </c>
      <c r="E23" s="20" t="s">
        <v>2459</v>
      </c>
      <c r="F23" s="20" t="s">
        <v>2460</v>
      </c>
      <c r="G23" s="20" t="s">
        <v>2461</v>
      </c>
      <c r="H23" s="22" t="s">
        <v>2315</v>
      </c>
      <c r="I23" s="22" t="s">
        <v>2316</v>
      </c>
      <c r="J23" s="22" t="s">
        <v>2351</v>
      </c>
      <c r="K23" s="20" t="s">
        <v>2462</v>
      </c>
      <c r="L23" s="22" t="s">
        <v>2463</v>
      </c>
    </row>
    <row r="24" customFormat="false" ht="26.25" hidden="false" customHeight="true" outlineLevel="0" collapsed="false">
      <c r="A24" s="21" t="s">
        <v>2464</v>
      </c>
      <c r="B24" s="25" t="s">
        <v>2179</v>
      </c>
      <c r="C24" s="25" t="s">
        <v>2465</v>
      </c>
      <c r="D24" s="21" t="s">
        <v>2322</v>
      </c>
      <c r="E24" s="21" t="s">
        <v>2466</v>
      </c>
      <c r="F24" s="21" t="s">
        <v>2467</v>
      </c>
      <c r="G24" s="21" t="s">
        <v>2468</v>
      </c>
      <c r="H24" s="24" t="s">
        <v>2315</v>
      </c>
      <c r="I24" s="24" t="s">
        <v>2316</v>
      </c>
      <c r="J24" s="24" t="s">
        <v>2317</v>
      </c>
      <c r="K24" s="21" t="s">
        <v>2469</v>
      </c>
      <c r="L24" s="24" t="s">
        <v>2470</v>
      </c>
    </row>
    <row r="25" customFormat="false" ht="26.25" hidden="false" customHeight="true" outlineLevel="0" collapsed="false">
      <c r="A25" s="20" t="s">
        <v>2471</v>
      </c>
      <c r="B25" s="23" t="s">
        <v>2179</v>
      </c>
      <c r="C25" s="23" t="s">
        <v>2472</v>
      </c>
      <c r="D25" s="20" t="s">
        <v>2473</v>
      </c>
      <c r="E25" s="20" t="s">
        <v>2474</v>
      </c>
      <c r="F25" s="20" t="s">
        <v>2475</v>
      </c>
      <c r="G25" s="20" t="s">
        <v>2476</v>
      </c>
      <c r="H25" s="22" t="s">
        <v>2315</v>
      </c>
      <c r="I25" s="22" t="s">
        <v>2316</v>
      </c>
      <c r="J25" s="22" t="s">
        <v>2477</v>
      </c>
      <c r="K25" s="20" t="s">
        <v>2478</v>
      </c>
      <c r="L25" s="22" t="s">
        <v>2479</v>
      </c>
    </row>
    <row r="26" customFormat="false" ht="39" hidden="false" customHeight="true" outlineLevel="0" collapsed="false">
      <c r="A26" s="21" t="s">
        <v>2480</v>
      </c>
      <c r="B26" s="25" t="s">
        <v>2179</v>
      </c>
      <c r="C26" s="25" t="s">
        <v>2481</v>
      </c>
      <c r="D26" s="21" t="s">
        <v>2482</v>
      </c>
      <c r="E26" s="21" t="s">
        <v>2483</v>
      </c>
      <c r="F26" s="21" t="s">
        <v>2484</v>
      </c>
      <c r="G26" s="21" t="s">
        <v>2485</v>
      </c>
      <c r="H26" s="24" t="s">
        <v>2315</v>
      </c>
      <c r="I26" s="24" t="s">
        <v>2316</v>
      </c>
      <c r="J26" s="24" t="s">
        <v>2486</v>
      </c>
      <c r="K26" s="21" t="s">
        <v>2487</v>
      </c>
      <c r="L26" s="24" t="s">
        <v>2488</v>
      </c>
    </row>
    <row r="27" customFormat="false" ht="26.25" hidden="false" customHeight="true" outlineLevel="0" collapsed="false">
      <c r="A27" s="20" t="s">
        <v>2489</v>
      </c>
      <c r="B27" s="23" t="s">
        <v>2190</v>
      </c>
      <c r="C27" s="23" t="s">
        <v>2490</v>
      </c>
      <c r="D27" s="20" t="s">
        <v>2412</v>
      </c>
      <c r="E27" s="20" t="s">
        <v>2491</v>
      </c>
      <c r="F27" s="20" t="s">
        <v>2492</v>
      </c>
      <c r="G27" s="20" t="s">
        <v>2493</v>
      </c>
      <c r="H27" s="22" t="s">
        <v>2315</v>
      </c>
      <c r="I27" s="22" t="s">
        <v>2316</v>
      </c>
      <c r="J27" s="22" t="s">
        <v>2494</v>
      </c>
      <c r="K27" s="20" t="s">
        <v>2495</v>
      </c>
      <c r="L27" s="22" t="s">
        <v>2496</v>
      </c>
    </row>
    <row r="28" customFormat="false" ht="26.25" hidden="false" customHeight="true" outlineLevel="0" collapsed="false">
      <c r="A28" s="21" t="s">
        <v>2497</v>
      </c>
      <c r="B28" s="25" t="s">
        <v>2190</v>
      </c>
      <c r="C28" s="25" t="s">
        <v>2498</v>
      </c>
      <c r="D28" s="21" t="s">
        <v>2347</v>
      </c>
      <c r="E28" s="21" t="s">
        <v>2499</v>
      </c>
      <c r="F28" s="21" t="s">
        <v>2500</v>
      </c>
      <c r="G28" s="21" t="s">
        <v>2501</v>
      </c>
      <c r="H28" s="24" t="s">
        <v>2315</v>
      </c>
      <c r="I28" s="24" t="s">
        <v>2316</v>
      </c>
      <c r="J28" s="24" t="s">
        <v>2351</v>
      </c>
      <c r="K28" s="21" t="s">
        <v>2502</v>
      </c>
      <c r="L28" s="24" t="s">
        <v>2503</v>
      </c>
    </row>
    <row r="29" customFormat="false" ht="26.25" hidden="false" customHeight="true" outlineLevel="0" collapsed="false">
      <c r="A29" s="20" t="s">
        <v>2504</v>
      </c>
      <c r="B29" s="23" t="s">
        <v>2190</v>
      </c>
      <c r="C29" s="23" t="s">
        <v>2505</v>
      </c>
      <c r="D29" s="20" t="s">
        <v>2482</v>
      </c>
      <c r="E29" s="20" t="s">
        <v>2506</v>
      </c>
      <c r="F29" s="20" t="s">
        <v>2507</v>
      </c>
      <c r="G29" s="20" t="s">
        <v>2508</v>
      </c>
      <c r="H29" s="22" t="s">
        <v>2315</v>
      </c>
      <c r="I29" s="22" t="s">
        <v>2316</v>
      </c>
      <c r="J29" s="22" t="s">
        <v>2509</v>
      </c>
      <c r="K29" s="20" t="s">
        <v>2510</v>
      </c>
      <c r="L29" s="22" t="s">
        <v>2511</v>
      </c>
    </row>
    <row r="30" customFormat="false" ht="26.25" hidden="false" customHeight="true" outlineLevel="0" collapsed="false">
      <c r="A30" s="21" t="s">
        <v>2512</v>
      </c>
      <c r="B30" s="25" t="s">
        <v>2190</v>
      </c>
      <c r="C30" s="25" t="s">
        <v>2513</v>
      </c>
      <c r="D30" s="21" t="s">
        <v>2514</v>
      </c>
      <c r="E30" s="21" t="s">
        <v>2515</v>
      </c>
      <c r="F30" s="21" t="s">
        <v>2516</v>
      </c>
      <c r="G30" s="21" t="s">
        <v>2517</v>
      </c>
      <c r="H30" s="24" t="s">
        <v>2315</v>
      </c>
      <c r="I30" s="24" t="s">
        <v>2316</v>
      </c>
      <c r="J30" s="24" t="s">
        <v>2518</v>
      </c>
      <c r="K30" s="21" t="s">
        <v>2519</v>
      </c>
      <c r="L30" s="24" t="s">
        <v>2520</v>
      </c>
    </row>
    <row r="31" customFormat="false" ht="26.25" hidden="false" customHeight="true" outlineLevel="0" collapsed="false">
      <c r="A31" s="20" t="s">
        <v>2521</v>
      </c>
      <c r="B31" s="23" t="s">
        <v>2213</v>
      </c>
      <c r="C31" s="23" t="s">
        <v>2522</v>
      </c>
      <c r="D31" s="20" t="s">
        <v>2523</v>
      </c>
      <c r="E31" s="20" t="s">
        <v>2524</v>
      </c>
      <c r="F31" s="20" t="s">
        <v>2525</v>
      </c>
      <c r="G31" s="20" t="s">
        <v>2526</v>
      </c>
      <c r="H31" s="22" t="s">
        <v>1487</v>
      </c>
      <c r="I31" s="22" t="s">
        <v>2316</v>
      </c>
      <c r="J31" s="22" t="s">
        <v>2351</v>
      </c>
      <c r="K31" s="20" t="s">
        <v>2527</v>
      </c>
      <c r="L31" s="22" t="s">
        <v>2528</v>
      </c>
    </row>
    <row r="32" customFormat="false" ht="26.25" hidden="false" customHeight="true" outlineLevel="0" collapsed="false">
      <c r="A32" s="21" t="s">
        <v>2529</v>
      </c>
      <c r="B32" s="25" t="s">
        <v>2213</v>
      </c>
      <c r="C32" s="25" t="s">
        <v>2530</v>
      </c>
      <c r="D32" s="21" t="s">
        <v>2531</v>
      </c>
      <c r="E32" s="21" t="s">
        <v>2532</v>
      </c>
      <c r="F32" s="21" t="s">
        <v>2533</v>
      </c>
      <c r="G32" s="21" t="s">
        <v>2534</v>
      </c>
      <c r="H32" s="24" t="s">
        <v>2315</v>
      </c>
      <c r="I32" s="24" t="s">
        <v>2316</v>
      </c>
      <c r="J32" s="24" t="s">
        <v>2351</v>
      </c>
      <c r="K32" s="21" t="s">
        <v>2535</v>
      </c>
      <c r="L32" s="24" t="s">
        <v>2536</v>
      </c>
    </row>
    <row r="33" customFormat="false" ht="26.25" hidden="false" customHeight="true" outlineLevel="0" collapsed="false">
      <c r="A33" s="20" t="s">
        <v>2537</v>
      </c>
      <c r="B33" s="23" t="s">
        <v>2213</v>
      </c>
      <c r="C33" s="23" t="s">
        <v>2538</v>
      </c>
      <c r="D33" s="20" t="s">
        <v>2539</v>
      </c>
      <c r="E33" s="20" t="s">
        <v>2540</v>
      </c>
      <c r="F33" s="20" t="s">
        <v>2541</v>
      </c>
      <c r="G33" s="20" t="s">
        <v>2542</v>
      </c>
      <c r="H33" s="22" t="s">
        <v>1487</v>
      </c>
      <c r="I33" s="22" t="s">
        <v>2316</v>
      </c>
      <c r="J33" s="22" t="s">
        <v>2543</v>
      </c>
      <c r="K33" s="20" t="s">
        <v>2544</v>
      </c>
      <c r="L33" s="22" t="s">
        <v>2545</v>
      </c>
    </row>
    <row r="34" customFormat="false" ht="39" hidden="false" customHeight="true" outlineLevel="0" collapsed="false">
      <c r="A34" s="21" t="s">
        <v>2546</v>
      </c>
      <c r="B34" s="25" t="s">
        <v>2213</v>
      </c>
      <c r="C34" s="25" t="s">
        <v>2547</v>
      </c>
      <c r="D34" s="21" t="s">
        <v>2548</v>
      </c>
      <c r="E34" s="21" t="s">
        <v>2549</v>
      </c>
      <c r="F34" s="21" t="s">
        <v>2550</v>
      </c>
      <c r="G34" s="21" t="s">
        <v>2551</v>
      </c>
      <c r="H34" s="24" t="s">
        <v>1487</v>
      </c>
      <c r="I34" s="24" t="s">
        <v>2316</v>
      </c>
      <c r="J34" s="24" t="s">
        <v>2552</v>
      </c>
      <c r="K34" s="21" t="s">
        <v>2553</v>
      </c>
      <c r="L34" s="24" t="s">
        <v>2554</v>
      </c>
    </row>
    <row r="35" customFormat="false" ht="26.25" hidden="false" customHeight="true" outlineLevel="0" collapsed="false">
      <c r="A35" s="20" t="s">
        <v>2555</v>
      </c>
      <c r="B35" s="23" t="s">
        <v>2213</v>
      </c>
      <c r="C35" s="23" t="s">
        <v>2556</v>
      </c>
      <c r="D35" s="20" t="s">
        <v>2557</v>
      </c>
      <c r="E35" s="20" t="s">
        <v>2558</v>
      </c>
      <c r="F35" s="20" t="s">
        <v>2559</v>
      </c>
      <c r="G35" s="20" t="s">
        <v>2560</v>
      </c>
      <c r="H35" s="22" t="s">
        <v>2315</v>
      </c>
      <c r="I35" s="22" t="s">
        <v>2316</v>
      </c>
      <c r="J35" s="22" t="s">
        <v>2351</v>
      </c>
      <c r="K35" s="20" t="s">
        <v>2561</v>
      </c>
      <c r="L35" s="22" t="s">
        <v>2562</v>
      </c>
    </row>
    <row r="36" customFormat="false" ht="26.25" hidden="false" customHeight="true" outlineLevel="0" collapsed="false">
      <c r="A36" s="21" t="s">
        <v>2563</v>
      </c>
      <c r="B36" s="25" t="s">
        <v>2213</v>
      </c>
      <c r="C36" s="25" t="s">
        <v>2564</v>
      </c>
      <c r="D36" s="21" t="s">
        <v>2311</v>
      </c>
      <c r="E36" s="21" t="s">
        <v>2565</v>
      </c>
      <c r="F36" s="21" t="s">
        <v>2566</v>
      </c>
      <c r="G36" s="21" t="s">
        <v>2567</v>
      </c>
      <c r="H36" s="24" t="s">
        <v>2315</v>
      </c>
      <c r="I36" s="24" t="s">
        <v>2316</v>
      </c>
      <c r="J36" s="24" t="s">
        <v>2486</v>
      </c>
      <c r="K36" s="21" t="s">
        <v>2568</v>
      </c>
      <c r="L36" s="24" t="s">
        <v>2569</v>
      </c>
    </row>
    <row r="37" customFormat="false" ht="26.25" hidden="false" customHeight="true" outlineLevel="0" collapsed="false">
      <c r="A37" s="20" t="s">
        <v>2570</v>
      </c>
      <c r="B37" s="23" t="s">
        <v>2201</v>
      </c>
      <c r="C37" s="23" t="s">
        <v>2571</v>
      </c>
      <c r="D37" s="20" t="s">
        <v>2572</v>
      </c>
      <c r="E37" s="20" t="s">
        <v>2573</v>
      </c>
      <c r="F37" s="20" t="s">
        <v>2574</v>
      </c>
      <c r="G37" s="20" t="s">
        <v>2575</v>
      </c>
      <c r="H37" s="22" t="s">
        <v>2315</v>
      </c>
      <c r="I37" s="22" t="s">
        <v>2316</v>
      </c>
      <c r="J37" s="22" t="s">
        <v>2576</v>
      </c>
      <c r="K37" s="20" t="s">
        <v>2577</v>
      </c>
      <c r="L37" s="22" t="s">
        <v>2578</v>
      </c>
    </row>
    <row r="38" customFormat="false" ht="26.25" hidden="false" customHeight="true" outlineLevel="0" collapsed="false">
      <c r="A38" s="21" t="s">
        <v>2579</v>
      </c>
      <c r="B38" s="25" t="s">
        <v>2223</v>
      </c>
      <c r="C38" s="25" t="s">
        <v>2580</v>
      </c>
      <c r="D38" s="21" t="s">
        <v>2581</v>
      </c>
      <c r="E38" s="21" t="s">
        <v>2582</v>
      </c>
      <c r="F38" s="21" t="s">
        <v>2583</v>
      </c>
      <c r="G38" s="21" t="s">
        <v>2584</v>
      </c>
      <c r="H38" s="24" t="s">
        <v>2315</v>
      </c>
      <c r="I38" s="24" t="s">
        <v>2316</v>
      </c>
      <c r="J38" s="24" t="s">
        <v>2317</v>
      </c>
      <c r="K38" s="21" t="s">
        <v>2585</v>
      </c>
      <c r="L38" s="24" t="s">
        <v>2586</v>
      </c>
    </row>
    <row r="39" customFormat="false" ht="26.25" hidden="false" customHeight="true" outlineLevel="0" collapsed="false">
      <c r="A39" s="20" t="s">
        <v>2587</v>
      </c>
      <c r="B39" s="23" t="s">
        <v>2234</v>
      </c>
      <c r="C39" s="23" t="s">
        <v>2588</v>
      </c>
      <c r="D39" s="20" t="s">
        <v>2589</v>
      </c>
      <c r="E39" s="20" t="s">
        <v>2590</v>
      </c>
      <c r="F39" s="20" t="s">
        <v>2591</v>
      </c>
      <c r="G39" s="20" t="s">
        <v>2592</v>
      </c>
      <c r="H39" s="22" t="s">
        <v>1487</v>
      </c>
      <c r="I39" s="22" t="s">
        <v>2316</v>
      </c>
      <c r="J39" s="22" t="s">
        <v>2576</v>
      </c>
      <c r="K39" s="20" t="s">
        <v>2593</v>
      </c>
      <c r="L39" s="22" t="s">
        <v>2594</v>
      </c>
    </row>
    <row r="40" customFormat="false" ht="26.25" hidden="false" customHeight="true" outlineLevel="0" collapsed="false">
      <c r="A40" s="21" t="s">
        <v>2595</v>
      </c>
      <c r="B40" s="25" t="s">
        <v>2245</v>
      </c>
      <c r="C40" s="25" t="s">
        <v>2596</v>
      </c>
      <c r="D40" s="21" t="s">
        <v>2428</v>
      </c>
      <c r="E40" s="21" t="s">
        <v>2597</v>
      </c>
      <c r="F40" s="21" t="s">
        <v>2598</v>
      </c>
      <c r="G40" s="21" t="s">
        <v>2599</v>
      </c>
      <c r="H40" s="24" t="s">
        <v>2315</v>
      </c>
      <c r="I40" s="24" t="s">
        <v>2316</v>
      </c>
      <c r="J40" s="24" t="s">
        <v>2317</v>
      </c>
      <c r="K40" s="21" t="s">
        <v>2600</v>
      </c>
      <c r="L40" s="24" t="s">
        <v>2601</v>
      </c>
    </row>
    <row r="41" customFormat="false" ht="26.25" hidden="false" customHeight="true" outlineLevel="0" collapsed="false">
      <c r="A41" s="20" t="s">
        <v>2602</v>
      </c>
      <c r="B41" s="23" t="s">
        <v>2256</v>
      </c>
      <c r="C41" s="23" t="s">
        <v>2603</v>
      </c>
      <c r="D41" s="20" t="s">
        <v>1447</v>
      </c>
      <c r="E41" s="20" t="s">
        <v>2604</v>
      </c>
      <c r="F41" s="20" t="s">
        <v>2605</v>
      </c>
      <c r="G41" s="20" t="s">
        <v>2606</v>
      </c>
      <c r="H41" s="22" t="s">
        <v>2315</v>
      </c>
      <c r="I41" s="22" t="s">
        <v>2316</v>
      </c>
      <c r="J41" s="22" t="s">
        <v>2351</v>
      </c>
      <c r="K41" s="20" t="s">
        <v>2607</v>
      </c>
      <c r="L41" s="22" t="s">
        <v>2608</v>
      </c>
    </row>
    <row r="42" customFormat="false" ht="26.25" hidden="false" customHeight="true" outlineLevel="0" collapsed="false">
      <c r="A42" s="21" t="s">
        <v>2609</v>
      </c>
      <c r="B42" s="25" t="s">
        <v>2267</v>
      </c>
      <c r="C42" s="25" t="s">
        <v>2610</v>
      </c>
      <c r="D42" s="21" t="s">
        <v>63</v>
      </c>
      <c r="E42" s="21" t="s">
        <v>2611</v>
      </c>
      <c r="F42" s="21" t="s">
        <v>2612</v>
      </c>
      <c r="G42" s="21" t="s">
        <v>2613</v>
      </c>
      <c r="H42" s="24" t="s">
        <v>2315</v>
      </c>
      <c r="I42" s="24" t="s">
        <v>2316</v>
      </c>
      <c r="J42" s="24" t="s">
        <v>2366</v>
      </c>
      <c r="K42" s="21" t="s">
        <v>2614</v>
      </c>
      <c r="L42" s="24" t="s">
        <v>2615</v>
      </c>
    </row>
    <row r="43" customFormat="false" ht="26.25" hidden="false" customHeight="true" outlineLevel="0" collapsed="false">
      <c r="A43" s="20" t="s">
        <v>2616</v>
      </c>
      <c r="B43" s="23" t="s">
        <v>2279</v>
      </c>
      <c r="C43" s="23" t="s">
        <v>2617</v>
      </c>
      <c r="D43" s="20" t="s">
        <v>2618</v>
      </c>
      <c r="E43" s="20" t="s">
        <v>2619</v>
      </c>
      <c r="F43" s="20" t="s">
        <v>2620</v>
      </c>
      <c r="G43" s="20" t="s">
        <v>2621</v>
      </c>
      <c r="H43" s="22" t="s">
        <v>1487</v>
      </c>
      <c r="I43" s="22" t="s">
        <v>2316</v>
      </c>
      <c r="J43" s="22" t="s">
        <v>2342</v>
      </c>
      <c r="K43" s="20" t="s">
        <v>2622</v>
      </c>
      <c r="L43" s="22" t="s">
        <v>2623</v>
      </c>
    </row>
    <row r="44" customFormat="false" ht="26.25" hidden="false" customHeight="true" outlineLevel="0" collapsed="false">
      <c r="A44" s="21" t="s">
        <v>2624</v>
      </c>
      <c r="B44" s="25" t="s">
        <v>2289</v>
      </c>
      <c r="C44" s="25" t="s">
        <v>2625</v>
      </c>
      <c r="D44" s="21" t="s">
        <v>63</v>
      </c>
      <c r="E44" s="21" t="s">
        <v>2626</v>
      </c>
      <c r="F44" s="21" t="s">
        <v>2627</v>
      </c>
      <c r="G44" s="21" t="s">
        <v>2628</v>
      </c>
      <c r="H44" s="24" t="s">
        <v>2315</v>
      </c>
      <c r="I44" s="24" t="s">
        <v>2316</v>
      </c>
      <c r="J44" s="24" t="s">
        <v>2486</v>
      </c>
      <c r="K44" s="21" t="s">
        <v>2614</v>
      </c>
      <c r="L44" s="24" t="s">
        <v>2629</v>
      </c>
    </row>
  </sheetData>
  <autoFilter ref="A4:L44"/>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8" t="s">
        <v>2630</v>
      </c>
      <c r="B1" s="8"/>
      <c r="C1" s="8"/>
      <c r="D1" s="8"/>
      <c r="E1" s="8"/>
      <c r="F1" s="8"/>
    </row>
    <row r="2" customFormat="false" ht="33.75" hidden="false" customHeight="true" outlineLevel="0" collapsed="false">
      <c r="A2" s="9" t="s">
        <v>2631</v>
      </c>
      <c r="B2" s="9"/>
      <c r="C2" s="9"/>
      <c r="D2" s="9"/>
      <c r="E2" s="9"/>
      <c r="F2" s="9"/>
    </row>
    <row r="3" customFormat="false" ht="7.5" hidden="false" customHeight="true" outlineLevel="0" collapsed="false"/>
    <row r="4" customFormat="false" ht="30" hidden="false" customHeight="true" outlineLevel="0" collapsed="false">
      <c r="A4" s="10" t="s">
        <v>2100</v>
      </c>
      <c r="B4" s="10" t="s">
        <v>2632</v>
      </c>
      <c r="C4" s="10" t="s">
        <v>2633</v>
      </c>
      <c r="D4" s="10" t="s">
        <v>2634</v>
      </c>
      <c r="E4" s="10" t="s">
        <v>28</v>
      </c>
      <c r="F4" s="10" t="s">
        <v>2635</v>
      </c>
    </row>
    <row r="5" customFormat="false" ht="42" hidden="false" customHeight="true" outlineLevel="0" collapsed="false">
      <c r="A5" s="16" t="s">
        <v>2636</v>
      </c>
      <c r="B5" s="16" t="s">
        <v>2637</v>
      </c>
      <c r="C5" s="16" t="s">
        <v>2638</v>
      </c>
      <c r="D5" s="16" t="s">
        <v>2639</v>
      </c>
      <c r="E5" s="18" t="s">
        <v>2640</v>
      </c>
      <c r="F5" s="16" t="s">
        <v>2641</v>
      </c>
    </row>
    <row r="6" customFormat="false" ht="42" hidden="false" customHeight="true" outlineLevel="0" collapsed="false">
      <c r="A6" s="16" t="s">
        <v>2642</v>
      </c>
      <c r="B6" s="16" t="s">
        <v>2643</v>
      </c>
      <c r="C6" s="16" t="s">
        <v>2644</v>
      </c>
      <c r="D6" s="16" t="s">
        <v>2645</v>
      </c>
      <c r="E6" s="18" t="s">
        <v>2640</v>
      </c>
      <c r="F6" s="16" t="s">
        <v>2646</v>
      </c>
    </row>
    <row r="7" customFormat="false" ht="42" hidden="false" customHeight="true" outlineLevel="0" collapsed="false">
      <c r="A7" s="16" t="s">
        <v>2647</v>
      </c>
      <c r="B7" s="16" t="s">
        <v>2648</v>
      </c>
      <c r="C7" s="16" t="s">
        <v>2649</v>
      </c>
      <c r="D7" s="16" t="s">
        <v>2650</v>
      </c>
      <c r="E7" s="18" t="s">
        <v>2651</v>
      </c>
      <c r="F7" s="16" t="s">
        <v>2652</v>
      </c>
    </row>
    <row r="8" customFormat="false" ht="42" hidden="false" customHeight="true" outlineLevel="0" collapsed="false">
      <c r="A8" s="16" t="s">
        <v>2653</v>
      </c>
      <c r="B8" s="16" t="s">
        <v>2654</v>
      </c>
      <c r="C8" s="16" t="s">
        <v>2655</v>
      </c>
      <c r="D8" s="16" t="s">
        <v>2656</v>
      </c>
      <c r="E8" s="18" t="s">
        <v>2640</v>
      </c>
      <c r="F8" s="16" t="s">
        <v>2657</v>
      </c>
    </row>
    <row r="9" customFormat="false" ht="42" hidden="false" customHeight="true" outlineLevel="0" collapsed="false">
      <c r="A9" s="16" t="s">
        <v>2658</v>
      </c>
      <c r="B9" s="16" t="s">
        <v>2659</v>
      </c>
      <c r="C9" s="16" t="s">
        <v>2660</v>
      </c>
      <c r="D9" s="16" t="s">
        <v>2661</v>
      </c>
      <c r="E9" s="18" t="s">
        <v>2640</v>
      </c>
      <c r="F9" s="16" t="s">
        <v>2662</v>
      </c>
    </row>
    <row r="10" customFormat="false" ht="42" hidden="false" customHeight="true" outlineLevel="0" collapsed="false">
      <c r="A10" s="16" t="s">
        <v>2663</v>
      </c>
      <c r="B10" s="16" t="s">
        <v>2664</v>
      </c>
      <c r="C10" s="16" t="s">
        <v>2665</v>
      </c>
      <c r="D10" s="16" t="s">
        <v>2666</v>
      </c>
      <c r="E10" s="18" t="s">
        <v>2640</v>
      </c>
      <c r="F10" s="16" t="s">
        <v>2667</v>
      </c>
    </row>
    <row r="11" customFormat="false" ht="42" hidden="false" customHeight="true" outlineLevel="0" collapsed="false">
      <c r="A11" s="16" t="s">
        <v>2668</v>
      </c>
      <c r="B11" s="16" t="s">
        <v>2669</v>
      </c>
      <c r="C11" s="16" t="s">
        <v>2670</v>
      </c>
      <c r="D11" s="16" t="s">
        <v>2671</v>
      </c>
      <c r="E11" s="18" t="s">
        <v>2672</v>
      </c>
      <c r="F11" s="16" t="s">
        <v>2673</v>
      </c>
    </row>
    <row r="12" customFormat="false" ht="42" hidden="false" customHeight="true" outlineLevel="0" collapsed="false">
      <c r="A12" s="16" t="s">
        <v>2674</v>
      </c>
      <c r="B12" s="16" t="s">
        <v>2675</v>
      </c>
      <c r="C12" s="16" t="s">
        <v>2676</v>
      </c>
      <c r="D12" s="16" t="s">
        <v>2677</v>
      </c>
      <c r="E12" s="18" t="s">
        <v>2651</v>
      </c>
      <c r="F12" s="16" t="s">
        <v>2678</v>
      </c>
    </row>
    <row r="13" customFormat="false" ht="42" hidden="false" customHeight="true" outlineLevel="0" collapsed="false">
      <c r="A13" s="16" t="s">
        <v>2679</v>
      </c>
      <c r="B13" s="16" t="s">
        <v>2680</v>
      </c>
      <c r="C13" s="16" t="s">
        <v>2681</v>
      </c>
      <c r="D13" s="16" t="s">
        <v>2682</v>
      </c>
      <c r="E13" s="18" t="s">
        <v>2640</v>
      </c>
      <c r="F13" s="16" t="s">
        <v>2683</v>
      </c>
    </row>
    <row r="14" customFormat="false" ht="42" hidden="false" customHeight="true" outlineLevel="0" collapsed="false">
      <c r="A14" s="16" t="s">
        <v>2684</v>
      </c>
      <c r="B14" s="16" t="s">
        <v>2685</v>
      </c>
      <c r="C14" s="16" t="s">
        <v>2686</v>
      </c>
      <c r="D14" s="16" t="s">
        <v>2687</v>
      </c>
      <c r="E14" s="18" t="s">
        <v>2640</v>
      </c>
      <c r="F14" s="16" t="s">
        <v>2688</v>
      </c>
    </row>
    <row r="15" customFormat="false" ht="42" hidden="false" customHeight="true" outlineLevel="0" collapsed="false">
      <c r="A15" s="16" t="s">
        <v>2689</v>
      </c>
      <c r="B15" s="16" t="s">
        <v>2690</v>
      </c>
      <c r="C15" s="16" t="s">
        <v>2691</v>
      </c>
      <c r="D15" s="16" t="s">
        <v>2692</v>
      </c>
      <c r="E15" s="18" t="s">
        <v>2640</v>
      </c>
      <c r="F15" s="16" t="s">
        <v>2693</v>
      </c>
    </row>
    <row r="16" customFormat="false" ht="42" hidden="false" customHeight="true" outlineLevel="0" collapsed="false">
      <c r="A16" s="16" t="s">
        <v>2694</v>
      </c>
      <c r="B16" s="16" t="s">
        <v>2695</v>
      </c>
      <c r="C16" s="16" t="s">
        <v>2696</v>
      </c>
      <c r="D16" s="16" t="s">
        <v>2697</v>
      </c>
      <c r="E16" s="18" t="s">
        <v>2640</v>
      </c>
      <c r="F16" s="16" t="s">
        <v>2698</v>
      </c>
    </row>
    <row r="17" customFormat="false" ht="42" hidden="false" customHeight="true" outlineLevel="0" collapsed="false">
      <c r="A17" s="16" t="s">
        <v>2699</v>
      </c>
      <c r="B17" s="16" t="s">
        <v>2700</v>
      </c>
      <c r="C17" s="16" t="s">
        <v>2701</v>
      </c>
      <c r="D17" s="16" t="s">
        <v>2702</v>
      </c>
      <c r="E17" s="18" t="s">
        <v>2640</v>
      </c>
      <c r="F17" s="16" t="s">
        <v>2703</v>
      </c>
    </row>
    <row r="18" customFormat="false" ht="42" hidden="false" customHeight="true" outlineLevel="0" collapsed="false">
      <c r="A18" s="16" t="s">
        <v>2704</v>
      </c>
      <c r="B18" s="16" t="s">
        <v>2705</v>
      </c>
      <c r="C18" s="16" t="s">
        <v>2706</v>
      </c>
      <c r="D18" s="16" t="s">
        <v>2707</v>
      </c>
      <c r="E18" s="18" t="s">
        <v>2640</v>
      </c>
      <c r="F18" s="16" t="s">
        <v>2708</v>
      </c>
    </row>
    <row r="19" customFormat="false" ht="42" hidden="false" customHeight="true" outlineLevel="0" collapsed="false">
      <c r="A19" s="16" t="s">
        <v>2709</v>
      </c>
      <c r="B19" s="16" t="s">
        <v>2710</v>
      </c>
      <c r="C19" s="16" t="s">
        <v>2711</v>
      </c>
      <c r="D19" s="16" t="s">
        <v>2712</v>
      </c>
      <c r="E19" s="18" t="s">
        <v>2651</v>
      </c>
      <c r="F19" s="16" t="s">
        <v>2713</v>
      </c>
    </row>
    <row r="20" customFormat="false" ht="42" hidden="false" customHeight="true" outlineLevel="0" collapsed="false">
      <c r="A20" s="16" t="s">
        <v>274</v>
      </c>
      <c r="B20" s="16" t="s">
        <v>2714</v>
      </c>
      <c r="C20" s="16" t="s">
        <v>2715</v>
      </c>
      <c r="D20" s="16" t="s">
        <v>2716</v>
      </c>
      <c r="E20" s="18" t="s">
        <v>2651</v>
      </c>
      <c r="F20" s="16" t="s">
        <v>2717</v>
      </c>
    </row>
    <row r="21" customFormat="false" ht="42" hidden="false" customHeight="true" outlineLevel="0" collapsed="false">
      <c r="A21" s="16" t="s">
        <v>555</v>
      </c>
      <c r="B21" s="16" t="s">
        <v>2718</v>
      </c>
      <c r="C21" s="16" t="s">
        <v>2719</v>
      </c>
      <c r="D21" s="16" t="s">
        <v>2720</v>
      </c>
      <c r="E21" s="18" t="s">
        <v>2651</v>
      </c>
      <c r="F21" s="16" t="s">
        <v>2721</v>
      </c>
    </row>
    <row r="22" customFormat="false" ht="42" hidden="false" customHeight="true" outlineLevel="0" collapsed="false">
      <c r="A22" s="16" t="s">
        <v>2722</v>
      </c>
      <c r="B22" s="16" t="s">
        <v>2723</v>
      </c>
      <c r="C22" s="16" t="s">
        <v>2724</v>
      </c>
      <c r="D22" s="16" t="s">
        <v>2725</v>
      </c>
      <c r="E22" s="18" t="s">
        <v>2640</v>
      </c>
      <c r="F22" s="16" t="s">
        <v>2726</v>
      </c>
    </row>
    <row r="23" customFormat="false" ht="42" hidden="false" customHeight="true" outlineLevel="0" collapsed="false">
      <c r="A23" s="16" t="s">
        <v>2727</v>
      </c>
      <c r="B23" s="16" t="s">
        <v>2728</v>
      </c>
      <c r="C23" s="16" t="s">
        <v>2729</v>
      </c>
      <c r="D23" s="16" t="s">
        <v>2730</v>
      </c>
      <c r="E23" s="18" t="s">
        <v>2640</v>
      </c>
      <c r="F23" s="16" t="s">
        <v>2731</v>
      </c>
    </row>
    <row r="24" customFormat="false" ht="42" hidden="false" customHeight="true" outlineLevel="0" collapsed="false">
      <c r="A24" s="16" t="s">
        <v>2732</v>
      </c>
      <c r="B24" s="16" t="s">
        <v>2733</v>
      </c>
      <c r="C24" s="16" t="s">
        <v>2734</v>
      </c>
      <c r="D24" s="16" t="s">
        <v>2735</v>
      </c>
      <c r="E24" s="18" t="s">
        <v>2736</v>
      </c>
      <c r="F24" s="16" t="s">
        <v>2737</v>
      </c>
    </row>
    <row r="25" customFormat="false" ht="42" hidden="false" customHeight="true" outlineLevel="0" collapsed="false">
      <c r="A25" s="16" t="s">
        <v>2738</v>
      </c>
      <c r="B25" s="16" t="s">
        <v>2739</v>
      </c>
      <c r="C25" s="16" t="s">
        <v>2740</v>
      </c>
      <c r="D25" s="16" t="s">
        <v>2741</v>
      </c>
      <c r="E25" s="18" t="s">
        <v>2651</v>
      </c>
      <c r="F25" s="16" t="s">
        <v>2742</v>
      </c>
    </row>
    <row r="26" customFormat="false" ht="42" hidden="false" customHeight="true" outlineLevel="0" collapsed="false">
      <c r="A26" s="16" t="s">
        <v>2743</v>
      </c>
      <c r="B26" s="16" t="s">
        <v>2744</v>
      </c>
      <c r="C26" s="16" t="s">
        <v>2745</v>
      </c>
      <c r="D26" s="16" t="s">
        <v>2746</v>
      </c>
      <c r="E26" s="18" t="s">
        <v>2747</v>
      </c>
      <c r="F26" s="16" t="s">
        <v>2748</v>
      </c>
    </row>
    <row r="27" customFormat="false" ht="42" hidden="false" customHeight="true" outlineLevel="0" collapsed="false">
      <c r="A27" s="16" t="s">
        <v>2749</v>
      </c>
      <c r="B27" s="16" t="s">
        <v>2750</v>
      </c>
      <c r="C27" s="16" t="s">
        <v>2751</v>
      </c>
      <c r="D27" s="16" t="s">
        <v>2752</v>
      </c>
      <c r="E27" s="18" t="s">
        <v>2747</v>
      </c>
      <c r="F27" s="16" t="s">
        <v>2753</v>
      </c>
    </row>
    <row r="28" customFormat="false" ht="42" hidden="false" customHeight="true" outlineLevel="0" collapsed="false">
      <c r="A28" s="16" t="s">
        <v>2754</v>
      </c>
      <c r="B28" s="16" t="s">
        <v>2755</v>
      </c>
      <c r="C28" s="16" t="s">
        <v>2756</v>
      </c>
      <c r="D28" s="16" t="s">
        <v>2757</v>
      </c>
      <c r="E28" s="18" t="s">
        <v>2758</v>
      </c>
      <c r="F28" s="16" t="s">
        <v>2759</v>
      </c>
    </row>
    <row r="29" customFormat="false" ht="26.25" hidden="false" customHeight="true" outlineLevel="0" collapsed="false">
      <c r="A29" s="16" t="s">
        <v>2760</v>
      </c>
      <c r="B29" s="16" t="s">
        <v>2761</v>
      </c>
      <c r="C29" s="16" t="s">
        <v>2762</v>
      </c>
      <c r="D29" s="16" t="s">
        <v>2763</v>
      </c>
      <c r="E29" s="18" t="s">
        <v>2764</v>
      </c>
      <c r="F29" s="16" t="s">
        <v>2765</v>
      </c>
    </row>
    <row r="30" customFormat="false" ht="26.25" hidden="false" customHeight="true" outlineLevel="0" collapsed="false">
      <c r="A30" s="16" t="s">
        <v>2766</v>
      </c>
      <c r="B30" s="16" t="s">
        <v>2767</v>
      </c>
      <c r="C30" s="16" t="s">
        <v>2768</v>
      </c>
      <c r="D30" s="16" t="s">
        <v>2769</v>
      </c>
      <c r="E30" s="18" t="s">
        <v>2764</v>
      </c>
      <c r="F30" s="16" t="s">
        <v>2770</v>
      </c>
    </row>
    <row r="31" customFormat="false" ht="26.25" hidden="false" customHeight="true" outlineLevel="0" collapsed="false">
      <c r="A31" s="16" t="s">
        <v>2771</v>
      </c>
      <c r="B31" s="16" t="s">
        <v>2772</v>
      </c>
      <c r="C31" s="16" t="s">
        <v>2773</v>
      </c>
      <c r="D31" s="16" t="s">
        <v>2774</v>
      </c>
      <c r="E31" s="18" t="s">
        <v>2764</v>
      </c>
      <c r="F31" s="16" t="s">
        <v>2775</v>
      </c>
    </row>
    <row r="32" customFormat="false" ht="26.25" hidden="false" customHeight="true" outlineLevel="0" collapsed="false">
      <c r="A32" s="16" t="s">
        <v>2776</v>
      </c>
      <c r="B32" s="16" t="s">
        <v>2777</v>
      </c>
      <c r="C32" s="16" t="s">
        <v>2778</v>
      </c>
      <c r="D32" s="16" t="s">
        <v>2779</v>
      </c>
      <c r="E32" s="18" t="s">
        <v>2764</v>
      </c>
      <c r="F32" s="16" t="s">
        <v>2780</v>
      </c>
    </row>
    <row r="33" customFormat="false" ht="26.25" hidden="false" customHeight="true" outlineLevel="0" collapsed="false">
      <c r="A33" s="16" t="s">
        <v>2781</v>
      </c>
      <c r="B33" s="16" t="s">
        <v>2782</v>
      </c>
      <c r="C33" s="16" t="s">
        <v>2783</v>
      </c>
      <c r="D33" s="16" t="s">
        <v>2784</v>
      </c>
      <c r="E33" s="18" t="s">
        <v>2764</v>
      </c>
      <c r="F33" s="16" t="s">
        <v>2785</v>
      </c>
    </row>
    <row r="34" customFormat="false" ht="26.25" hidden="false" customHeight="true" outlineLevel="0" collapsed="false">
      <c r="A34" s="16" t="s">
        <v>2786</v>
      </c>
      <c r="B34" s="16" t="s">
        <v>2787</v>
      </c>
      <c r="C34" s="16" t="s">
        <v>2788</v>
      </c>
      <c r="D34" s="16" t="s">
        <v>2789</v>
      </c>
      <c r="E34" s="18" t="s">
        <v>2764</v>
      </c>
      <c r="F34" s="16" t="s">
        <v>2790</v>
      </c>
    </row>
    <row r="35" customFormat="false" ht="36" hidden="false" customHeight="true" outlineLevel="0" collapsed="false">
      <c r="A35" s="16" t="s">
        <v>2791</v>
      </c>
      <c r="B35" s="16" t="s">
        <v>2792</v>
      </c>
      <c r="C35" s="16" t="s">
        <v>2793</v>
      </c>
      <c r="D35" s="16" t="s">
        <v>2794</v>
      </c>
      <c r="E35" s="18" t="s">
        <v>2764</v>
      </c>
      <c r="F35" s="16" t="s">
        <v>2795</v>
      </c>
    </row>
    <row r="36" customFormat="false" ht="36" hidden="false" customHeight="true" outlineLevel="0" collapsed="false">
      <c r="A36" s="16" t="s">
        <v>2796</v>
      </c>
      <c r="B36" s="16" t="s">
        <v>2797</v>
      </c>
      <c r="C36" s="16" t="s">
        <v>2798</v>
      </c>
      <c r="D36" s="16" t="s">
        <v>2799</v>
      </c>
      <c r="E36" s="18" t="s">
        <v>2800</v>
      </c>
      <c r="F36" s="16" t="s">
        <v>2801</v>
      </c>
    </row>
  </sheetData>
  <autoFilter ref="A4:F36"/>
  <mergeCells count="2">
    <mergeCell ref="A1:F1"/>
    <mergeCell ref="A2:F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8" t="s">
        <v>2802</v>
      </c>
      <c r="B1" s="8"/>
      <c r="C1" s="8"/>
      <c r="D1" s="8"/>
    </row>
    <row r="2" customFormat="false" ht="33.75" hidden="false" customHeight="true" outlineLevel="0" collapsed="false">
      <c r="A2" s="19" t="s">
        <v>2803</v>
      </c>
      <c r="B2" s="19"/>
      <c r="C2" s="19"/>
      <c r="D2" s="19"/>
    </row>
    <row r="4" customFormat="false" ht="33.75" hidden="false" customHeight="true" outlineLevel="0" collapsed="false">
      <c r="A4" s="10" t="s">
        <v>1302</v>
      </c>
      <c r="B4" s="10" t="s">
        <v>1303</v>
      </c>
      <c r="C4" s="10" t="s">
        <v>2804</v>
      </c>
      <c r="D4" s="10" t="s">
        <v>2805</v>
      </c>
    </row>
    <row r="5" customFormat="false" ht="15" hidden="false" customHeight="true" outlineLevel="0" collapsed="false">
      <c r="A5" s="20" t="n">
        <v>1</v>
      </c>
      <c r="B5" s="20" t="s">
        <v>1315</v>
      </c>
      <c r="C5" s="20" t="s">
        <v>2806</v>
      </c>
      <c r="D5" s="22" t="s">
        <v>2807</v>
      </c>
    </row>
    <row r="6" customFormat="false" ht="15" hidden="false" customHeight="true" outlineLevel="0" collapsed="false">
      <c r="A6" s="21" t="n">
        <v>2</v>
      </c>
      <c r="B6" s="21" t="s">
        <v>1327</v>
      </c>
      <c r="C6" s="21" t="s">
        <v>2808</v>
      </c>
      <c r="D6" s="24" t="s">
        <v>2809</v>
      </c>
    </row>
    <row r="7" customFormat="false" ht="15" hidden="false" customHeight="true" outlineLevel="0" collapsed="false">
      <c r="A7" s="20" t="n">
        <v>3</v>
      </c>
      <c r="B7" s="20" t="s">
        <v>1339</v>
      </c>
      <c r="C7" s="20" t="s">
        <v>2810</v>
      </c>
      <c r="D7" s="22" t="s">
        <v>2811</v>
      </c>
    </row>
    <row r="8" customFormat="false" ht="15" hidden="false" customHeight="true" outlineLevel="0" collapsed="false">
      <c r="A8" s="21" t="n">
        <v>4</v>
      </c>
      <c r="B8" s="21" t="s">
        <v>1351</v>
      </c>
      <c r="C8" s="21" t="s">
        <v>2812</v>
      </c>
      <c r="D8" s="24" t="s">
        <v>2813</v>
      </c>
    </row>
    <row r="9" customFormat="false" ht="15" hidden="false" customHeight="true" outlineLevel="0" collapsed="false">
      <c r="A9" s="20" t="n">
        <v>5</v>
      </c>
      <c r="B9" s="20" t="s">
        <v>1363</v>
      </c>
      <c r="C9" s="20" t="s">
        <v>2814</v>
      </c>
      <c r="D9" s="22" t="s">
        <v>2815</v>
      </c>
    </row>
    <row r="10" customFormat="false" ht="15" hidden="false" customHeight="true" outlineLevel="0" collapsed="false">
      <c r="A10" s="21" t="n">
        <v>6</v>
      </c>
      <c r="B10" s="21" t="s">
        <v>1375</v>
      </c>
      <c r="C10" s="21" t="s">
        <v>2816</v>
      </c>
      <c r="D10" s="24" t="s">
        <v>2817</v>
      </c>
    </row>
    <row r="11" customFormat="false" ht="15" hidden="false" customHeight="true" outlineLevel="0" collapsed="false">
      <c r="A11" s="20" t="n">
        <v>7</v>
      </c>
      <c r="B11" s="20" t="s">
        <v>1387</v>
      </c>
      <c r="C11" s="20" t="s">
        <v>2818</v>
      </c>
      <c r="D11" s="22" t="s">
        <v>2819</v>
      </c>
    </row>
    <row r="12" customFormat="false" ht="15" hidden="false" customHeight="true" outlineLevel="0" collapsed="false">
      <c r="A12" s="21" t="n">
        <v>8</v>
      </c>
      <c r="B12" s="21" t="s">
        <v>1399</v>
      </c>
      <c r="C12" s="21" t="s">
        <v>2820</v>
      </c>
      <c r="D12" s="24" t="s">
        <v>2821</v>
      </c>
    </row>
    <row r="13" customFormat="false" ht="15" hidden="false" customHeight="true" outlineLevel="0" collapsed="false">
      <c r="A13" s="20" t="n">
        <v>9</v>
      </c>
      <c r="B13" s="20" t="s">
        <v>1411</v>
      </c>
      <c r="C13" s="20" t="s">
        <v>2822</v>
      </c>
      <c r="D13" s="22" t="s">
        <v>2823</v>
      </c>
    </row>
  </sheetData>
  <autoFilter ref="A4:D13"/>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8" t="s">
        <v>2824</v>
      </c>
      <c r="B1" s="8"/>
      <c r="C1" s="8"/>
      <c r="D1" s="8"/>
    </row>
    <row r="2" customFormat="false" ht="42" hidden="false" customHeight="true" outlineLevel="0" collapsed="false">
      <c r="A2" s="19" t="s">
        <v>2825</v>
      </c>
      <c r="B2" s="19"/>
      <c r="C2" s="19"/>
      <c r="D2" s="19"/>
    </row>
    <row r="4" customFormat="false" ht="33.75" hidden="false" customHeight="true" outlineLevel="0" collapsed="false">
      <c r="A4" s="10" t="s">
        <v>2826</v>
      </c>
      <c r="B4" s="10" t="s">
        <v>2827</v>
      </c>
      <c r="C4" s="10" t="s">
        <v>28</v>
      </c>
    </row>
    <row r="5" customFormat="false" ht="15" hidden="false" customHeight="true" outlineLevel="0" collapsed="false">
      <c r="A5" s="20" t="s">
        <v>2828</v>
      </c>
      <c r="B5" s="20" t="s">
        <v>2829</v>
      </c>
      <c r="C5" s="22" t="s">
        <v>2830</v>
      </c>
    </row>
    <row r="6" customFormat="false" ht="15" hidden="false" customHeight="true" outlineLevel="0" collapsed="false">
      <c r="A6" s="21" t="s">
        <v>2831</v>
      </c>
      <c r="B6" s="21" t="s">
        <v>2832</v>
      </c>
      <c r="C6" s="24" t="s">
        <v>2830</v>
      </c>
    </row>
    <row r="7" customFormat="false" ht="26.25" hidden="false" customHeight="true" outlineLevel="0" collapsed="false">
      <c r="A7" s="20" t="s">
        <v>2487</v>
      </c>
      <c r="B7" s="20" t="s">
        <v>2833</v>
      </c>
      <c r="C7" s="22" t="s">
        <v>2830</v>
      </c>
    </row>
    <row r="8" customFormat="false" ht="26.25" hidden="false" customHeight="true" outlineLevel="0" collapsed="false">
      <c r="A8" s="21" t="s">
        <v>2834</v>
      </c>
      <c r="B8" s="21" t="s">
        <v>2835</v>
      </c>
      <c r="C8" s="24" t="s">
        <v>2836</v>
      </c>
    </row>
    <row r="9" customFormat="false" ht="26.25" hidden="false" customHeight="true" outlineLevel="0" collapsed="false">
      <c r="A9" s="20" t="s">
        <v>2614</v>
      </c>
      <c r="B9" s="20" t="s">
        <v>2837</v>
      </c>
      <c r="C9" s="22" t="s">
        <v>2838</v>
      </c>
    </row>
    <row r="10" customFormat="false" ht="26.25" hidden="false" customHeight="true" outlineLevel="0" collapsed="false">
      <c r="A10" s="21" t="s">
        <v>2839</v>
      </c>
      <c r="B10" s="21" t="s">
        <v>2840</v>
      </c>
      <c r="C10" s="24" t="s">
        <v>2830</v>
      </c>
    </row>
    <row r="11" customFormat="false" ht="26.25" hidden="false" customHeight="true" outlineLevel="0" collapsed="false">
      <c r="A11" s="20" t="s">
        <v>2841</v>
      </c>
      <c r="B11" s="20" t="s">
        <v>2842</v>
      </c>
      <c r="C11" s="22" t="s">
        <v>2843</v>
      </c>
    </row>
    <row r="12" customFormat="false" ht="26.25" hidden="false" customHeight="true" outlineLevel="0" collapsed="false">
      <c r="A12" s="21" t="s">
        <v>2844</v>
      </c>
      <c r="B12" s="21" t="s">
        <v>2845</v>
      </c>
      <c r="C12" s="24" t="s">
        <v>2830</v>
      </c>
    </row>
    <row r="13" customFormat="false" ht="48" hidden="false" customHeight="true" outlineLevel="0" collapsed="false">
      <c r="A13" s="26" t="s">
        <v>2846</v>
      </c>
      <c r="B13" s="26" t="s">
        <v>2847</v>
      </c>
      <c r="C13" s="26" t="s">
        <v>2830</v>
      </c>
      <c r="D13" s="26"/>
    </row>
    <row r="14" customFormat="false" ht="48" hidden="false" customHeight="true" outlineLevel="0" collapsed="false">
      <c r="A14" s="26" t="s">
        <v>2848</v>
      </c>
      <c r="B14" s="26" t="s">
        <v>2849</v>
      </c>
      <c r="C14" s="26" t="s">
        <v>2830</v>
      </c>
      <c r="D14" s="26"/>
    </row>
    <row r="15" customFormat="false" ht="48" hidden="false" customHeight="true" outlineLevel="0" collapsed="false">
      <c r="A15" s="26" t="s">
        <v>2850</v>
      </c>
      <c r="B15" s="26" t="s">
        <v>2851</v>
      </c>
      <c r="C15" s="26" t="s">
        <v>2852</v>
      </c>
      <c r="D15" s="26"/>
    </row>
    <row r="16" customFormat="false" ht="48" hidden="false" customHeight="true" outlineLevel="0" collapsed="false">
      <c r="A16" s="26" t="s">
        <v>2853</v>
      </c>
      <c r="B16" s="26" t="s">
        <v>2854</v>
      </c>
      <c r="C16" s="26" t="s">
        <v>2830</v>
      </c>
      <c r="D16" s="26"/>
    </row>
    <row r="17" customFormat="false" ht="48" hidden="false" customHeight="true" outlineLevel="0" collapsed="false">
      <c r="A17" s="26" t="s">
        <v>2855</v>
      </c>
      <c r="B17" s="26" t="s">
        <v>2856</v>
      </c>
      <c r="C17" s="26" t="s">
        <v>2830</v>
      </c>
      <c r="D17" s="26"/>
    </row>
    <row r="18" customFormat="false" ht="48" hidden="false" customHeight="true" outlineLevel="0" collapsed="false">
      <c r="A18" s="26" t="s">
        <v>2857</v>
      </c>
      <c r="B18" s="26" t="s">
        <v>2858</v>
      </c>
      <c r="C18" s="26" t="s">
        <v>2830</v>
      </c>
      <c r="D18" s="26"/>
    </row>
    <row r="19" customFormat="false" ht="48" hidden="false" customHeight="true" outlineLevel="0" collapsed="false">
      <c r="A19" s="26" t="s">
        <v>2859</v>
      </c>
      <c r="B19" s="26" t="s">
        <v>2860</v>
      </c>
      <c r="C19" s="26" t="s">
        <v>2830</v>
      </c>
      <c r="D19" s="26"/>
    </row>
    <row r="20" customFormat="false" ht="48" hidden="false" customHeight="true" outlineLevel="0" collapsed="false">
      <c r="A20" s="26" t="s">
        <v>2861</v>
      </c>
      <c r="B20" s="26" t="s">
        <v>2862</v>
      </c>
      <c r="C20" s="26" t="s">
        <v>2863</v>
      </c>
      <c r="D20" s="26"/>
    </row>
    <row r="21" customFormat="false" ht="48" hidden="false" customHeight="true" outlineLevel="0" collapsed="false">
      <c r="A21" s="26" t="s">
        <v>2864</v>
      </c>
      <c r="B21" s="26" t="s">
        <v>2865</v>
      </c>
      <c r="C21" s="26" t="s">
        <v>2830</v>
      </c>
      <c r="D21" s="26"/>
    </row>
    <row r="22" customFormat="false" ht="48" hidden="false" customHeight="true" outlineLevel="0" collapsed="false">
      <c r="A22" s="26" t="s">
        <v>2866</v>
      </c>
      <c r="B22" s="26" t="s">
        <v>2867</v>
      </c>
      <c r="C22" s="26" t="s">
        <v>2830</v>
      </c>
      <c r="D22" s="26"/>
    </row>
    <row r="23" customFormat="false" ht="48" hidden="false" customHeight="true" outlineLevel="0" collapsed="false">
      <c r="A23" s="26" t="s">
        <v>2868</v>
      </c>
      <c r="B23" s="26" t="s">
        <v>2869</v>
      </c>
      <c r="C23" s="26" t="s">
        <v>2830</v>
      </c>
      <c r="D23" s="26"/>
    </row>
    <row r="24" customFormat="false" ht="48" hidden="false" customHeight="true" outlineLevel="0" collapsed="false">
      <c r="A24" s="26" t="s">
        <v>2870</v>
      </c>
      <c r="B24" s="26" t="s">
        <v>2871</v>
      </c>
      <c r="C24" s="26" t="s">
        <v>2872</v>
      </c>
      <c r="D24" s="26"/>
    </row>
    <row r="25" customFormat="false" ht="48" hidden="false" customHeight="true" outlineLevel="0" collapsed="false">
      <c r="A25" s="26" t="s">
        <v>2873</v>
      </c>
      <c r="B25" s="26" t="s">
        <v>2874</v>
      </c>
      <c r="C25" s="26" t="s">
        <v>2830</v>
      </c>
      <c r="D25" s="26"/>
    </row>
    <row r="26" customFormat="false" ht="48" hidden="false" customHeight="true" outlineLevel="0" collapsed="false">
      <c r="A26" s="26" t="s">
        <v>2875</v>
      </c>
      <c r="B26" s="26" t="s">
        <v>2876</v>
      </c>
      <c r="C26" s="26" t="s">
        <v>2877</v>
      </c>
      <c r="D26" s="26"/>
    </row>
    <row r="27" customFormat="false" ht="48" hidden="false" customHeight="true" outlineLevel="0" collapsed="false">
      <c r="A27" s="26" t="s">
        <v>2878</v>
      </c>
      <c r="B27" s="26" t="s">
        <v>2879</v>
      </c>
      <c r="C27" s="26" t="s">
        <v>2830</v>
      </c>
      <c r="D27" s="26"/>
    </row>
    <row r="28" customFormat="false" ht="48" hidden="false" customHeight="true" outlineLevel="0" collapsed="false">
      <c r="A28" s="26" t="s">
        <v>2880</v>
      </c>
      <c r="B28" s="26" t="s">
        <v>2881</v>
      </c>
      <c r="C28" s="26" t="s">
        <v>2830</v>
      </c>
      <c r="D28" s="26"/>
    </row>
    <row r="29" customFormat="false" ht="48" hidden="false" customHeight="true" outlineLevel="0" collapsed="false">
      <c r="A29" s="26" t="s">
        <v>2882</v>
      </c>
      <c r="B29" s="26" t="s">
        <v>2883</v>
      </c>
      <c r="C29" s="26" t="s">
        <v>2830</v>
      </c>
      <c r="D29" s="26"/>
    </row>
    <row r="30" customFormat="false" ht="48" hidden="false" customHeight="true" outlineLevel="0" collapsed="false">
      <c r="A30" s="26" t="s">
        <v>2884</v>
      </c>
      <c r="B30" s="26" t="s">
        <v>2885</v>
      </c>
      <c r="C30" s="26" t="s">
        <v>2830</v>
      </c>
      <c r="D30" s="26"/>
    </row>
    <row r="31" customFormat="false" ht="48" hidden="false" customHeight="true" outlineLevel="0" collapsed="false">
      <c r="A31" s="26" t="s">
        <v>2886</v>
      </c>
      <c r="B31" s="26" t="s">
        <v>2887</v>
      </c>
      <c r="C31" s="26" t="s">
        <v>2888</v>
      </c>
      <c r="D31" s="26"/>
    </row>
    <row r="32" customFormat="false" ht="48" hidden="false" customHeight="true" outlineLevel="0" collapsed="false">
      <c r="A32" s="26" t="s">
        <v>2889</v>
      </c>
      <c r="B32" s="26" t="s">
        <v>2890</v>
      </c>
      <c r="C32" s="26" t="s">
        <v>2830</v>
      </c>
      <c r="D32" s="26"/>
    </row>
    <row r="33" customFormat="false" ht="48" hidden="false" customHeight="true" outlineLevel="0" collapsed="false">
      <c r="A33" s="26" t="s">
        <v>2891</v>
      </c>
      <c r="B33" s="26" t="s">
        <v>2892</v>
      </c>
      <c r="C33" s="26" t="s">
        <v>2830</v>
      </c>
      <c r="D33" s="26"/>
    </row>
    <row r="34" customFormat="false" ht="48" hidden="false" customHeight="true" outlineLevel="0" collapsed="false">
      <c r="A34" s="26" t="s">
        <v>2893</v>
      </c>
      <c r="B34" s="26" t="s">
        <v>2894</v>
      </c>
      <c r="C34" s="26" t="s">
        <v>2830</v>
      </c>
      <c r="D34" s="26"/>
    </row>
    <row r="35" customFormat="false" ht="48" hidden="false" customHeight="true" outlineLevel="0" collapsed="false">
      <c r="A35" s="26" t="s">
        <v>2895</v>
      </c>
      <c r="B35" s="26" t="s">
        <v>2896</v>
      </c>
      <c r="C35" s="26" t="s">
        <v>2897</v>
      </c>
      <c r="D35" s="26"/>
    </row>
    <row r="36" customFormat="false" ht="48" hidden="false" customHeight="true" outlineLevel="0" collapsed="false">
      <c r="A36" s="26" t="s">
        <v>2898</v>
      </c>
      <c r="B36" s="26" t="s">
        <v>2899</v>
      </c>
      <c r="C36" s="26" t="s">
        <v>2830</v>
      </c>
      <c r="D36" s="26"/>
    </row>
    <row r="37" customFormat="false" ht="48" hidden="false" customHeight="true" outlineLevel="0" collapsed="false">
      <c r="A37" s="26" t="s">
        <v>2900</v>
      </c>
      <c r="B37" s="26" t="s">
        <v>2901</v>
      </c>
      <c r="C37" s="26" t="s">
        <v>2902</v>
      </c>
      <c r="D37" s="26"/>
    </row>
    <row r="38" customFormat="false" ht="48" hidden="false" customHeight="true" outlineLevel="0" collapsed="false">
      <c r="A38" s="26" t="s">
        <v>2903</v>
      </c>
      <c r="B38" s="26" t="s">
        <v>2904</v>
      </c>
      <c r="C38" s="26" t="s">
        <v>2830</v>
      </c>
      <c r="D38" s="26"/>
    </row>
    <row r="39" customFormat="false" ht="48" hidden="false" customHeight="true" outlineLevel="0" collapsed="false">
      <c r="A39" s="26" t="s">
        <v>2905</v>
      </c>
      <c r="B39" s="26" t="s">
        <v>2906</v>
      </c>
      <c r="C39" s="26" t="s">
        <v>2830</v>
      </c>
      <c r="D39" s="26"/>
    </row>
    <row r="40" customFormat="false" ht="48" hidden="false" customHeight="true" outlineLevel="0" collapsed="false">
      <c r="A40" s="26" t="s">
        <v>2907</v>
      </c>
      <c r="B40" s="26" t="s">
        <v>2908</v>
      </c>
      <c r="C40" s="26" t="s">
        <v>2830</v>
      </c>
      <c r="D40" s="26"/>
    </row>
    <row r="41" customFormat="false" ht="48" hidden="false" customHeight="true" outlineLevel="0" collapsed="false">
      <c r="A41" s="26" t="s">
        <v>2909</v>
      </c>
      <c r="B41" s="26" t="s">
        <v>2910</v>
      </c>
      <c r="C41" s="26" t="s">
        <v>2911</v>
      </c>
      <c r="D41" s="26"/>
    </row>
    <row r="42" customFormat="false" ht="48" hidden="false" customHeight="true" outlineLevel="0" collapsed="false">
      <c r="A42" s="26" t="s">
        <v>2912</v>
      </c>
      <c r="B42" s="26" t="s">
        <v>2913</v>
      </c>
      <c r="C42" s="26" t="s">
        <v>2911</v>
      </c>
      <c r="D42" s="26"/>
    </row>
    <row r="43" customFormat="false" ht="48" hidden="false" customHeight="true" outlineLevel="0" collapsed="false">
      <c r="A43" s="26" t="s">
        <v>2914</v>
      </c>
      <c r="B43" s="26" t="s">
        <v>2915</v>
      </c>
      <c r="C43" s="26" t="s">
        <v>2830</v>
      </c>
      <c r="D43" s="26"/>
    </row>
    <row r="44" customFormat="false" ht="48" hidden="false" customHeight="true" outlineLevel="0" collapsed="false">
      <c r="A44" s="26" t="s">
        <v>2916</v>
      </c>
      <c r="B44" s="26" t="s">
        <v>2917</v>
      </c>
      <c r="C44" s="26" t="s">
        <v>2918</v>
      </c>
      <c r="D44" s="26"/>
    </row>
    <row r="45" customFormat="false" ht="48" hidden="false" customHeight="true" outlineLevel="0" collapsed="false">
      <c r="A45" s="26" t="s">
        <v>2919</v>
      </c>
      <c r="B45" s="26" t="s">
        <v>2920</v>
      </c>
      <c r="C45" s="26" t="s">
        <v>2830</v>
      </c>
      <c r="D45" s="26"/>
    </row>
    <row r="46" customFormat="false" ht="48" hidden="false" customHeight="true" outlineLevel="0" collapsed="false">
      <c r="A46" s="26" t="s">
        <v>2921</v>
      </c>
      <c r="B46" s="26" t="s">
        <v>2922</v>
      </c>
      <c r="C46" s="26" t="s">
        <v>2923</v>
      </c>
      <c r="D46" s="26"/>
    </row>
    <row r="47" customFormat="false" ht="48" hidden="false" customHeight="true" outlineLevel="0" collapsed="false">
      <c r="A47" s="26" t="s">
        <v>2924</v>
      </c>
      <c r="B47" s="26" t="s">
        <v>2925</v>
      </c>
      <c r="C47" s="26" t="s">
        <v>2923</v>
      </c>
      <c r="D47" s="26"/>
    </row>
    <row r="48" customFormat="false" ht="48" hidden="false" customHeight="true" outlineLevel="0" collapsed="false">
      <c r="A48" s="26" t="s">
        <v>2926</v>
      </c>
      <c r="B48" s="26" t="s">
        <v>2927</v>
      </c>
      <c r="C48" s="26" t="s">
        <v>2923</v>
      </c>
      <c r="D48" s="26"/>
    </row>
    <row r="49" customFormat="false" ht="26.25" hidden="false" customHeight="true" outlineLevel="0" collapsed="false">
      <c r="A49" s="26" t="s">
        <v>2928</v>
      </c>
      <c r="B49" s="26" t="s">
        <v>2929</v>
      </c>
      <c r="C49" s="26" t="s">
        <v>2930</v>
      </c>
    </row>
    <row r="50" customFormat="false" ht="26.25" hidden="false" customHeight="true" outlineLevel="0" collapsed="false">
      <c r="A50" s="26" t="s">
        <v>2931</v>
      </c>
      <c r="B50" s="26" t="s">
        <v>2932</v>
      </c>
      <c r="C50" s="26" t="s">
        <v>2930</v>
      </c>
    </row>
    <row r="51" customFormat="false" ht="26.25" hidden="false" customHeight="true" outlineLevel="0" collapsed="false">
      <c r="A51" s="26" t="s">
        <v>2933</v>
      </c>
      <c r="B51" s="26" t="s">
        <v>2934</v>
      </c>
      <c r="C51" s="26" t="s">
        <v>2930</v>
      </c>
    </row>
    <row r="52" customFormat="false" ht="26.25" hidden="false" customHeight="true" outlineLevel="0" collapsed="false">
      <c r="A52" s="26" t="s">
        <v>2935</v>
      </c>
      <c r="B52" s="26" t="s">
        <v>2936</v>
      </c>
      <c r="C52" s="26" t="s">
        <v>2930</v>
      </c>
    </row>
    <row r="53" customFormat="false" ht="26.25" hidden="false" customHeight="true" outlineLevel="0" collapsed="false">
      <c r="A53" s="26" t="s">
        <v>2937</v>
      </c>
      <c r="B53" s="26" t="s">
        <v>2938</v>
      </c>
      <c r="C53" s="26" t="s">
        <v>2930</v>
      </c>
    </row>
    <row r="54" customFormat="false" ht="26.25" hidden="false" customHeight="true" outlineLevel="0" collapsed="false">
      <c r="A54" s="26" t="s">
        <v>2939</v>
      </c>
      <c r="B54" s="26" t="s">
        <v>2940</v>
      </c>
      <c r="C54" s="26" t="s">
        <v>2941</v>
      </c>
    </row>
    <row r="55" customFormat="false" ht="26.25" hidden="false" customHeight="true" outlineLevel="0" collapsed="false">
      <c r="A55" s="26" t="s">
        <v>2942</v>
      </c>
      <c r="B55" s="26" t="s">
        <v>2943</v>
      </c>
      <c r="C55" s="26" t="s">
        <v>2944</v>
      </c>
    </row>
    <row r="56" customFormat="false" ht="51.75" hidden="false" customHeight="true" outlineLevel="0" collapsed="false">
      <c r="A56" s="26" t="s">
        <v>2945</v>
      </c>
      <c r="B56" s="26" t="s">
        <v>2946</v>
      </c>
      <c r="C56" s="26" t="s">
        <v>2930</v>
      </c>
    </row>
    <row r="57" customFormat="false" ht="15" hidden="false" customHeight="true" outlineLevel="0" collapsed="false">
      <c r="A57" s="1" t="s">
        <v>2947</v>
      </c>
      <c r="B57" s="1" t="s">
        <v>2948</v>
      </c>
      <c r="C57" s="1" t="s">
        <v>2949</v>
      </c>
    </row>
    <row r="58" customFormat="false" ht="15" hidden="false" customHeight="true" outlineLevel="0" collapsed="false">
      <c r="A58" s="1" t="s">
        <v>2950</v>
      </c>
      <c r="B58" s="1" t="s">
        <v>2951</v>
      </c>
      <c r="C58" s="1" t="s">
        <v>2949</v>
      </c>
    </row>
    <row r="59" customFormat="false" ht="15" hidden="false" customHeight="true" outlineLevel="0" collapsed="false">
      <c r="A59" s="1" t="s">
        <v>2952</v>
      </c>
      <c r="B59" s="1" t="s">
        <v>2953</v>
      </c>
      <c r="C59" s="1" t="s">
        <v>2949</v>
      </c>
    </row>
    <row r="60" customFormat="false" ht="15" hidden="false" customHeight="true" outlineLevel="0" collapsed="false">
      <c r="A60" s="1" t="s">
        <v>2954</v>
      </c>
      <c r="B60" s="1" t="s">
        <v>2955</v>
      </c>
      <c r="C60" s="1" t="s">
        <v>2949</v>
      </c>
    </row>
    <row r="61" customFormat="false" ht="15" hidden="false" customHeight="true" outlineLevel="0" collapsed="false">
      <c r="A61" s="1" t="s">
        <v>2956</v>
      </c>
      <c r="B61" s="1" t="s">
        <v>2957</v>
      </c>
      <c r="C61" s="1" t="s">
        <v>2958</v>
      </c>
    </row>
    <row r="62" customFormat="false" ht="15" hidden="false" customHeight="true" outlineLevel="0" collapsed="false">
      <c r="A62" s="1" t="s">
        <v>2959</v>
      </c>
      <c r="B62" s="1" t="s">
        <v>2960</v>
      </c>
      <c r="C62" s="1" t="s">
        <v>2958</v>
      </c>
    </row>
    <row r="63" customFormat="false" ht="15" hidden="false" customHeight="true" outlineLevel="0" collapsed="false">
      <c r="A63" s="1" t="s">
        <v>2961</v>
      </c>
      <c r="B63" s="1" t="s">
        <v>2962</v>
      </c>
      <c r="C63" s="1" t="s">
        <v>2963</v>
      </c>
    </row>
    <row r="64" customFormat="false" ht="15" hidden="false" customHeight="true" outlineLevel="0" collapsed="false">
      <c r="A64" s="1" t="s">
        <v>2964</v>
      </c>
      <c r="B64" s="1" t="s">
        <v>2965</v>
      </c>
      <c r="C64" s="1" t="s">
        <v>2966</v>
      </c>
    </row>
    <row r="65" customFormat="false" ht="15" hidden="false" customHeight="true" outlineLevel="0" collapsed="false">
      <c r="A65" s="1" t="s">
        <v>2967</v>
      </c>
      <c r="B65" s="1" t="s">
        <v>2968</v>
      </c>
      <c r="C65" s="1" t="s">
        <v>2966</v>
      </c>
    </row>
    <row r="66" customFormat="false" ht="15" hidden="false" customHeight="true" outlineLevel="0" collapsed="false">
      <c r="A66" s="1" t="s">
        <v>2969</v>
      </c>
      <c r="B66" s="1" t="s">
        <v>2970</v>
      </c>
      <c r="C66" s="1" t="s">
        <v>2971</v>
      </c>
    </row>
    <row r="67" customFormat="false" ht="15" hidden="false" customHeight="true" outlineLevel="0" collapsed="false">
      <c r="A67" s="1" t="s">
        <v>2972</v>
      </c>
      <c r="B67" s="1" t="s">
        <v>2973</v>
      </c>
      <c r="C67" s="1" t="s">
        <v>2971</v>
      </c>
    </row>
    <row r="68" customFormat="false" ht="15" hidden="false" customHeight="true" outlineLevel="0" collapsed="false">
      <c r="A68" s="1" t="s">
        <v>2974</v>
      </c>
      <c r="B68" s="1" t="s">
        <v>2975</v>
      </c>
      <c r="C68" s="1" t="s">
        <v>2971</v>
      </c>
    </row>
    <row r="69" customFormat="false" ht="15" hidden="false" customHeight="true" outlineLevel="0" collapsed="false">
      <c r="A69" s="1" t="s">
        <v>2976</v>
      </c>
      <c r="B69" s="1" t="s">
        <v>2977</v>
      </c>
      <c r="C69" s="1" t="s">
        <v>2971</v>
      </c>
    </row>
    <row r="70" customFormat="false" ht="15" hidden="false" customHeight="true" outlineLevel="0" collapsed="false">
      <c r="A70" s="1" t="s">
        <v>2978</v>
      </c>
      <c r="B70" s="1" t="s">
        <v>2979</v>
      </c>
      <c r="C70" s="1" t="s">
        <v>2980</v>
      </c>
    </row>
    <row r="71" customFormat="false" ht="15" hidden="false" customHeight="true" outlineLevel="0" collapsed="false">
      <c r="A71" s="1" t="s">
        <v>2981</v>
      </c>
      <c r="B71" s="1" t="s">
        <v>2982</v>
      </c>
      <c r="C71" s="1" t="s">
        <v>2983</v>
      </c>
    </row>
    <row r="72" customFormat="false" ht="15" hidden="false" customHeight="true" outlineLevel="0" collapsed="false">
      <c r="A72" s="1" t="s">
        <v>2984</v>
      </c>
      <c r="B72" s="1" t="s">
        <v>2985</v>
      </c>
      <c r="C72" s="1" t="s">
        <v>2983</v>
      </c>
    </row>
    <row r="73" customFormat="false" ht="15" hidden="false" customHeight="true" outlineLevel="0" collapsed="false">
      <c r="A73" s="1" t="s">
        <v>2986</v>
      </c>
      <c r="B73" s="1" t="s">
        <v>2987</v>
      </c>
      <c r="C73" s="1" t="s">
        <v>2988</v>
      </c>
    </row>
    <row r="74" customFormat="false" ht="15" hidden="false" customHeight="true" outlineLevel="0" collapsed="false">
      <c r="A74" s="1" t="s">
        <v>2989</v>
      </c>
      <c r="B74" s="1" t="s">
        <v>2990</v>
      </c>
      <c r="C74" s="1" t="s">
        <v>2988</v>
      </c>
    </row>
    <row r="75" customFormat="false" ht="15" hidden="false" customHeight="true" outlineLevel="0" collapsed="false">
      <c r="A75" s="1" t="s">
        <v>2991</v>
      </c>
      <c r="B75" s="1" t="s">
        <v>2992</v>
      </c>
      <c r="C75" s="1" t="s">
        <v>2988</v>
      </c>
    </row>
    <row r="76" customFormat="false" ht="15" hidden="false" customHeight="true" outlineLevel="0" collapsed="false">
      <c r="A76" s="1" t="s">
        <v>2993</v>
      </c>
      <c r="B76" s="1" t="s">
        <v>2994</v>
      </c>
      <c r="C76" s="1" t="s">
        <v>2988</v>
      </c>
    </row>
    <row r="77" customFormat="false" ht="15" hidden="false" customHeight="true" outlineLevel="0" collapsed="false">
      <c r="A77" s="1" t="s">
        <v>2995</v>
      </c>
      <c r="B77" s="1" t="s">
        <v>2996</v>
      </c>
      <c r="C77" s="1" t="s">
        <v>2988</v>
      </c>
    </row>
    <row r="78" customFormat="false" ht="15" hidden="false" customHeight="true" outlineLevel="0" collapsed="false">
      <c r="A78" s="1" t="s">
        <v>2997</v>
      </c>
      <c r="B78" s="1" t="s">
        <v>2998</v>
      </c>
      <c r="C78" s="1" t="s">
        <v>2988</v>
      </c>
    </row>
    <row r="79" customFormat="false" ht="15" hidden="false" customHeight="true" outlineLevel="0" collapsed="false">
      <c r="A79" s="1" t="s">
        <v>2999</v>
      </c>
      <c r="B79" s="1" t="s">
        <v>3000</v>
      </c>
      <c r="C79" s="1" t="s">
        <v>2988</v>
      </c>
    </row>
    <row r="80" customFormat="false" ht="15" hidden="false" customHeight="true" outlineLevel="0" collapsed="false">
      <c r="A80" s="1" t="s">
        <v>3001</v>
      </c>
      <c r="B80" s="1" t="s">
        <v>3002</v>
      </c>
      <c r="C80" s="1" t="s">
        <v>2988</v>
      </c>
    </row>
    <row r="81" customFormat="false" ht="15" hidden="false" customHeight="true" outlineLevel="0" collapsed="false">
      <c r="A81" s="1" t="s">
        <v>3003</v>
      </c>
      <c r="B81" s="1" t="s">
        <v>3004</v>
      </c>
      <c r="C81" s="1" t="s">
        <v>2988</v>
      </c>
    </row>
    <row r="82" customFormat="false" ht="15" hidden="false" customHeight="true" outlineLevel="0" collapsed="false">
      <c r="A82" s="1" t="s">
        <v>3005</v>
      </c>
      <c r="B82" s="1" t="s">
        <v>3006</v>
      </c>
      <c r="C82" s="1" t="s">
        <v>3007</v>
      </c>
    </row>
    <row r="83" customFormat="false" ht="15" hidden="false" customHeight="true" outlineLevel="0" collapsed="false">
      <c r="A83" s="1" t="s">
        <v>3008</v>
      </c>
      <c r="B83" s="1" t="s">
        <v>3009</v>
      </c>
      <c r="C83" s="1" t="s">
        <v>3007</v>
      </c>
    </row>
    <row r="84" customFormat="false" ht="15" hidden="false" customHeight="true" outlineLevel="0" collapsed="false">
      <c r="A84" s="1" t="s">
        <v>3010</v>
      </c>
      <c r="B84" s="1" t="s">
        <v>3011</v>
      </c>
      <c r="C84" s="1" t="s">
        <v>3007</v>
      </c>
    </row>
    <row r="85" customFormat="false" ht="15" hidden="false" customHeight="true" outlineLevel="0" collapsed="false">
      <c r="A85" s="1" t="s">
        <v>3012</v>
      </c>
      <c r="B85" s="1" t="s">
        <v>3013</v>
      </c>
      <c r="C85" s="1" t="s">
        <v>3007</v>
      </c>
    </row>
    <row r="86" customFormat="false" ht="15" hidden="false" customHeight="true" outlineLevel="0" collapsed="false">
      <c r="A86" s="1" t="s">
        <v>3014</v>
      </c>
      <c r="B86" s="1" t="s">
        <v>3015</v>
      </c>
      <c r="C86" s="1" t="s">
        <v>3007</v>
      </c>
    </row>
    <row r="87" customFormat="false" ht="15" hidden="false" customHeight="true" outlineLevel="0" collapsed="false">
      <c r="A87" s="1" t="s">
        <v>3016</v>
      </c>
      <c r="B87" s="1" t="s">
        <v>3017</v>
      </c>
      <c r="C87" s="1" t="s">
        <v>3007</v>
      </c>
    </row>
    <row r="88" customFormat="false" ht="15" hidden="false" customHeight="true" outlineLevel="0" collapsed="false">
      <c r="A88" s="1" t="s">
        <v>3018</v>
      </c>
      <c r="B88" s="1" t="s">
        <v>3019</v>
      </c>
      <c r="C88" s="1" t="s">
        <v>3007</v>
      </c>
    </row>
    <row r="89" customFormat="false" ht="15" hidden="false" customHeight="true" outlineLevel="0" collapsed="false">
      <c r="A89" s="1" t="s">
        <v>3020</v>
      </c>
      <c r="B89" s="1" t="s">
        <v>3021</v>
      </c>
      <c r="C89" s="1" t="s">
        <v>3007</v>
      </c>
    </row>
    <row r="90" customFormat="false" ht="15" hidden="false" customHeight="true" outlineLevel="0" collapsed="false">
      <c r="A90" s="1" t="s">
        <v>3022</v>
      </c>
      <c r="B90" s="1" t="s">
        <v>3023</v>
      </c>
      <c r="C90" s="1" t="s">
        <v>3007</v>
      </c>
    </row>
    <row r="91" customFormat="false" ht="15" hidden="false" customHeight="true" outlineLevel="0" collapsed="false">
      <c r="A91" s="1" t="s">
        <v>3024</v>
      </c>
      <c r="B91" s="1" t="s">
        <v>3025</v>
      </c>
      <c r="C91" s="1" t="s">
        <v>3026</v>
      </c>
    </row>
    <row r="92" customFormat="false" ht="15" hidden="false" customHeight="true" outlineLevel="0" collapsed="false">
      <c r="A92" s="1" t="s">
        <v>3027</v>
      </c>
      <c r="B92" s="1" t="s">
        <v>3028</v>
      </c>
      <c r="C92" s="1" t="s">
        <v>3026</v>
      </c>
    </row>
    <row r="93" customFormat="false" ht="15" hidden="false" customHeight="true" outlineLevel="0" collapsed="false">
      <c r="A93" s="1" t="s">
        <v>3029</v>
      </c>
      <c r="B93" s="1" t="s">
        <v>3030</v>
      </c>
      <c r="C93" s="1" t="s">
        <v>3026</v>
      </c>
    </row>
    <row r="94" customFormat="false" ht="15" hidden="false" customHeight="true" outlineLevel="0" collapsed="false">
      <c r="A94" s="1" t="s">
        <v>3031</v>
      </c>
      <c r="B94" s="1" t="s">
        <v>3032</v>
      </c>
      <c r="C94" s="1" t="s">
        <v>3026</v>
      </c>
    </row>
    <row r="95" customFormat="false" ht="15" hidden="false" customHeight="true" outlineLevel="0" collapsed="false">
      <c r="A95" s="1" t="s">
        <v>3033</v>
      </c>
      <c r="B95" s="1" t="s">
        <v>3034</v>
      </c>
      <c r="C95" s="1" t="s">
        <v>3035</v>
      </c>
    </row>
    <row r="96" customFormat="false" ht="15" hidden="false" customHeight="true" outlineLevel="0" collapsed="false">
      <c r="A96" s="1" t="s">
        <v>3036</v>
      </c>
      <c r="B96" s="1" t="s">
        <v>3037</v>
      </c>
      <c r="C96" s="1" t="s">
        <v>3026</v>
      </c>
    </row>
    <row r="97" customFormat="false" ht="15" hidden="false" customHeight="true" outlineLevel="0" collapsed="false">
      <c r="A97" s="1" t="s">
        <v>3038</v>
      </c>
      <c r="B97" s="1" t="s">
        <v>3039</v>
      </c>
      <c r="C97" s="1" t="s">
        <v>3026</v>
      </c>
    </row>
    <row r="98" customFormat="false" ht="15" hidden="false" customHeight="true" outlineLevel="0" collapsed="false">
      <c r="A98" s="1" t="s">
        <v>3040</v>
      </c>
      <c r="B98" s="1" t="s">
        <v>3041</v>
      </c>
      <c r="C98" s="1" t="s">
        <v>3042</v>
      </c>
    </row>
    <row r="99" customFormat="false" ht="15" hidden="false" customHeight="true" outlineLevel="0" collapsed="false">
      <c r="A99" s="1" t="s">
        <v>3043</v>
      </c>
      <c r="B99" s="1" t="s">
        <v>3044</v>
      </c>
      <c r="C99" s="1" t="s">
        <v>3042</v>
      </c>
    </row>
    <row r="100" customFormat="false" ht="15" hidden="false" customHeight="true" outlineLevel="0" collapsed="false">
      <c r="A100" s="1" t="s">
        <v>3045</v>
      </c>
      <c r="B100" s="1" t="s">
        <v>3046</v>
      </c>
      <c r="C100" s="1" t="s">
        <v>3047</v>
      </c>
    </row>
    <row r="101" customFormat="false" ht="15" hidden="false" customHeight="true" outlineLevel="0" collapsed="false">
      <c r="A101" s="1" t="s">
        <v>3048</v>
      </c>
      <c r="B101" s="1" t="s">
        <v>3049</v>
      </c>
      <c r="C101" s="1" t="s">
        <v>3047</v>
      </c>
    </row>
    <row r="102" customFormat="false" ht="15" hidden="false" customHeight="true" outlineLevel="0" collapsed="false">
      <c r="A102" s="1" t="s">
        <v>3050</v>
      </c>
      <c r="B102" s="1" t="s">
        <v>3051</v>
      </c>
      <c r="C102" s="1" t="s">
        <v>3047</v>
      </c>
    </row>
    <row r="103" customFormat="false" ht="15" hidden="false" customHeight="true" outlineLevel="0" collapsed="false">
      <c r="A103" s="1" t="s">
        <v>3052</v>
      </c>
      <c r="B103" s="1" t="s">
        <v>3053</v>
      </c>
      <c r="C103" s="1" t="s">
        <v>3054</v>
      </c>
    </row>
    <row r="104" customFormat="false" ht="15" hidden="false" customHeight="true" outlineLevel="0" collapsed="false">
      <c r="A104" s="1" t="s">
        <v>3055</v>
      </c>
      <c r="B104" s="1" t="s">
        <v>3056</v>
      </c>
      <c r="C104" s="1" t="s">
        <v>3057</v>
      </c>
    </row>
    <row r="105" customFormat="false" ht="15" hidden="false" customHeight="true" outlineLevel="0" collapsed="false">
      <c r="A105" s="1" t="s">
        <v>3058</v>
      </c>
      <c r="B105" s="1" t="s">
        <v>3059</v>
      </c>
      <c r="C105" s="1" t="s">
        <v>3060</v>
      </c>
    </row>
    <row r="106" customFormat="false" ht="15" hidden="false" customHeight="true" outlineLevel="0" collapsed="false">
      <c r="A106" s="1" t="s">
        <v>3061</v>
      </c>
      <c r="B106" s="1" t="s">
        <v>3062</v>
      </c>
      <c r="C106" s="1" t="s">
        <v>3060</v>
      </c>
    </row>
    <row r="107" customFormat="false" ht="15" hidden="false" customHeight="true" outlineLevel="0" collapsed="false">
      <c r="A107" s="1" t="s">
        <v>3063</v>
      </c>
      <c r="B107" s="1" t="s">
        <v>3064</v>
      </c>
      <c r="C107" s="1" t="s">
        <v>3060</v>
      </c>
    </row>
    <row r="108" customFormat="false" ht="15" hidden="false" customHeight="true" outlineLevel="0" collapsed="false">
      <c r="A108" s="1" t="s">
        <v>3065</v>
      </c>
      <c r="B108" s="1" t="s">
        <v>3066</v>
      </c>
      <c r="C108" s="1" t="s">
        <v>3060</v>
      </c>
    </row>
    <row r="109" customFormat="false" ht="15" hidden="false" customHeight="true" outlineLevel="0" collapsed="false">
      <c r="A109" s="1" t="s">
        <v>3067</v>
      </c>
      <c r="B109" s="1" t="s">
        <v>3068</v>
      </c>
      <c r="C109" s="1" t="s">
        <v>3060</v>
      </c>
    </row>
    <row r="110" customFormat="false" ht="15" hidden="false" customHeight="true" outlineLevel="0" collapsed="false">
      <c r="A110" s="1" t="s">
        <v>3069</v>
      </c>
      <c r="B110" s="1" t="s">
        <v>3070</v>
      </c>
      <c r="C110" s="1" t="s">
        <v>3060</v>
      </c>
    </row>
    <row r="111" customFormat="false" ht="15" hidden="false" customHeight="true" outlineLevel="0" collapsed="false">
      <c r="A111" s="1" t="s">
        <v>3071</v>
      </c>
      <c r="B111" s="1" t="s">
        <v>3072</v>
      </c>
      <c r="C111" s="1" t="s">
        <v>3060</v>
      </c>
    </row>
    <row r="112" customFormat="false" ht="15" hidden="false" customHeight="true" outlineLevel="0" collapsed="false">
      <c r="A112" s="1" t="s">
        <v>3073</v>
      </c>
      <c r="B112" s="1" t="s">
        <v>3074</v>
      </c>
      <c r="C112" s="1" t="s">
        <v>3060</v>
      </c>
    </row>
    <row r="113" customFormat="false" ht="15" hidden="false" customHeight="true" outlineLevel="0" collapsed="false">
      <c r="A113" s="1" t="s">
        <v>3075</v>
      </c>
      <c r="B113" s="1" t="s">
        <v>3076</v>
      </c>
      <c r="C113" s="1" t="s">
        <v>3077</v>
      </c>
    </row>
    <row r="114" customFormat="false" ht="15" hidden="false" customHeight="true" outlineLevel="0" collapsed="false">
      <c r="A114" s="1" t="s">
        <v>3078</v>
      </c>
      <c r="B114" s="1" t="s">
        <v>3079</v>
      </c>
      <c r="C114" s="1" t="s">
        <v>3077</v>
      </c>
    </row>
    <row r="115" customFormat="false" ht="15" hidden="false" customHeight="true" outlineLevel="0" collapsed="false">
      <c r="A115" s="1" t="s">
        <v>3080</v>
      </c>
      <c r="B115" s="1" t="s">
        <v>3081</v>
      </c>
      <c r="C115" s="1" t="s">
        <v>3082</v>
      </c>
    </row>
    <row r="116" customFormat="false" ht="15" hidden="false" customHeight="true" outlineLevel="0" collapsed="false">
      <c r="A116" s="1" t="s">
        <v>3083</v>
      </c>
      <c r="B116" s="1" t="s">
        <v>3084</v>
      </c>
      <c r="C116" s="1" t="s">
        <v>3085</v>
      </c>
    </row>
    <row r="117" customFormat="false" ht="15" hidden="false" customHeight="true" outlineLevel="0" collapsed="false">
      <c r="A117" s="1" t="s">
        <v>3086</v>
      </c>
      <c r="B117" s="1" t="s">
        <v>3087</v>
      </c>
      <c r="C117" s="1" t="s">
        <v>3088</v>
      </c>
    </row>
    <row r="118" customFormat="false" ht="15" hidden="false" customHeight="true" outlineLevel="0" collapsed="false">
      <c r="A118" s="1" t="s">
        <v>3089</v>
      </c>
      <c r="B118" s="1" t="s">
        <v>3090</v>
      </c>
      <c r="C118" s="1" t="s">
        <v>3082</v>
      </c>
    </row>
    <row r="119" customFormat="false" ht="15" hidden="false" customHeight="true" outlineLevel="0" collapsed="false">
      <c r="A119" s="1" t="s">
        <v>3091</v>
      </c>
      <c r="B119" s="1" t="s">
        <v>3092</v>
      </c>
      <c r="C119" s="1" t="s">
        <v>3077</v>
      </c>
    </row>
    <row r="120" customFormat="false" ht="15" hidden="false" customHeight="true" outlineLevel="0" collapsed="false">
      <c r="A120" s="1" t="s">
        <v>3093</v>
      </c>
      <c r="B120" s="1" t="s">
        <v>3094</v>
      </c>
      <c r="C120" s="1" t="s">
        <v>3077</v>
      </c>
    </row>
    <row r="121" customFormat="false" ht="15" hidden="false" customHeight="true" outlineLevel="0" collapsed="false">
      <c r="A121" s="1" t="s">
        <v>3095</v>
      </c>
      <c r="B121" s="1" t="s">
        <v>3096</v>
      </c>
      <c r="C121" s="1" t="s">
        <v>3077</v>
      </c>
    </row>
    <row r="122" customFormat="false" ht="15" hidden="false" customHeight="true" outlineLevel="0" collapsed="false">
      <c r="A122" s="1" t="s">
        <v>3097</v>
      </c>
      <c r="B122" s="1" t="s">
        <v>3098</v>
      </c>
      <c r="C122" s="1" t="s">
        <v>3077</v>
      </c>
    </row>
    <row r="123" customFormat="false" ht="15" hidden="false" customHeight="true" outlineLevel="0" collapsed="false">
      <c r="A123" s="1" t="s">
        <v>3099</v>
      </c>
      <c r="B123" s="1" t="s">
        <v>3100</v>
      </c>
      <c r="C123" s="1" t="s">
        <v>3101</v>
      </c>
    </row>
    <row r="124" customFormat="false" ht="15" hidden="false" customHeight="true" outlineLevel="0" collapsed="false">
      <c r="A124" s="1" t="s">
        <v>3102</v>
      </c>
      <c r="B124" s="1" t="s">
        <v>3103</v>
      </c>
      <c r="C124" s="1" t="s">
        <v>3104</v>
      </c>
    </row>
    <row r="125" customFormat="false" ht="15" hidden="false" customHeight="true" outlineLevel="0" collapsed="false">
      <c r="A125" s="1" t="s">
        <v>3105</v>
      </c>
      <c r="B125" s="1" t="s">
        <v>3106</v>
      </c>
      <c r="C125" s="1" t="s">
        <v>3082</v>
      </c>
    </row>
    <row r="126" customFormat="false" ht="15" hidden="false" customHeight="true" outlineLevel="0" collapsed="false">
      <c r="A126" s="1" t="s">
        <v>3107</v>
      </c>
      <c r="B126" s="1" t="s">
        <v>3108</v>
      </c>
      <c r="C126" s="1" t="s">
        <v>3109</v>
      </c>
    </row>
    <row r="127" customFormat="false" ht="15" hidden="false" customHeight="true" outlineLevel="0" collapsed="false">
      <c r="A127" s="1" t="s">
        <v>3110</v>
      </c>
      <c r="B127" s="1" t="s">
        <v>3111</v>
      </c>
      <c r="C127" s="1" t="s">
        <v>3077</v>
      </c>
    </row>
    <row r="128" customFormat="false" ht="15" hidden="false" customHeight="true" outlineLevel="0" collapsed="false">
      <c r="A128" s="1" t="s">
        <v>3112</v>
      </c>
      <c r="B128" s="1" t="s">
        <v>3113</v>
      </c>
      <c r="C128" s="1" t="s">
        <v>3077</v>
      </c>
    </row>
    <row r="129" customFormat="false" ht="15" hidden="false" customHeight="true" outlineLevel="0" collapsed="false">
      <c r="A129" s="1" t="s">
        <v>3114</v>
      </c>
      <c r="B129" s="1" t="s">
        <v>3115</v>
      </c>
      <c r="C129" s="1" t="s">
        <v>3077</v>
      </c>
    </row>
    <row r="130" customFormat="false" ht="15" hidden="false" customHeight="true" outlineLevel="0" collapsed="false">
      <c r="A130" s="1" t="s">
        <v>3116</v>
      </c>
      <c r="B130" s="1" t="s">
        <v>3117</v>
      </c>
      <c r="C130" s="1" t="s">
        <v>3077</v>
      </c>
    </row>
    <row r="131" customFormat="false" ht="15" hidden="false" customHeight="true" outlineLevel="0" collapsed="false">
      <c r="A131" s="1" t="s">
        <v>3118</v>
      </c>
      <c r="B131" s="1" t="s">
        <v>3119</v>
      </c>
      <c r="C131" s="1" t="s">
        <v>3120</v>
      </c>
    </row>
    <row r="132" customFormat="false" ht="15" hidden="false" customHeight="true" outlineLevel="0" collapsed="false">
      <c r="A132" s="1" t="s">
        <v>3121</v>
      </c>
      <c r="B132" s="1" t="s">
        <v>3122</v>
      </c>
      <c r="C132" s="1" t="s">
        <v>3077</v>
      </c>
    </row>
    <row r="133" customFormat="false" ht="15" hidden="false" customHeight="true" outlineLevel="0" collapsed="false">
      <c r="A133" s="1" t="s">
        <v>3123</v>
      </c>
      <c r="B133" s="1" t="s">
        <v>3124</v>
      </c>
      <c r="C133" s="1" t="s">
        <v>3077</v>
      </c>
    </row>
    <row r="134" customFormat="false" ht="15" hidden="false" customHeight="true" outlineLevel="0" collapsed="false">
      <c r="A134" s="1" t="s">
        <v>3125</v>
      </c>
      <c r="B134" s="1" t="s">
        <v>3126</v>
      </c>
      <c r="C134" s="1" t="s">
        <v>3077</v>
      </c>
    </row>
    <row r="135" customFormat="false" ht="15" hidden="false" customHeight="true" outlineLevel="0" collapsed="false">
      <c r="A135" s="1" t="s">
        <v>3127</v>
      </c>
      <c r="B135" s="1" t="s">
        <v>3128</v>
      </c>
      <c r="C135" s="1" t="s">
        <v>3129</v>
      </c>
    </row>
    <row r="136" customFormat="false" ht="15" hidden="false" customHeight="true" outlineLevel="0" collapsed="false">
      <c r="A136" s="1" t="s">
        <v>3130</v>
      </c>
      <c r="B136" s="1" t="s">
        <v>3131</v>
      </c>
      <c r="C136" s="1" t="s">
        <v>3077</v>
      </c>
    </row>
    <row r="137" customFormat="false" ht="15" hidden="false" customHeight="true" outlineLevel="0" collapsed="false">
      <c r="A137" s="1" t="s">
        <v>3132</v>
      </c>
      <c r="B137" s="1" t="s">
        <v>3133</v>
      </c>
      <c r="C137" s="1" t="s">
        <v>3077</v>
      </c>
    </row>
    <row r="138" customFormat="false" ht="15" hidden="false" customHeight="true" outlineLevel="0" collapsed="false">
      <c r="A138" s="1" t="s">
        <v>3134</v>
      </c>
      <c r="B138" s="1" t="s">
        <v>3135</v>
      </c>
      <c r="C138" s="1" t="s">
        <v>3077</v>
      </c>
    </row>
    <row r="139" customFormat="false" ht="15" hidden="false" customHeight="true" outlineLevel="0" collapsed="false">
      <c r="A139" s="1" t="s">
        <v>3136</v>
      </c>
      <c r="B139" s="1" t="s">
        <v>3137</v>
      </c>
      <c r="C139" s="1" t="s">
        <v>3077</v>
      </c>
    </row>
    <row r="140" customFormat="false" ht="15" hidden="false" customHeight="true" outlineLevel="0" collapsed="false">
      <c r="A140" s="1" t="s">
        <v>3138</v>
      </c>
      <c r="B140" s="1" t="s">
        <v>3139</v>
      </c>
      <c r="C140" s="1" t="s">
        <v>3077</v>
      </c>
    </row>
    <row r="141" customFormat="false" ht="15" hidden="false" customHeight="true" outlineLevel="0" collapsed="false">
      <c r="A141" s="1" t="s">
        <v>3140</v>
      </c>
      <c r="B141" s="1" t="s">
        <v>3141</v>
      </c>
      <c r="C141" s="1" t="s">
        <v>3077</v>
      </c>
    </row>
    <row r="142" customFormat="false" ht="15" hidden="false" customHeight="true" outlineLevel="0" collapsed="false">
      <c r="A142" s="1" t="s">
        <v>3142</v>
      </c>
      <c r="B142" s="1" t="s">
        <v>3143</v>
      </c>
      <c r="C142" s="1" t="s">
        <v>3144</v>
      </c>
    </row>
    <row r="143" customFormat="false" ht="15" hidden="false" customHeight="true" outlineLevel="0" collapsed="false">
      <c r="A143" s="1" t="s">
        <v>3145</v>
      </c>
      <c r="B143" s="1" t="s">
        <v>3146</v>
      </c>
      <c r="C143" s="1" t="s">
        <v>3077</v>
      </c>
    </row>
    <row r="144" customFormat="false" ht="15" hidden="false" customHeight="true" outlineLevel="0" collapsed="false">
      <c r="A144" s="1" t="s">
        <v>3147</v>
      </c>
      <c r="B144" s="1" t="s">
        <v>3148</v>
      </c>
      <c r="C144" s="1" t="s">
        <v>3077</v>
      </c>
    </row>
    <row r="145" customFormat="false" ht="15" hidden="false" customHeight="true" outlineLevel="0" collapsed="false">
      <c r="A145" s="1" t="s">
        <v>3149</v>
      </c>
      <c r="B145" s="1" t="s">
        <v>3150</v>
      </c>
      <c r="C145" s="1" t="s">
        <v>3077</v>
      </c>
    </row>
    <row r="146" customFormat="false" ht="15" hidden="false" customHeight="true" outlineLevel="0" collapsed="false">
      <c r="A146" s="1" t="s">
        <v>3151</v>
      </c>
      <c r="B146" s="1" t="s">
        <v>3152</v>
      </c>
      <c r="C146" s="1" t="s">
        <v>3077</v>
      </c>
    </row>
    <row r="147" customFormat="false" ht="15" hidden="false" customHeight="true" outlineLevel="0" collapsed="false">
      <c r="A147" s="1" t="s">
        <v>3153</v>
      </c>
      <c r="B147" s="1" t="s">
        <v>3154</v>
      </c>
      <c r="C147" s="1" t="s">
        <v>3155</v>
      </c>
    </row>
    <row r="148" customFormat="false" ht="15" hidden="false" customHeight="true" outlineLevel="0" collapsed="false">
      <c r="A148" s="1" t="s">
        <v>3156</v>
      </c>
      <c r="B148" s="1" t="s">
        <v>3157</v>
      </c>
      <c r="C148" s="1" t="s">
        <v>3144</v>
      </c>
    </row>
    <row r="149" customFormat="false" ht="15" hidden="false" customHeight="true" outlineLevel="0" collapsed="false">
      <c r="A149" s="1" t="s">
        <v>3158</v>
      </c>
      <c r="B149" s="1" t="s">
        <v>3159</v>
      </c>
      <c r="C149" s="1" t="s">
        <v>3160</v>
      </c>
    </row>
    <row r="150" customFormat="false" ht="15" hidden="false" customHeight="true" outlineLevel="0" collapsed="false">
      <c r="A150" s="1" t="s">
        <v>3161</v>
      </c>
      <c r="B150" s="1" t="s">
        <v>3162</v>
      </c>
      <c r="C150" s="1" t="s">
        <v>3077</v>
      </c>
    </row>
    <row r="151" customFormat="false" ht="15" hidden="false" customHeight="true" outlineLevel="0" collapsed="false">
      <c r="A151" s="1" t="s">
        <v>3163</v>
      </c>
      <c r="B151" s="1" t="s">
        <v>3164</v>
      </c>
      <c r="C151" s="1" t="s">
        <v>3165</v>
      </c>
    </row>
    <row r="152" customFormat="false" ht="15" hidden="false" customHeight="true" outlineLevel="0" collapsed="false">
      <c r="A152" s="1" t="s">
        <v>3166</v>
      </c>
      <c r="B152" s="1" t="s">
        <v>3167</v>
      </c>
      <c r="C152" s="1" t="s">
        <v>3168</v>
      </c>
    </row>
    <row r="153" customFormat="false" ht="15" hidden="false" customHeight="true" outlineLevel="0" collapsed="false">
      <c r="A153" s="1" t="s">
        <v>3169</v>
      </c>
      <c r="B153" s="1" t="s">
        <v>3170</v>
      </c>
      <c r="C153" s="1" t="s">
        <v>3171</v>
      </c>
    </row>
    <row r="154" customFormat="false" ht="15" hidden="false" customHeight="true" outlineLevel="0" collapsed="false">
      <c r="A154" s="1" t="s">
        <v>3172</v>
      </c>
      <c r="B154" s="1" t="s">
        <v>3173</v>
      </c>
      <c r="C154" s="1" t="s">
        <v>3174</v>
      </c>
    </row>
    <row r="155" customFormat="false" ht="15" hidden="false" customHeight="true" outlineLevel="0" collapsed="false">
      <c r="A155" s="1" t="s">
        <v>3175</v>
      </c>
      <c r="B155" s="1" t="s">
        <v>3176</v>
      </c>
      <c r="C155" s="1" t="s">
        <v>3077</v>
      </c>
    </row>
    <row r="156" customFormat="false" ht="15" hidden="false" customHeight="true" outlineLevel="0" collapsed="false">
      <c r="A156" s="1" t="s">
        <v>3177</v>
      </c>
      <c r="B156" s="1" t="s">
        <v>3178</v>
      </c>
      <c r="C156" s="1" t="s">
        <v>3179</v>
      </c>
    </row>
    <row r="157" customFormat="false" ht="15" hidden="false" customHeight="true" outlineLevel="0" collapsed="false">
      <c r="A157" s="1" t="s">
        <v>3180</v>
      </c>
      <c r="B157" s="1" t="s">
        <v>3181</v>
      </c>
      <c r="C157" s="1" t="s">
        <v>3182</v>
      </c>
    </row>
    <row r="158" customFormat="false" ht="90" hidden="false" customHeight="true" outlineLevel="0" collapsed="false">
      <c r="A158" s="27" t="s">
        <v>3183</v>
      </c>
      <c r="B158" s="27" t="s">
        <v>3184</v>
      </c>
      <c r="C158" s="27" t="s">
        <v>3185</v>
      </c>
    </row>
    <row r="159" customFormat="false" ht="105" hidden="false" customHeight="true" outlineLevel="0" collapsed="false">
      <c r="A159" s="27" t="s">
        <v>3186</v>
      </c>
      <c r="B159" s="27" t="s">
        <v>3187</v>
      </c>
      <c r="C159" s="27" t="s">
        <v>3188</v>
      </c>
    </row>
    <row r="160" customFormat="false" ht="90" hidden="false" customHeight="true" outlineLevel="0" collapsed="false">
      <c r="A160" s="27" t="s">
        <v>3189</v>
      </c>
      <c r="B160" s="27" t="s">
        <v>3190</v>
      </c>
      <c r="C160" s="27" t="s">
        <v>3191</v>
      </c>
    </row>
    <row r="161" customFormat="false" ht="120" hidden="false" customHeight="true" outlineLevel="0" collapsed="false">
      <c r="A161" s="27" t="s">
        <v>3192</v>
      </c>
      <c r="B161" s="27" t="s">
        <v>3193</v>
      </c>
      <c r="C161" s="27" t="s">
        <v>3194</v>
      </c>
    </row>
    <row r="162" customFormat="false" ht="90" hidden="false" customHeight="true" outlineLevel="0" collapsed="false">
      <c r="A162" s="27" t="s">
        <v>3195</v>
      </c>
      <c r="B162" s="27" t="s">
        <v>3196</v>
      </c>
      <c r="C162" s="27" t="s">
        <v>3197</v>
      </c>
    </row>
    <row r="163" customFormat="false" ht="90" hidden="false" customHeight="true" outlineLevel="0" collapsed="false">
      <c r="A163" s="27" t="s">
        <v>3198</v>
      </c>
      <c r="B163" s="27" t="s">
        <v>3199</v>
      </c>
      <c r="C163" s="27" t="s">
        <v>3200</v>
      </c>
    </row>
    <row r="164" customFormat="false" ht="120" hidden="false" customHeight="true" outlineLevel="0" collapsed="false">
      <c r="A164" s="27" t="s">
        <v>3201</v>
      </c>
      <c r="B164" s="27" t="s">
        <v>3202</v>
      </c>
      <c r="C164" s="27" t="s">
        <v>3203</v>
      </c>
    </row>
    <row r="165" customFormat="false" ht="120" hidden="false" customHeight="true" outlineLevel="0" collapsed="false">
      <c r="A165" s="27" t="s">
        <v>3204</v>
      </c>
      <c r="B165" s="27" t="s">
        <v>3205</v>
      </c>
      <c r="C165" s="27" t="s">
        <v>3206</v>
      </c>
    </row>
    <row r="166" customFormat="false" ht="120" hidden="false" customHeight="true" outlineLevel="0" collapsed="false">
      <c r="A166" s="27" t="s">
        <v>3207</v>
      </c>
      <c r="B166" s="27" t="s">
        <v>3208</v>
      </c>
      <c r="C166" s="27" t="s">
        <v>3209</v>
      </c>
    </row>
    <row r="167" customFormat="false" ht="120" hidden="false" customHeight="true" outlineLevel="0" collapsed="false">
      <c r="A167" s="27" t="s">
        <v>3210</v>
      </c>
      <c r="B167" s="27" t="s">
        <v>3211</v>
      </c>
      <c r="C167" s="27" t="s">
        <v>3212</v>
      </c>
    </row>
    <row r="168" customFormat="false" ht="120" hidden="false" customHeight="true" outlineLevel="0" collapsed="false">
      <c r="A168" s="27" t="s">
        <v>3213</v>
      </c>
      <c r="B168" s="27" t="s">
        <v>3214</v>
      </c>
      <c r="C168" s="27" t="s">
        <v>3215</v>
      </c>
    </row>
    <row r="169" customFormat="false" ht="120" hidden="false" customHeight="true" outlineLevel="0" collapsed="false">
      <c r="A169" s="27" t="s">
        <v>3216</v>
      </c>
      <c r="B169" s="27" t="s">
        <v>3217</v>
      </c>
      <c r="C169" s="27" t="s">
        <v>3218</v>
      </c>
    </row>
    <row r="170" customFormat="false" ht="120" hidden="false" customHeight="true" outlineLevel="0" collapsed="false">
      <c r="A170" s="27" t="s">
        <v>3219</v>
      </c>
      <c r="B170" s="27" t="s">
        <v>3220</v>
      </c>
      <c r="C170" s="27" t="s">
        <v>3221</v>
      </c>
    </row>
    <row r="171" customFormat="false" ht="27.75" hidden="false" customHeight="true" outlineLevel="0" collapsed="false">
      <c r="A171" s="27" t="s">
        <v>3222</v>
      </c>
      <c r="B171" s="27" t="s">
        <v>3223</v>
      </c>
      <c r="C171" s="27" t="s">
        <v>3224</v>
      </c>
    </row>
    <row r="172" customFormat="false" ht="27.75" hidden="false" customHeight="true" outlineLevel="0" collapsed="false">
      <c r="A172" s="27" t="s">
        <v>3225</v>
      </c>
      <c r="B172" s="27" t="s">
        <v>3226</v>
      </c>
      <c r="C172" s="27" t="s">
        <v>3224</v>
      </c>
    </row>
    <row r="173" customFormat="false" ht="27.75" hidden="false" customHeight="true" outlineLevel="0" collapsed="false">
      <c r="A173" s="27" t="s">
        <v>3227</v>
      </c>
      <c r="B173" s="27" t="s">
        <v>3228</v>
      </c>
      <c r="C173" s="27" t="s">
        <v>3229</v>
      </c>
    </row>
    <row r="174" customFormat="false" ht="27.75" hidden="false" customHeight="true" outlineLevel="0" collapsed="false">
      <c r="A174" s="27" t="s">
        <v>3230</v>
      </c>
      <c r="B174" s="27" t="s">
        <v>3231</v>
      </c>
      <c r="C174" s="27" t="s">
        <v>3232</v>
      </c>
    </row>
    <row r="175" customFormat="false" ht="41.25" hidden="false" customHeight="true" outlineLevel="0" collapsed="false">
      <c r="A175" s="27" t="s">
        <v>3233</v>
      </c>
      <c r="B175" s="27" t="s">
        <v>3234</v>
      </c>
      <c r="C175" s="27" t="s">
        <v>3235</v>
      </c>
    </row>
    <row r="176" customFormat="false" ht="27.75" hidden="false" customHeight="true" outlineLevel="0" collapsed="false">
      <c r="A176" s="27" t="s">
        <v>3236</v>
      </c>
      <c r="B176" s="27" t="s">
        <v>3237</v>
      </c>
      <c r="C176" s="27" t="s">
        <v>3238</v>
      </c>
    </row>
    <row r="177" customFormat="false" ht="27.75" hidden="false" customHeight="true" outlineLevel="0" collapsed="false">
      <c r="A177" s="27" t="s">
        <v>3239</v>
      </c>
      <c r="B177" s="27" t="s">
        <v>3240</v>
      </c>
      <c r="C177" s="27" t="s">
        <v>3241</v>
      </c>
    </row>
    <row r="178" customFormat="false" ht="36" hidden="false" customHeight="true" outlineLevel="0" collapsed="false">
      <c r="A178" s="27" t="s">
        <v>3242</v>
      </c>
      <c r="B178" s="27" t="s">
        <v>3243</v>
      </c>
      <c r="C178" s="27" t="s">
        <v>3244</v>
      </c>
    </row>
    <row r="179" customFormat="false" ht="36" hidden="false" customHeight="true" outlineLevel="0" collapsed="false">
      <c r="A179" s="27" t="s">
        <v>3245</v>
      </c>
      <c r="B179" s="27" t="s">
        <v>3246</v>
      </c>
      <c r="C179" s="27" t="s">
        <v>3247</v>
      </c>
    </row>
    <row r="180" customFormat="false" ht="36" hidden="false" customHeight="true" outlineLevel="0" collapsed="false">
      <c r="A180" s="27" t="s">
        <v>3248</v>
      </c>
      <c r="B180" s="27" t="s">
        <v>3249</v>
      </c>
      <c r="C180" s="27" t="s">
        <v>3250</v>
      </c>
    </row>
    <row r="181" customFormat="false" ht="36" hidden="false" customHeight="true" outlineLevel="0" collapsed="false">
      <c r="A181" s="27" t="s">
        <v>3251</v>
      </c>
      <c r="B181" s="27" t="s">
        <v>3252</v>
      </c>
      <c r="C181" s="27" t="s">
        <v>3253</v>
      </c>
    </row>
    <row r="182" customFormat="false" ht="36" hidden="false" customHeight="true" outlineLevel="0" collapsed="false">
      <c r="A182" s="27" t="s">
        <v>3254</v>
      </c>
      <c r="B182" s="27" t="s">
        <v>3255</v>
      </c>
      <c r="C182" s="27" t="s">
        <v>3256</v>
      </c>
    </row>
    <row r="183" customFormat="false" ht="36" hidden="false" customHeight="true" outlineLevel="0" collapsed="false">
      <c r="A183" s="27" t="s">
        <v>3257</v>
      </c>
      <c r="B183" s="27" t="s">
        <v>3258</v>
      </c>
      <c r="C183" s="27" t="s">
        <v>3259</v>
      </c>
    </row>
    <row r="184" customFormat="false" ht="42" hidden="false" customHeight="true" outlineLevel="0" collapsed="false">
      <c r="A184" s="27" t="s">
        <v>3260</v>
      </c>
      <c r="B184" s="27" t="s">
        <v>3261</v>
      </c>
      <c r="C184" s="27" t="s">
        <v>3262</v>
      </c>
    </row>
    <row r="185" customFormat="false" ht="42" hidden="false" customHeight="true" outlineLevel="0" collapsed="false">
      <c r="A185" s="27" t="s">
        <v>3263</v>
      </c>
      <c r="B185" s="27" t="s">
        <v>3264</v>
      </c>
      <c r="C185" s="27" t="s">
        <v>3265</v>
      </c>
    </row>
    <row r="186" customFormat="false" ht="42" hidden="false" customHeight="true" outlineLevel="0" collapsed="false">
      <c r="A186" s="27" t="s">
        <v>3266</v>
      </c>
      <c r="B186" s="27" t="s">
        <v>3267</v>
      </c>
      <c r="C186" s="27" t="s">
        <v>3268</v>
      </c>
    </row>
    <row r="187" customFormat="false" ht="42" hidden="false" customHeight="true" outlineLevel="0" collapsed="false">
      <c r="A187" s="27" t="s">
        <v>3269</v>
      </c>
      <c r="B187" s="27" t="s">
        <v>3270</v>
      </c>
      <c r="C187" s="27" t="s">
        <v>3271</v>
      </c>
    </row>
    <row r="188" customFormat="false" ht="42" hidden="false" customHeight="true" outlineLevel="0" collapsed="false">
      <c r="A188" s="27" t="s">
        <v>3272</v>
      </c>
      <c r="B188" s="27" t="s">
        <v>3273</v>
      </c>
      <c r="C188" s="27" t="s">
        <v>3274</v>
      </c>
    </row>
    <row r="189" customFormat="false" ht="42" hidden="false" customHeight="true" outlineLevel="0" collapsed="false">
      <c r="A189" s="27" t="s">
        <v>3275</v>
      </c>
      <c r="B189" s="27" t="s">
        <v>3276</v>
      </c>
      <c r="C189" s="27" t="s">
        <v>3277</v>
      </c>
    </row>
    <row r="190" customFormat="false" ht="42" hidden="false" customHeight="true" outlineLevel="0" collapsed="false">
      <c r="A190" s="27" t="s">
        <v>3278</v>
      </c>
      <c r="B190" s="27" t="s">
        <v>3279</v>
      </c>
      <c r="C190" s="27" t="s">
        <v>3280</v>
      </c>
    </row>
    <row r="191" customFormat="false" ht="48" hidden="false" customHeight="true" outlineLevel="0" collapsed="false">
      <c r="A191" s="27" t="s">
        <v>3281</v>
      </c>
      <c r="B191" s="27" t="s">
        <v>3282</v>
      </c>
      <c r="C191" s="27" t="s">
        <v>3283</v>
      </c>
    </row>
    <row r="192" customFormat="false" ht="48" hidden="false" customHeight="true" outlineLevel="0" collapsed="false">
      <c r="A192" s="27" t="s">
        <v>3284</v>
      </c>
      <c r="B192" s="27" t="s">
        <v>3285</v>
      </c>
      <c r="C192" s="27" t="s">
        <v>3286</v>
      </c>
    </row>
    <row r="193" customFormat="false" ht="48" hidden="false" customHeight="true" outlineLevel="0" collapsed="false">
      <c r="A193" s="27" t="s">
        <v>3287</v>
      </c>
      <c r="B193" s="27" t="s">
        <v>3288</v>
      </c>
      <c r="C193" s="27" t="s">
        <v>3289</v>
      </c>
    </row>
    <row r="194" customFormat="false" ht="48" hidden="false" customHeight="true" outlineLevel="0" collapsed="false">
      <c r="A194" s="27" t="s">
        <v>3290</v>
      </c>
      <c r="B194" s="27" t="s">
        <v>3291</v>
      </c>
      <c r="C194" s="27" t="s">
        <v>3292</v>
      </c>
    </row>
    <row r="195" customFormat="false" ht="48" hidden="false" customHeight="true" outlineLevel="0" collapsed="false">
      <c r="A195" s="27" t="s">
        <v>3293</v>
      </c>
      <c r="B195" s="27" t="s">
        <v>3294</v>
      </c>
      <c r="C195" s="27" t="s">
        <v>3295</v>
      </c>
    </row>
    <row r="196" customFormat="false" ht="48" hidden="false" customHeight="true" outlineLevel="0" collapsed="false">
      <c r="A196" s="27" t="s">
        <v>3296</v>
      </c>
      <c r="B196" s="27" t="s">
        <v>3297</v>
      </c>
      <c r="C196" s="27" t="s">
        <v>3298</v>
      </c>
    </row>
    <row r="197" customFormat="false" ht="48" hidden="false" customHeight="true" outlineLevel="0" collapsed="false">
      <c r="A197" s="27" t="s">
        <v>3299</v>
      </c>
      <c r="B197" s="27" t="s">
        <v>3300</v>
      </c>
      <c r="C197" s="27" t="s">
        <v>3301</v>
      </c>
    </row>
    <row r="198" customFormat="false" ht="48" hidden="false" customHeight="true" outlineLevel="0" collapsed="false">
      <c r="A198" s="27" t="s">
        <v>3302</v>
      </c>
      <c r="B198" s="27" t="s">
        <v>3303</v>
      </c>
      <c r="C198" s="27" t="s">
        <v>3304</v>
      </c>
    </row>
    <row r="199" customFormat="false" ht="36" hidden="false" customHeight="true" outlineLevel="0" collapsed="false">
      <c r="A199" s="20" t="s">
        <v>3305</v>
      </c>
      <c r="B199" s="20" t="s">
        <v>3306</v>
      </c>
      <c r="C199" s="22" t="s">
        <v>3307</v>
      </c>
    </row>
    <row r="200" customFormat="false" ht="48" hidden="false" customHeight="true" outlineLevel="0" collapsed="false">
      <c r="A200" s="21" t="s">
        <v>3308</v>
      </c>
      <c r="B200" s="21" t="s">
        <v>3309</v>
      </c>
      <c r="C200" s="24" t="s">
        <v>3307</v>
      </c>
    </row>
    <row r="201" customFormat="false" ht="66" hidden="false" customHeight="true" outlineLevel="0" collapsed="false">
      <c r="A201" s="20" t="s">
        <v>3310</v>
      </c>
      <c r="B201" s="20" t="s">
        <v>3311</v>
      </c>
      <c r="C201" s="22" t="s">
        <v>3307</v>
      </c>
    </row>
    <row r="202" customFormat="false" ht="66" hidden="false" customHeight="true" outlineLevel="0" collapsed="false">
      <c r="A202" s="21" t="s">
        <v>3312</v>
      </c>
      <c r="B202" s="21" t="s">
        <v>3313</v>
      </c>
      <c r="C202" s="24" t="s">
        <v>3307</v>
      </c>
    </row>
    <row r="203" customFormat="false" ht="48" hidden="false" customHeight="true" outlineLevel="0" collapsed="false">
      <c r="A203" s="20" t="s">
        <v>3314</v>
      </c>
      <c r="B203" s="20" t="s">
        <v>3315</v>
      </c>
      <c r="C203" s="22" t="s">
        <v>3307</v>
      </c>
    </row>
    <row r="204" customFormat="false" ht="60" hidden="false" customHeight="true" outlineLevel="0" collapsed="false">
      <c r="A204" s="21" t="s">
        <v>3316</v>
      </c>
      <c r="B204" s="21" t="s">
        <v>3317</v>
      </c>
      <c r="C204" s="24" t="s">
        <v>3307</v>
      </c>
    </row>
    <row r="205" customFormat="false" ht="48" hidden="false" customHeight="true" outlineLevel="0" collapsed="false">
      <c r="A205" s="20" t="s">
        <v>3318</v>
      </c>
      <c r="B205" s="20" t="s">
        <v>3319</v>
      </c>
      <c r="C205" s="22" t="s">
        <v>3307</v>
      </c>
    </row>
    <row r="206" customFormat="false" ht="60" hidden="false" customHeight="true" outlineLevel="0" collapsed="false">
      <c r="A206" s="21" t="s">
        <v>3320</v>
      </c>
      <c r="B206" s="21" t="s">
        <v>3321</v>
      </c>
      <c r="C206" s="24" t="s">
        <v>3307</v>
      </c>
    </row>
    <row r="207" customFormat="false" ht="48" hidden="false" customHeight="true" outlineLevel="0" collapsed="false">
      <c r="A207" s="20" t="s">
        <v>3322</v>
      </c>
      <c r="B207" s="20" t="s">
        <v>3323</v>
      </c>
      <c r="C207" s="22" t="s">
        <v>3307</v>
      </c>
    </row>
    <row r="208" customFormat="false" ht="48" hidden="false" customHeight="true" outlineLevel="0" collapsed="false">
      <c r="A208" s="21" t="s">
        <v>3324</v>
      </c>
      <c r="B208" s="21" t="s">
        <v>3325</v>
      </c>
      <c r="C208" s="24" t="s">
        <v>3307</v>
      </c>
    </row>
    <row r="209" customFormat="false" ht="48" hidden="false" customHeight="true" outlineLevel="0" collapsed="false">
      <c r="A209" s="20" t="s">
        <v>3326</v>
      </c>
      <c r="B209" s="20" t="s">
        <v>3327</v>
      </c>
      <c r="C209" s="22" t="s">
        <v>3307</v>
      </c>
    </row>
    <row r="210" customFormat="false" ht="48" hidden="false" customHeight="true" outlineLevel="0" collapsed="false">
      <c r="A210" s="21" t="s">
        <v>3328</v>
      </c>
      <c r="B210" s="21" t="s">
        <v>3329</v>
      </c>
      <c r="C210" s="24" t="s">
        <v>3307</v>
      </c>
    </row>
    <row r="211" customFormat="false" ht="36" hidden="false" customHeight="true" outlineLevel="0" collapsed="false">
      <c r="A211" s="28" t="s">
        <v>3330</v>
      </c>
      <c r="B211" s="28" t="s">
        <v>3331</v>
      </c>
      <c r="C211" s="29" t="s">
        <v>3332</v>
      </c>
    </row>
    <row r="212" customFormat="false" ht="36" hidden="false" customHeight="true" outlineLevel="0" collapsed="false">
      <c r="A212" s="28" t="s">
        <v>3333</v>
      </c>
      <c r="B212" s="28" t="s">
        <v>3334</v>
      </c>
      <c r="C212" s="29" t="s">
        <v>3332</v>
      </c>
    </row>
    <row r="213" customFormat="false" ht="36" hidden="false" customHeight="true" outlineLevel="0" collapsed="false">
      <c r="A213" s="28" t="s">
        <v>3335</v>
      </c>
      <c r="B213" s="28" t="s">
        <v>3336</v>
      </c>
      <c r="C213" s="29" t="s">
        <v>3332</v>
      </c>
    </row>
    <row r="214" customFormat="false" ht="36" hidden="false" customHeight="true" outlineLevel="0" collapsed="false">
      <c r="A214" s="28" t="s">
        <v>3337</v>
      </c>
      <c r="B214" s="28" t="s">
        <v>3338</v>
      </c>
      <c r="C214" s="29" t="s">
        <v>3332</v>
      </c>
    </row>
    <row r="215" customFormat="false" ht="36" hidden="false" customHeight="true" outlineLevel="0" collapsed="false">
      <c r="A215" s="28" t="s">
        <v>3339</v>
      </c>
      <c r="B215" s="28" t="s">
        <v>3340</v>
      </c>
      <c r="C215" s="29" t="s">
        <v>3332</v>
      </c>
    </row>
    <row r="216" customFormat="false" ht="36" hidden="false" customHeight="true" outlineLevel="0" collapsed="false">
      <c r="A216" s="28" t="s">
        <v>3341</v>
      </c>
      <c r="B216" s="28" t="s">
        <v>3342</v>
      </c>
      <c r="C216" s="29" t="s">
        <v>3332</v>
      </c>
    </row>
    <row r="217" customFormat="false" ht="36" hidden="false" customHeight="true" outlineLevel="0" collapsed="false">
      <c r="A217" s="28" t="s">
        <v>3343</v>
      </c>
      <c r="B217" s="28" t="s">
        <v>3344</v>
      </c>
      <c r="C217" s="29" t="s">
        <v>3332</v>
      </c>
    </row>
    <row r="218" customFormat="false" ht="36" hidden="false" customHeight="true" outlineLevel="0" collapsed="false">
      <c r="A218" s="28" t="s">
        <v>3345</v>
      </c>
      <c r="B218" s="28" t="s">
        <v>3346</v>
      </c>
      <c r="C218" s="29" t="s">
        <v>3332</v>
      </c>
    </row>
    <row r="219" customFormat="false" ht="36" hidden="false" customHeight="true" outlineLevel="0" collapsed="false">
      <c r="A219" s="28" t="s">
        <v>3347</v>
      </c>
      <c r="B219" s="28" t="s">
        <v>3348</v>
      </c>
      <c r="C219" s="29" t="s">
        <v>3332</v>
      </c>
    </row>
    <row r="220" customFormat="false" ht="36" hidden="false" customHeight="true" outlineLevel="0" collapsed="false">
      <c r="A220" s="28" t="s">
        <v>3349</v>
      </c>
      <c r="B220" s="28" t="s">
        <v>3350</v>
      </c>
      <c r="C220" s="29" t="s">
        <v>3332</v>
      </c>
    </row>
  </sheetData>
  <autoFilter ref="A4:C220"/>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8" t="s">
        <v>3351</v>
      </c>
      <c r="B1" s="8"/>
      <c r="C1" s="8"/>
      <c r="D1" s="8"/>
      <c r="E1" s="8"/>
    </row>
    <row r="2" customFormat="false" ht="33.75" hidden="false" customHeight="true" outlineLevel="0" collapsed="false">
      <c r="A2" s="19" t="s">
        <v>3352</v>
      </c>
      <c r="B2" s="19"/>
      <c r="C2" s="19"/>
      <c r="D2" s="19"/>
      <c r="E2" s="19"/>
    </row>
    <row r="4" customFormat="false" ht="33.75" hidden="false" customHeight="true" outlineLevel="0" collapsed="false">
      <c r="A4" s="10" t="s">
        <v>3353</v>
      </c>
      <c r="B4" s="10" t="s">
        <v>3354</v>
      </c>
      <c r="C4" s="10" t="s">
        <v>3355</v>
      </c>
      <c r="D4" s="10" t="s">
        <v>3356</v>
      </c>
      <c r="E4" s="10" t="s">
        <v>3357</v>
      </c>
    </row>
    <row r="5" customFormat="false" ht="26.25" hidden="false" customHeight="true" outlineLevel="0" collapsed="false">
      <c r="A5" s="26" t="s">
        <v>3358</v>
      </c>
      <c r="B5" s="26" t="s">
        <v>3359</v>
      </c>
      <c r="C5" s="26" t="s">
        <v>3360</v>
      </c>
      <c r="D5" s="26" t="s">
        <v>3361</v>
      </c>
      <c r="E5" s="26" t="s">
        <v>3362</v>
      </c>
    </row>
    <row r="6" customFormat="false" ht="26.25" hidden="false" customHeight="true" outlineLevel="0" collapsed="false">
      <c r="A6" s="30" t="s">
        <v>3363</v>
      </c>
      <c r="B6" s="30" t="s">
        <v>3364</v>
      </c>
      <c r="C6" s="30" t="s">
        <v>3365</v>
      </c>
      <c r="D6" s="30" t="s">
        <v>3366</v>
      </c>
      <c r="E6" s="30" t="s">
        <v>3367</v>
      </c>
    </row>
    <row r="7" customFormat="false" ht="26.25" hidden="false" customHeight="true" outlineLevel="0" collapsed="false">
      <c r="A7" s="26" t="s">
        <v>2157</v>
      </c>
      <c r="B7" s="26" t="s">
        <v>3368</v>
      </c>
      <c r="C7" s="26" t="s">
        <v>2161</v>
      </c>
      <c r="D7" s="26" t="s">
        <v>2162</v>
      </c>
      <c r="E7" s="26" t="s">
        <v>2165</v>
      </c>
    </row>
    <row r="8" customFormat="false" ht="26.25" hidden="false" customHeight="true" outlineLevel="0" collapsed="false">
      <c r="A8" s="30" t="s">
        <v>2169</v>
      </c>
      <c r="B8" s="30" t="s">
        <v>3369</v>
      </c>
      <c r="C8" s="30" t="s">
        <v>2173</v>
      </c>
      <c r="D8" s="30" t="s">
        <v>2174</v>
      </c>
      <c r="E8" s="30" t="s">
        <v>2176</v>
      </c>
    </row>
    <row r="9" customFormat="false" ht="26.25" hidden="false" customHeight="true" outlineLevel="0" collapsed="false">
      <c r="A9" s="26" t="s">
        <v>2180</v>
      </c>
      <c r="B9" s="26" t="s">
        <v>3370</v>
      </c>
      <c r="C9" s="26" t="s">
        <v>2184</v>
      </c>
      <c r="D9" s="26" t="s">
        <v>2185</v>
      </c>
      <c r="E9" s="26" t="s">
        <v>2187</v>
      </c>
    </row>
    <row r="10" customFormat="false" ht="26.25" hidden="false" customHeight="true" outlineLevel="0" collapsed="false">
      <c r="A10" s="30" t="s">
        <v>2191</v>
      </c>
      <c r="B10" s="30" t="s">
        <v>3371</v>
      </c>
      <c r="C10" s="30" t="s">
        <v>2195</v>
      </c>
      <c r="D10" s="30" t="s">
        <v>2196</v>
      </c>
      <c r="E10" s="30" t="s">
        <v>2198</v>
      </c>
    </row>
    <row r="11" customFormat="false" ht="26.25" hidden="false" customHeight="true" outlineLevel="0" collapsed="false">
      <c r="A11" s="26" t="s">
        <v>2202</v>
      </c>
      <c r="B11" s="26" t="s">
        <v>3372</v>
      </c>
      <c r="C11" s="26" t="s">
        <v>2206</v>
      </c>
      <c r="D11" s="26" t="s">
        <v>2207</v>
      </c>
      <c r="E11" s="26" t="s">
        <v>2210</v>
      </c>
    </row>
    <row r="12" customFormat="false" ht="26.25" hidden="false" customHeight="true" outlineLevel="0" collapsed="false">
      <c r="A12" s="30" t="s">
        <v>2214</v>
      </c>
      <c r="B12" s="30" t="s">
        <v>3373</v>
      </c>
      <c r="C12" s="30" t="s">
        <v>2217</v>
      </c>
      <c r="D12" s="30" t="s">
        <v>2218</v>
      </c>
      <c r="E12" s="30" t="s">
        <v>2220</v>
      </c>
    </row>
    <row r="13" customFormat="false" ht="26.25" hidden="false" customHeight="true" outlineLevel="0" collapsed="false">
      <c r="A13" s="26" t="s">
        <v>2224</v>
      </c>
      <c r="B13" s="26" t="s">
        <v>3374</v>
      </c>
      <c r="C13" s="26" t="s">
        <v>2228</v>
      </c>
      <c r="D13" s="26" t="s">
        <v>2229</v>
      </c>
      <c r="E13" s="26" t="s">
        <v>2231</v>
      </c>
    </row>
    <row r="14" customFormat="false" ht="26.25" hidden="false" customHeight="true" outlineLevel="0" collapsed="false">
      <c r="A14" s="30" t="s">
        <v>2235</v>
      </c>
      <c r="B14" s="30" t="s">
        <v>3375</v>
      </c>
      <c r="C14" s="30" t="s">
        <v>2239</v>
      </c>
      <c r="D14" s="30" t="s">
        <v>2240</v>
      </c>
      <c r="E14" s="30" t="s">
        <v>2242</v>
      </c>
    </row>
    <row r="15" customFormat="false" ht="26.25" hidden="false" customHeight="true" outlineLevel="0" collapsed="false">
      <c r="A15" s="26" t="s">
        <v>2246</v>
      </c>
      <c r="B15" s="26" t="s">
        <v>3376</v>
      </c>
      <c r="C15" s="26" t="s">
        <v>2250</v>
      </c>
      <c r="D15" s="26" t="s">
        <v>2251</v>
      </c>
      <c r="E15" s="26" t="s">
        <v>2253</v>
      </c>
    </row>
    <row r="16" customFormat="false" ht="26.25" hidden="false" customHeight="true" outlineLevel="0" collapsed="false">
      <c r="A16" s="30" t="s">
        <v>2257</v>
      </c>
      <c r="B16" s="30" t="s">
        <v>3377</v>
      </c>
      <c r="C16" s="30" t="s">
        <v>2261</v>
      </c>
      <c r="D16" s="30" t="s">
        <v>2262</v>
      </c>
      <c r="E16" s="30" t="s">
        <v>2264</v>
      </c>
    </row>
    <row r="17" customFormat="false" ht="26.25" hidden="false" customHeight="true" outlineLevel="0" collapsed="false">
      <c r="A17" s="26" t="s">
        <v>2268</v>
      </c>
      <c r="B17" s="26" t="s">
        <v>3378</v>
      </c>
      <c r="C17" s="26" t="s">
        <v>2272</v>
      </c>
      <c r="D17" s="26" t="s">
        <v>2273</v>
      </c>
      <c r="E17" s="26" t="s">
        <v>2276</v>
      </c>
    </row>
    <row r="18" customFormat="false" ht="26.25" hidden="false" customHeight="true" outlineLevel="0" collapsed="false">
      <c r="A18" s="30" t="s">
        <v>2280</v>
      </c>
      <c r="B18" s="30" t="s">
        <v>3379</v>
      </c>
      <c r="C18" s="30" t="s">
        <v>2283</v>
      </c>
      <c r="D18" s="30" t="s">
        <v>2284</v>
      </c>
      <c r="E18" s="30" t="s">
        <v>2286</v>
      </c>
    </row>
    <row r="19" customFormat="false" ht="26.25" hidden="false" customHeight="true" outlineLevel="0" collapsed="false">
      <c r="A19" s="26" t="s">
        <v>2290</v>
      </c>
      <c r="B19" s="26" t="s">
        <v>3380</v>
      </c>
      <c r="C19" s="26" t="s">
        <v>2283</v>
      </c>
      <c r="D19" s="26" t="s">
        <v>2293</v>
      </c>
      <c r="E19" s="26" t="s">
        <v>2294</v>
      </c>
    </row>
    <row r="20" customFormat="false" ht="26.25" hidden="false" customHeight="true" outlineLevel="0" collapsed="false">
      <c r="A20" s="26" t="s">
        <v>3363</v>
      </c>
      <c r="B20" s="26" t="s">
        <v>3381</v>
      </c>
      <c r="C20" s="26" t="s">
        <v>3365</v>
      </c>
      <c r="D20" s="26" t="s">
        <v>3382</v>
      </c>
      <c r="E20" s="26" t="s">
        <v>3383</v>
      </c>
    </row>
    <row r="21" customFormat="false" ht="15" hidden="false" customHeight="true" outlineLevel="0" collapsed="false">
      <c r="A21" s="26" t="s">
        <v>3384</v>
      </c>
      <c r="B21" s="26" t="s">
        <v>3385</v>
      </c>
      <c r="C21" s="26" t="s">
        <v>3386</v>
      </c>
      <c r="D21" s="26" t="s">
        <v>3387</v>
      </c>
      <c r="E21" s="26" t="s">
        <v>3388</v>
      </c>
    </row>
  </sheetData>
  <autoFilter ref="A4:E21"/>
  <mergeCells count="2">
    <mergeCell ref="A1:E1"/>
    <mergeCell ref="A2:E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28"/>
    <col collapsed="false" customWidth="true" hidden="false" outlineLevel="0" max="4" min="4" style="1" width="24"/>
  </cols>
  <sheetData>
    <row r="1" customFormat="false" ht="24.75" hidden="false" customHeight="true" outlineLevel="0" collapsed="false">
      <c r="A1" s="31" t="s">
        <v>3389</v>
      </c>
      <c r="B1" s="31"/>
      <c r="C1" s="31"/>
      <c r="D1" s="31"/>
    </row>
    <row r="2" customFormat="false" ht="15" hidden="false" customHeight="true" outlineLevel="0" collapsed="false">
      <c r="A2" s="32" t="s">
        <v>3390</v>
      </c>
      <c r="B2" s="32" t="s">
        <v>3391</v>
      </c>
      <c r="C2" s="32" t="s">
        <v>3392</v>
      </c>
      <c r="D2" s="32" t="s">
        <v>2</v>
      </c>
    </row>
    <row r="3" customFormat="false" ht="15" hidden="false" customHeight="true" outlineLevel="0" collapsed="false">
      <c r="A3" s="33" t="s">
        <v>3393</v>
      </c>
      <c r="B3" s="33" t="n">
        <v>50</v>
      </c>
      <c r="C3" s="33" t="s">
        <v>383</v>
      </c>
      <c r="D3" s="33" t="s">
        <v>3394</v>
      </c>
    </row>
    <row r="4" customFormat="false" ht="15" hidden="false" customHeight="true" outlineLevel="0" collapsed="false">
      <c r="A4" s="33" t="s">
        <v>3395</v>
      </c>
      <c r="B4" s="33" t="n">
        <v>20</v>
      </c>
      <c r="C4" s="33" t="s">
        <v>383</v>
      </c>
      <c r="D4" s="33" t="s">
        <v>3394</v>
      </c>
    </row>
    <row r="5" customFormat="false" ht="15" hidden="false" customHeight="true" outlineLevel="0" collapsed="false">
      <c r="A5" s="33" t="s">
        <v>3396</v>
      </c>
      <c r="B5" s="33" t="n">
        <v>25</v>
      </c>
      <c r="C5" s="33" t="s">
        <v>383</v>
      </c>
      <c r="D5" s="33" t="s">
        <v>3394</v>
      </c>
    </row>
    <row r="6" customFormat="false" ht="15" hidden="false" customHeight="true" outlineLevel="0" collapsed="false">
      <c r="A6" s="33" t="s">
        <v>3397</v>
      </c>
      <c r="B6" s="33" t="n">
        <v>10</v>
      </c>
      <c r="C6" s="33" t="s">
        <v>383</v>
      </c>
      <c r="D6" s="33" t="s">
        <v>3394</v>
      </c>
    </row>
    <row r="7" customFormat="false" ht="15" hidden="false" customHeight="true" outlineLevel="0" collapsed="false">
      <c r="A7" s="33" t="s">
        <v>3398</v>
      </c>
      <c r="B7" s="33" t="n">
        <v>5</v>
      </c>
      <c r="C7" s="33" t="s">
        <v>383</v>
      </c>
      <c r="D7" s="33" t="s">
        <v>3394</v>
      </c>
    </row>
    <row r="8" customFormat="false" ht="15" hidden="false" customHeight="true" outlineLevel="0" collapsed="false">
      <c r="A8" s="33" t="s">
        <v>3399</v>
      </c>
      <c r="B8" s="33" t="n">
        <v>0</v>
      </c>
      <c r="C8" s="33" t="s">
        <v>383</v>
      </c>
      <c r="D8" s="33" t="s">
        <v>3394</v>
      </c>
    </row>
    <row r="9" customFormat="false" ht="15" hidden="false" customHeight="true" outlineLevel="0" collapsed="false">
      <c r="A9" s="33" t="s">
        <v>3400</v>
      </c>
      <c r="B9" s="33" t="n">
        <v>5</v>
      </c>
      <c r="C9" s="33" t="s">
        <v>644</v>
      </c>
      <c r="D9" s="33" t="s">
        <v>3394</v>
      </c>
    </row>
    <row r="10" customFormat="false" ht="15" hidden="false" customHeight="true" outlineLevel="0" collapsed="false">
      <c r="A10" s="33" t="s">
        <v>3401</v>
      </c>
      <c r="B10" s="33" t="n">
        <v>10</v>
      </c>
      <c r="C10" s="33" t="s">
        <v>383</v>
      </c>
      <c r="D10" s="33" t="s">
        <v>3394</v>
      </c>
    </row>
    <row r="11" customFormat="false" ht="15" hidden="false" customHeight="true" outlineLevel="0" collapsed="false">
      <c r="A11" s="33" t="s">
        <v>3402</v>
      </c>
      <c r="B11" s="33" t="n">
        <v>10</v>
      </c>
      <c r="C11" s="33" t="s">
        <v>383</v>
      </c>
      <c r="D11" s="33" t="s">
        <v>3394</v>
      </c>
    </row>
    <row r="12" customFormat="false" ht="15" hidden="false" customHeight="true" outlineLevel="0" collapsed="false">
      <c r="A12" s="33" t="s">
        <v>3403</v>
      </c>
      <c r="B12" s="33" t="n">
        <v>5</v>
      </c>
      <c r="C12" s="33" t="s">
        <v>261</v>
      </c>
      <c r="D12" s="33" t="s">
        <v>3394</v>
      </c>
    </row>
    <row r="13" customFormat="false" ht="15" hidden="false" customHeight="true" outlineLevel="0" collapsed="false">
      <c r="A13" s="33" t="s">
        <v>3404</v>
      </c>
      <c r="B13" s="33" t="n">
        <v>95</v>
      </c>
      <c r="C13" s="33" t="s">
        <v>261</v>
      </c>
      <c r="D13" s="33" t="s">
        <v>3394</v>
      </c>
    </row>
    <row r="14" customFormat="false" ht="15" hidden="false" customHeight="true" outlineLevel="0" collapsed="false">
      <c r="A14" s="33" t="s">
        <v>3405</v>
      </c>
      <c r="B14" s="33" t="n">
        <v>1</v>
      </c>
      <c r="C14" s="33" t="s">
        <v>675</v>
      </c>
      <c r="D14" s="33" t="s">
        <v>3406</v>
      </c>
    </row>
    <row r="15" customFormat="false" ht="15" hidden="false" customHeight="true" outlineLevel="0" collapsed="false">
      <c r="A15" s="33" t="s">
        <v>3407</v>
      </c>
      <c r="B15" s="33" t="n">
        <v>100</v>
      </c>
      <c r="C15" s="33" t="s">
        <v>675</v>
      </c>
      <c r="D15" s="33" t="s">
        <v>3406</v>
      </c>
    </row>
    <row r="16" customFormat="false" ht="15" hidden="false" customHeight="true" outlineLevel="0" collapsed="false">
      <c r="A16" s="33" t="s">
        <v>3408</v>
      </c>
      <c r="B16" s="33" t="n">
        <v>7</v>
      </c>
      <c r="C16" s="33" t="s">
        <v>3409</v>
      </c>
      <c r="D16" s="33" t="s">
        <v>3410</v>
      </c>
    </row>
    <row r="17" customFormat="false" ht="15" hidden="false" customHeight="true" outlineLevel="0" collapsed="false">
      <c r="A17" s="33" t="s">
        <v>3411</v>
      </c>
      <c r="B17" s="33" t="n">
        <v>36</v>
      </c>
      <c r="C17" s="33" t="s">
        <v>3412</v>
      </c>
      <c r="D17" s="33" t="s">
        <v>3410</v>
      </c>
    </row>
  </sheetData>
  <mergeCells count="1">
    <mergeCell ref="A1:D1"/>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8" min="3" style="1" width="16"/>
  </cols>
  <sheetData>
    <row r="1" customFormat="false" ht="27.75" hidden="false" customHeight="true" outlineLevel="0" collapsed="false">
      <c r="A1" s="31" t="s">
        <v>3413</v>
      </c>
      <c r="B1" s="31"/>
      <c r="C1" s="31"/>
      <c r="D1" s="31"/>
      <c r="E1" s="31"/>
      <c r="F1" s="31"/>
      <c r="G1" s="31"/>
      <c r="H1" s="31"/>
    </row>
    <row r="2" customFormat="false" ht="31.5" hidden="false" customHeight="true" outlineLevel="0" collapsed="false">
      <c r="A2" s="34" t="s">
        <v>3414</v>
      </c>
      <c r="B2" s="34" t="s">
        <v>3415</v>
      </c>
      <c r="C2" s="34" t="s">
        <v>3416</v>
      </c>
      <c r="D2" s="34" t="s">
        <v>3417</v>
      </c>
      <c r="E2" s="34" t="s">
        <v>3418</v>
      </c>
      <c r="F2" s="34" t="s">
        <v>3419</v>
      </c>
      <c r="G2" s="34" t="s">
        <v>3420</v>
      </c>
      <c r="H2" s="34" t="s">
        <v>3421</v>
      </c>
    </row>
    <row r="3" customFormat="false" ht="33.75" hidden="false" customHeight="true" outlineLevel="0" collapsed="false">
      <c r="A3" s="33" t="s">
        <v>3422</v>
      </c>
      <c r="B3" s="33" t="s">
        <v>3423</v>
      </c>
      <c r="C3" s="33" t="n">
        <v>0</v>
      </c>
      <c r="D3" s="33" t="s">
        <v>3424</v>
      </c>
      <c r="E3" s="33" t="s">
        <v>3425</v>
      </c>
      <c r="F3" s="33" t="s">
        <v>3426</v>
      </c>
      <c r="G3" s="33" t="s">
        <v>3427</v>
      </c>
      <c r="H3" s="33" t="s">
        <v>3428</v>
      </c>
    </row>
    <row r="4" customFormat="false" ht="33.75" hidden="false" customHeight="true" outlineLevel="0" collapsed="false">
      <c r="A4" s="33" t="s">
        <v>3429</v>
      </c>
      <c r="B4" s="33" t="s">
        <v>3430</v>
      </c>
      <c r="C4" s="33" t="n">
        <v>2</v>
      </c>
      <c r="D4" s="33" t="s">
        <v>3424</v>
      </c>
      <c r="E4" s="33" t="s">
        <v>3425</v>
      </c>
      <c r="F4" s="33" t="s">
        <v>3426</v>
      </c>
      <c r="G4" s="33" t="s">
        <v>3427</v>
      </c>
      <c r="H4" s="33" t="s">
        <v>3428</v>
      </c>
    </row>
    <row r="5" customFormat="false" ht="33.75" hidden="false" customHeight="true" outlineLevel="0" collapsed="false">
      <c r="A5" s="33" t="s">
        <v>3431</v>
      </c>
      <c r="B5" s="33" t="s">
        <v>3432</v>
      </c>
      <c r="C5" s="33" t="n">
        <v>4</v>
      </c>
      <c r="D5" s="33" t="s">
        <v>3424</v>
      </c>
      <c r="E5" s="33" t="s">
        <v>3425</v>
      </c>
      <c r="F5" s="33" t="s">
        <v>3426</v>
      </c>
      <c r="G5" s="33" t="s">
        <v>3427</v>
      </c>
      <c r="H5" s="33" t="s">
        <v>3428</v>
      </c>
    </row>
    <row r="6" customFormat="false" ht="33.75" hidden="false" customHeight="true" outlineLevel="0" collapsed="false">
      <c r="A6" s="33" t="s">
        <v>3433</v>
      </c>
      <c r="B6" s="33" t="s">
        <v>3434</v>
      </c>
      <c r="C6" s="33" t="n">
        <v>2</v>
      </c>
      <c r="D6" s="33" t="s">
        <v>3435</v>
      </c>
      <c r="E6" s="33" t="s">
        <v>3425</v>
      </c>
      <c r="F6" s="33" t="s">
        <v>3426</v>
      </c>
      <c r="G6" s="33" t="s">
        <v>3427</v>
      </c>
      <c r="H6" s="33" t="s">
        <v>3428</v>
      </c>
    </row>
    <row r="7" customFormat="false" ht="33.75" hidden="false" customHeight="true" outlineLevel="0" collapsed="false">
      <c r="A7" s="33" t="s">
        <v>3436</v>
      </c>
      <c r="B7" s="33" t="s">
        <v>3437</v>
      </c>
      <c r="C7" s="33" t="n">
        <v>2</v>
      </c>
      <c r="D7" s="33" t="s">
        <v>3438</v>
      </c>
      <c r="E7" s="33" t="s">
        <v>3425</v>
      </c>
      <c r="F7" s="33" t="s">
        <v>3426</v>
      </c>
      <c r="G7" s="33" t="s">
        <v>3427</v>
      </c>
      <c r="H7" s="33" t="s">
        <v>3428</v>
      </c>
    </row>
    <row r="8" customFormat="false" ht="33.75" hidden="false" customHeight="true" outlineLevel="0" collapsed="false">
      <c r="A8" s="33" t="s">
        <v>3439</v>
      </c>
      <c r="B8" s="33" t="s">
        <v>3440</v>
      </c>
      <c r="C8" s="33" t="n">
        <v>2</v>
      </c>
      <c r="D8" s="33" t="s">
        <v>3441</v>
      </c>
      <c r="E8" s="33" t="s">
        <v>3425</v>
      </c>
      <c r="F8" s="33" t="s">
        <v>3426</v>
      </c>
      <c r="G8" s="33" t="s">
        <v>3427</v>
      </c>
      <c r="H8" s="33" t="s">
        <v>3428</v>
      </c>
    </row>
    <row r="9" customFormat="false" ht="33.75" hidden="false" customHeight="true" outlineLevel="0" collapsed="false">
      <c r="A9" s="33" t="s">
        <v>3442</v>
      </c>
      <c r="B9" s="33" t="s">
        <v>3443</v>
      </c>
      <c r="C9" s="33" t="n">
        <v>2</v>
      </c>
      <c r="D9" s="33" t="s">
        <v>3424</v>
      </c>
      <c r="E9" s="33" t="s">
        <v>3444</v>
      </c>
      <c r="F9" s="33" t="s">
        <v>3426</v>
      </c>
      <c r="G9" s="33" t="s">
        <v>3427</v>
      </c>
      <c r="H9" s="33" t="s">
        <v>3428</v>
      </c>
    </row>
    <row r="10" customFormat="false" ht="33.75" hidden="false" customHeight="true" outlineLevel="0" collapsed="false">
      <c r="A10" s="33" t="s">
        <v>3445</v>
      </c>
      <c r="B10" s="33" t="s">
        <v>3446</v>
      </c>
      <c r="C10" s="33" t="n">
        <v>2</v>
      </c>
      <c r="D10" s="33" t="s">
        <v>3424</v>
      </c>
      <c r="E10" s="33" t="s">
        <v>3447</v>
      </c>
      <c r="F10" s="33" t="s">
        <v>3426</v>
      </c>
      <c r="G10" s="33" t="s">
        <v>3427</v>
      </c>
      <c r="H10" s="33" t="s">
        <v>3428</v>
      </c>
    </row>
    <row r="11" customFormat="false" ht="33.75" hidden="false" customHeight="true" outlineLevel="0" collapsed="false">
      <c r="A11" s="33" t="s">
        <v>3448</v>
      </c>
      <c r="B11" s="33" t="s">
        <v>3449</v>
      </c>
      <c r="C11" s="33" t="n">
        <v>2</v>
      </c>
      <c r="D11" s="33" t="s">
        <v>3424</v>
      </c>
      <c r="E11" s="33" t="s">
        <v>3425</v>
      </c>
      <c r="F11" s="33" t="s">
        <v>3450</v>
      </c>
      <c r="G11" s="33" t="s">
        <v>3427</v>
      </c>
      <c r="H11" s="33" t="s">
        <v>3428</v>
      </c>
    </row>
    <row r="12" customFormat="false" ht="33.75" hidden="false" customHeight="true" outlineLevel="0" collapsed="false">
      <c r="A12" s="33" t="s">
        <v>3451</v>
      </c>
      <c r="B12" s="33" t="s">
        <v>3452</v>
      </c>
      <c r="C12" s="33" t="n">
        <v>2</v>
      </c>
      <c r="D12" s="33" t="s">
        <v>3424</v>
      </c>
      <c r="E12" s="33" t="s">
        <v>3425</v>
      </c>
      <c r="F12" s="33" t="s">
        <v>3453</v>
      </c>
      <c r="G12" s="33" t="s">
        <v>3427</v>
      </c>
      <c r="H12" s="33" t="s">
        <v>3428</v>
      </c>
    </row>
    <row r="13" customFormat="false" ht="33.75" hidden="false" customHeight="true" outlineLevel="0" collapsed="false">
      <c r="A13" s="33" t="s">
        <v>3454</v>
      </c>
      <c r="B13" s="33" t="s">
        <v>3455</v>
      </c>
      <c r="C13" s="33" t="n">
        <v>2</v>
      </c>
      <c r="D13" s="33" t="s">
        <v>3424</v>
      </c>
      <c r="E13" s="33" t="s">
        <v>3425</v>
      </c>
      <c r="F13" s="33" t="s">
        <v>3456</v>
      </c>
      <c r="G13" s="33" t="s">
        <v>3427</v>
      </c>
      <c r="H13" s="33" t="s">
        <v>3428</v>
      </c>
    </row>
    <row r="14" customFormat="false" ht="33.75" hidden="false" customHeight="true" outlineLevel="0" collapsed="false">
      <c r="A14" s="33" t="s">
        <v>3457</v>
      </c>
      <c r="B14" s="33" t="s">
        <v>3458</v>
      </c>
      <c r="C14" s="33" t="n">
        <v>2</v>
      </c>
      <c r="D14" s="33" t="s">
        <v>3424</v>
      </c>
      <c r="E14" s="33" t="s">
        <v>3425</v>
      </c>
      <c r="F14" s="33" t="s">
        <v>3459</v>
      </c>
      <c r="G14" s="33" t="s">
        <v>3427</v>
      </c>
      <c r="H14" s="33" t="s">
        <v>3428</v>
      </c>
    </row>
    <row r="15" customFormat="false" ht="33.75" hidden="false" customHeight="true" outlineLevel="0" collapsed="false">
      <c r="A15" s="33" t="s">
        <v>3460</v>
      </c>
      <c r="B15" s="33" t="s">
        <v>3461</v>
      </c>
      <c r="C15" s="33" t="n">
        <v>2</v>
      </c>
      <c r="D15" s="33" t="s">
        <v>3424</v>
      </c>
      <c r="E15" s="33" t="s">
        <v>3425</v>
      </c>
      <c r="F15" s="33" t="s">
        <v>3426</v>
      </c>
      <c r="G15" s="33" t="s">
        <v>3462</v>
      </c>
      <c r="H15" s="33" t="s">
        <v>3428</v>
      </c>
    </row>
    <row r="16" customFormat="false" ht="33.75" hidden="false" customHeight="true" outlineLevel="0" collapsed="false">
      <c r="A16" s="33" t="s">
        <v>3463</v>
      </c>
      <c r="B16" s="33" t="s">
        <v>3464</v>
      </c>
      <c r="C16" s="33" t="n">
        <v>2</v>
      </c>
      <c r="D16" s="33" t="s">
        <v>3424</v>
      </c>
      <c r="E16" s="33" t="s">
        <v>3425</v>
      </c>
      <c r="F16" s="33" t="s">
        <v>3426</v>
      </c>
      <c r="G16" s="33" t="s">
        <v>3465</v>
      </c>
      <c r="H16" s="33" t="s">
        <v>3428</v>
      </c>
    </row>
    <row r="17" customFormat="false" ht="33.75" hidden="false" customHeight="true" outlineLevel="0" collapsed="false">
      <c r="A17" s="33" t="s">
        <v>3466</v>
      </c>
      <c r="B17" s="33" t="s">
        <v>3467</v>
      </c>
      <c r="C17" s="33" t="n">
        <v>2</v>
      </c>
      <c r="D17" s="33" t="s">
        <v>3424</v>
      </c>
      <c r="E17" s="33" t="s">
        <v>3425</v>
      </c>
      <c r="F17" s="33" t="s">
        <v>3426</v>
      </c>
      <c r="G17" s="33" t="s">
        <v>3468</v>
      </c>
      <c r="H17" s="33" t="s">
        <v>3428</v>
      </c>
    </row>
    <row r="18" customFormat="false" ht="33.75" hidden="false" customHeight="true" outlineLevel="0" collapsed="false">
      <c r="A18" s="33" t="s">
        <v>3469</v>
      </c>
      <c r="B18" s="33" t="s">
        <v>3470</v>
      </c>
      <c r="C18" s="33" t="n">
        <v>2</v>
      </c>
      <c r="D18" s="33" t="s">
        <v>3424</v>
      </c>
      <c r="E18" s="33" t="s">
        <v>3425</v>
      </c>
      <c r="F18" s="33" t="s">
        <v>3426</v>
      </c>
      <c r="G18" s="33" t="s">
        <v>3471</v>
      </c>
      <c r="H18" s="33" t="s">
        <v>3428</v>
      </c>
    </row>
    <row r="19" customFormat="false" ht="33.75" hidden="false" customHeight="true" outlineLevel="0" collapsed="false">
      <c r="A19" s="33" t="s">
        <v>3472</v>
      </c>
      <c r="B19" s="33" t="s">
        <v>3473</v>
      </c>
      <c r="C19" s="33" t="n">
        <v>2</v>
      </c>
      <c r="D19" s="33" t="s">
        <v>3424</v>
      </c>
      <c r="E19" s="33" t="s">
        <v>3425</v>
      </c>
      <c r="F19" s="33" t="s">
        <v>3426</v>
      </c>
      <c r="G19" s="33" t="s">
        <v>3474</v>
      </c>
      <c r="H19" s="33" t="s">
        <v>3428</v>
      </c>
    </row>
    <row r="20" customFormat="false" ht="33.75" hidden="false" customHeight="true" outlineLevel="0" collapsed="false">
      <c r="A20" s="33" t="s">
        <v>3475</v>
      </c>
      <c r="B20" s="33" t="s">
        <v>3476</v>
      </c>
      <c r="C20" s="33" t="n">
        <v>2</v>
      </c>
      <c r="D20" s="33" t="s">
        <v>3424</v>
      </c>
      <c r="E20" s="33" t="s">
        <v>3425</v>
      </c>
      <c r="F20" s="33" t="s">
        <v>3426</v>
      </c>
      <c r="G20" s="33" t="s">
        <v>3477</v>
      </c>
      <c r="H20" s="33" t="s">
        <v>3428</v>
      </c>
    </row>
    <row r="21" customFormat="false" ht="33.75" hidden="false" customHeight="true" outlineLevel="0" collapsed="false">
      <c r="A21" s="33" t="s">
        <v>3478</v>
      </c>
      <c r="B21" s="33" t="s">
        <v>3479</v>
      </c>
      <c r="C21" s="33" t="n">
        <v>2</v>
      </c>
      <c r="D21" s="33" t="s">
        <v>3424</v>
      </c>
      <c r="E21" s="33" t="s">
        <v>3425</v>
      </c>
      <c r="F21" s="33" t="s">
        <v>3426</v>
      </c>
      <c r="G21" s="33" t="s">
        <v>3480</v>
      </c>
      <c r="H21" s="33" t="s">
        <v>3428</v>
      </c>
    </row>
    <row r="22" customFormat="false" ht="33.75" hidden="false" customHeight="true" outlineLevel="0" collapsed="false">
      <c r="A22" s="33" t="s">
        <v>3481</v>
      </c>
      <c r="B22" s="33" t="s">
        <v>3482</v>
      </c>
      <c r="C22" s="33" t="n">
        <v>2</v>
      </c>
      <c r="D22" s="33" t="s">
        <v>3424</v>
      </c>
      <c r="E22" s="33" t="s">
        <v>3425</v>
      </c>
      <c r="F22" s="33" t="s">
        <v>3426</v>
      </c>
      <c r="G22" s="33" t="s">
        <v>3427</v>
      </c>
      <c r="H22" s="33" t="s">
        <v>3483</v>
      </c>
    </row>
    <row r="23" customFormat="false" ht="33.75" hidden="false" customHeight="true" outlineLevel="0" collapsed="false">
      <c r="A23" s="33" t="s">
        <v>3484</v>
      </c>
      <c r="B23" s="33" t="s">
        <v>3485</v>
      </c>
      <c r="C23" s="33" t="n">
        <v>2</v>
      </c>
      <c r="D23" s="33" t="s">
        <v>3424</v>
      </c>
      <c r="E23" s="33" t="s">
        <v>3425</v>
      </c>
      <c r="F23" s="33" t="s">
        <v>3426</v>
      </c>
      <c r="G23" s="33" t="s">
        <v>3427</v>
      </c>
      <c r="H23" s="33" t="s">
        <v>3486</v>
      </c>
    </row>
    <row r="24" customFormat="false" ht="33.75" hidden="false" customHeight="true" outlineLevel="0" collapsed="false">
      <c r="A24" s="33" t="s">
        <v>3487</v>
      </c>
      <c r="B24" s="33" t="s">
        <v>3488</v>
      </c>
      <c r="C24" s="33" t="n">
        <v>2</v>
      </c>
      <c r="D24" s="33" t="s">
        <v>3424</v>
      </c>
      <c r="E24" s="33" t="s">
        <v>3425</v>
      </c>
      <c r="F24" s="33" t="s">
        <v>3426</v>
      </c>
      <c r="G24" s="33" t="s">
        <v>3427</v>
      </c>
      <c r="H24" s="33" t="s">
        <v>3489</v>
      </c>
    </row>
    <row r="25" customFormat="false" ht="33.75" hidden="false" customHeight="true" outlineLevel="0" collapsed="false">
      <c r="A25" s="33" t="s">
        <v>3490</v>
      </c>
      <c r="B25" s="33" t="s">
        <v>3491</v>
      </c>
      <c r="C25" s="33" t="n">
        <v>2</v>
      </c>
      <c r="D25" s="33" t="s">
        <v>3424</v>
      </c>
      <c r="E25" s="33" t="s">
        <v>3425</v>
      </c>
      <c r="F25" s="33" t="s">
        <v>3426</v>
      </c>
      <c r="G25" s="33" t="s">
        <v>3427</v>
      </c>
      <c r="H25" s="33" t="s">
        <v>3492</v>
      </c>
    </row>
    <row r="26" customFormat="false" ht="33.75" hidden="false" customHeight="true" outlineLevel="0" collapsed="false">
      <c r="A26" s="33" t="s">
        <v>3493</v>
      </c>
      <c r="B26" s="33" t="s">
        <v>3494</v>
      </c>
      <c r="C26" s="33" t="n">
        <v>2</v>
      </c>
      <c r="D26" s="33" t="s">
        <v>3424</v>
      </c>
      <c r="E26" s="33" t="s">
        <v>3425</v>
      </c>
      <c r="F26" s="33" t="s">
        <v>3495</v>
      </c>
      <c r="G26" s="33" t="s">
        <v>3427</v>
      </c>
      <c r="H26" s="33" t="s">
        <v>3492</v>
      </c>
    </row>
    <row r="27" customFormat="false" ht="33.75" hidden="false" customHeight="true" outlineLevel="0" collapsed="false">
      <c r="A27" s="33" t="s">
        <v>3496</v>
      </c>
      <c r="B27" s="33" t="s">
        <v>3497</v>
      </c>
      <c r="C27" s="33" t="n">
        <v>2</v>
      </c>
      <c r="D27" s="33" t="s">
        <v>3424</v>
      </c>
      <c r="E27" s="33" t="s">
        <v>3425</v>
      </c>
      <c r="F27" s="33" t="s">
        <v>3426</v>
      </c>
      <c r="G27" s="33" t="s">
        <v>3427</v>
      </c>
      <c r="H27" s="33" t="s">
        <v>3498</v>
      </c>
    </row>
    <row r="28" customFormat="false" ht="33.75" hidden="false" customHeight="true" outlineLevel="0" collapsed="false">
      <c r="A28" s="33" t="s">
        <v>3499</v>
      </c>
      <c r="B28" s="33" t="s">
        <v>3500</v>
      </c>
      <c r="C28" s="33" t="n">
        <v>2</v>
      </c>
      <c r="D28" s="33" t="s">
        <v>3424</v>
      </c>
      <c r="E28" s="33" t="s">
        <v>3425</v>
      </c>
      <c r="F28" s="33" t="s">
        <v>3495</v>
      </c>
      <c r="G28" s="33" t="s">
        <v>3427</v>
      </c>
      <c r="H28" s="33" t="s">
        <v>3498</v>
      </c>
    </row>
    <row r="29" customFormat="false" ht="33.75" hidden="false" customHeight="true" outlineLevel="0" collapsed="false">
      <c r="A29" s="33" t="s">
        <v>3501</v>
      </c>
      <c r="B29" s="33" t="s">
        <v>3502</v>
      </c>
      <c r="C29" s="33" t="n">
        <v>2</v>
      </c>
      <c r="D29" s="33" t="s">
        <v>3424</v>
      </c>
      <c r="E29" s="33" t="s">
        <v>3425</v>
      </c>
      <c r="F29" s="33" t="s">
        <v>3503</v>
      </c>
      <c r="G29" s="33" t="s">
        <v>3427</v>
      </c>
      <c r="H29" s="33" t="s">
        <v>3498</v>
      </c>
    </row>
    <row r="30" customFormat="false" ht="33.75" hidden="false" customHeight="true" outlineLevel="0" collapsed="false">
      <c r="A30" s="33" t="s">
        <v>3504</v>
      </c>
      <c r="B30" s="33" t="s">
        <v>3505</v>
      </c>
      <c r="C30" s="33" t="n">
        <v>2</v>
      </c>
      <c r="D30" s="33" t="s">
        <v>3424</v>
      </c>
      <c r="E30" s="33" t="s">
        <v>3425</v>
      </c>
      <c r="F30" s="33" t="s">
        <v>3426</v>
      </c>
      <c r="G30" s="33" t="s">
        <v>3427</v>
      </c>
      <c r="H30" s="33" t="s">
        <v>3506</v>
      </c>
    </row>
    <row r="31" customFormat="false" ht="33.75" hidden="false" customHeight="true" outlineLevel="0" collapsed="false">
      <c r="A31" s="33" t="s">
        <v>3507</v>
      </c>
      <c r="B31" s="33" t="s">
        <v>3508</v>
      </c>
      <c r="C31" s="33" t="n">
        <v>2</v>
      </c>
      <c r="D31" s="33" t="s">
        <v>3424</v>
      </c>
      <c r="E31" s="33" t="s">
        <v>3425</v>
      </c>
      <c r="F31" s="33" t="s">
        <v>3426</v>
      </c>
      <c r="G31" s="33" t="s">
        <v>3427</v>
      </c>
      <c r="H31" s="33" t="s">
        <v>3509</v>
      </c>
    </row>
    <row r="33" customFormat="false" ht="42" hidden="false" customHeight="true" outlineLevel="0" collapsed="false">
      <c r="A33" s="35" t="s">
        <v>3510</v>
      </c>
      <c r="B33" s="35"/>
      <c r="C33" s="35"/>
      <c r="D33" s="35"/>
      <c r="E33" s="35"/>
      <c r="F33" s="35"/>
      <c r="G33" s="35"/>
      <c r="H33" s="35"/>
    </row>
  </sheetData>
  <autoFilter ref="A2:H31"/>
  <mergeCells count="2">
    <mergeCell ref="A1:H1"/>
    <mergeCell ref="A33:H3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34"/>
    <col collapsed="false" customWidth="true" hidden="false" outlineLevel="0" max="7" min="7" style="1" width="18"/>
  </cols>
  <sheetData>
    <row r="1" customFormat="false" ht="33.75" hidden="false" customHeight="true" outlineLevel="0" collapsed="false">
      <c r="A1" s="36" t="s">
        <v>3511</v>
      </c>
      <c r="B1" s="36"/>
      <c r="C1" s="36"/>
      <c r="D1" s="36"/>
      <c r="E1" s="36"/>
      <c r="F1" s="36"/>
      <c r="G1" s="36"/>
    </row>
    <row r="2" customFormat="false" ht="30" hidden="false" customHeight="true" outlineLevel="0" collapsed="false"/>
    <row r="3" customFormat="false" ht="30" hidden="false" customHeight="true" outlineLevel="0" collapsed="false">
      <c r="A3" s="37" t="s">
        <v>3512</v>
      </c>
      <c r="B3" s="37" t="s">
        <v>3513</v>
      </c>
      <c r="C3" s="37" t="s">
        <v>3514</v>
      </c>
      <c r="D3" s="37" t="s">
        <v>3515</v>
      </c>
      <c r="E3" s="37" t="s">
        <v>3516</v>
      </c>
      <c r="F3" s="37" t="s">
        <v>3517</v>
      </c>
      <c r="G3" s="37" t="s">
        <v>2</v>
      </c>
    </row>
    <row r="4" customFormat="false" ht="30" hidden="false" customHeight="true" outlineLevel="0" collapsed="false">
      <c r="A4" s="33" t="s">
        <v>3518</v>
      </c>
      <c r="B4" s="33" t="s">
        <v>3519</v>
      </c>
      <c r="C4" s="38" t="n">
        <v>25</v>
      </c>
      <c r="D4" s="33" t="s">
        <v>3520</v>
      </c>
      <c r="E4" s="38" t="n">
        <v>1</v>
      </c>
      <c r="F4" s="33" t="s">
        <v>3521</v>
      </c>
      <c r="G4" s="33" t="s">
        <v>3522</v>
      </c>
    </row>
    <row r="5" customFormat="false" ht="30" hidden="false" customHeight="true" outlineLevel="0" collapsed="false">
      <c r="A5" s="33" t="s">
        <v>3518</v>
      </c>
      <c r="B5" s="33" t="s">
        <v>3523</v>
      </c>
      <c r="C5" s="38" t="n">
        <v>25</v>
      </c>
      <c r="D5" s="33" t="s">
        <v>3524</v>
      </c>
      <c r="E5" s="38" t="n">
        <v>2</v>
      </c>
      <c r="F5" s="33" t="s">
        <v>3525</v>
      </c>
      <c r="G5" s="33" t="s">
        <v>3522</v>
      </c>
    </row>
    <row r="6" customFormat="false" ht="30" hidden="false" customHeight="true" outlineLevel="0" collapsed="false">
      <c r="A6" s="33" t="s">
        <v>3518</v>
      </c>
      <c r="B6" s="33" t="s">
        <v>3526</v>
      </c>
      <c r="C6" s="38" t="n">
        <v>25</v>
      </c>
      <c r="D6" s="33" t="s">
        <v>3527</v>
      </c>
      <c r="E6" s="38" t="n">
        <v>3</v>
      </c>
      <c r="F6" s="33" t="s">
        <v>3528</v>
      </c>
      <c r="G6" s="33" t="s">
        <v>3529</v>
      </c>
    </row>
    <row r="7" customFormat="false" ht="30" hidden="false" customHeight="true" outlineLevel="0" collapsed="false">
      <c r="A7" s="33" t="s">
        <v>3530</v>
      </c>
      <c r="B7" s="33" t="s">
        <v>3531</v>
      </c>
      <c r="C7" s="38" t="n">
        <v>20</v>
      </c>
      <c r="D7" s="33" t="s">
        <v>3532</v>
      </c>
      <c r="E7" s="38" t="n">
        <v>0</v>
      </c>
      <c r="F7" s="33" t="s">
        <v>3533</v>
      </c>
      <c r="G7" s="33" t="s">
        <v>3534</v>
      </c>
    </row>
    <row r="8" customFormat="false" ht="30" hidden="false" customHeight="true" outlineLevel="0" collapsed="false">
      <c r="A8" s="33" t="s">
        <v>193</v>
      </c>
      <c r="B8" s="33" t="s">
        <v>3535</v>
      </c>
      <c r="C8" s="33"/>
      <c r="D8" s="33"/>
      <c r="E8" s="38" t="n">
        <v>5</v>
      </c>
      <c r="F8" s="33" t="s">
        <v>3536</v>
      </c>
      <c r="G8" s="33" t="s">
        <v>3534</v>
      </c>
    </row>
    <row r="9" customFormat="false" ht="30" hidden="false" customHeight="true" outlineLevel="0" collapsed="false">
      <c r="A9" s="33" t="s">
        <v>193</v>
      </c>
      <c r="B9" s="33" t="s">
        <v>1120</v>
      </c>
      <c r="C9" s="33"/>
      <c r="D9" s="33"/>
      <c r="E9" s="38" t="n">
        <v>1</v>
      </c>
      <c r="F9" s="33" t="s">
        <v>3537</v>
      </c>
      <c r="G9" s="33" t="s">
        <v>3534</v>
      </c>
    </row>
    <row r="10" customFormat="false" ht="30" hidden="false" customHeight="true" outlineLevel="0" collapsed="false">
      <c r="A10" s="33" t="s">
        <v>92</v>
      </c>
      <c r="B10" s="33" t="s">
        <v>3538</v>
      </c>
      <c r="C10" s="33"/>
      <c r="D10" s="33" t="s">
        <v>3539</v>
      </c>
      <c r="E10" s="38" t="n">
        <v>1</v>
      </c>
      <c r="F10" s="33" t="s">
        <v>3540</v>
      </c>
      <c r="G10" s="33" t="s">
        <v>3534</v>
      </c>
    </row>
    <row r="11" customFormat="false" ht="30" hidden="false" customHeight="true" outlineLevel="0" collapsed="false">
      <c r="A11" s="33" t="s">
        <v>3541</v>
      </c>
      <c r="B11" s="33" t="s">
        <v>3542</v>
      </c>
      <c r="C11" s="33"/>
      <c r="D11" s="33"/>
      <c r="E11" s="33"/>
      <c r="F11" s="33" t="s">
        <v>3543</v>
      </c>
      <c r="G11" s="33" t="s">
        <v>3410</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39" t="s">
        <v>3544</v>
      </c>
      <c r="B14" s="39"/>
      <c r="C14" s="39"/>
      <c r="D14" s="39"/>
      <c r="E14" s="39"/>
      <c r="F14" s="39"/>
      <c r="G14" s="39"/>
    </row>
    <row r="15" customFormat="false" ht="33.75" hidden="false" customHeight="true" outlineLevel="0" collapsed="false">
      <c r="A15" s="40" t="s">
        <v>3545</v>
      </c>
      <c r="B15" s="41" t="s">
        <v>3546</v>
      </c>
      <c r="C15" s="41"/>
      <c r="D15" s="41"/>
      <c r="E15" s="41"/>
      <c r="F15" s="41"/>
      <c r="G15" s="41"/>
    </row>
    <row r="16" customFormat="false" ht="33.75" hidden="false" customHeight="true" outlineLevel="0" collapsed="false">
      <c r="A16" s="40" t="s">
        <v>3547</v>
      </c>
      <c r="B16" s="41" t="s">
        <v>3548</v>
      </c>
      <c r="C16" s="41"/>
      <c r="D16" s="41"/>
      <c r="E16" s="41"/>
      <c r="F16" s="41"/>
      <c r="G16" s="41"/>
    </row>
    <row r="17" customFormat="false" ht="33.75" hidden="false" customHeight="true" outlineLevel="0" collapsed="false">
      <c r="A17" s="40" t="s">
        <v>3549</v>
      </c>
      <c r="B17" s="41" t="s">
        <v>3550</v>
      </c>
      <c r="C17" s="41"/>
      <c r="D17" s="41"/>
      <c r="E17" s="41"/>
      <c r="F17" s="41"/>
      <c r="G17" s="41"/>
    </row>
    <row r="18" customFormat="false" ht="33.75" hidden="false" customHeight="true" outlineLevel="0" collapsed="false">
      <c r="A18" s="40" t="s">
        <v>3551</v>
      </c>
      <c r="B18" s="41" t="s">
        <v>3552</v>
      </c>
      <c r="C18" s="41"/>
      <c r="D18" s="41"/>
      <c r="E18" s="41"/>
      <c r="F18" s="41"/>
      <c r="G18" s="41"/>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2" t="s">
        <v>3553</v>
      </c>
      <c r="B1" s="42"/>
      <c r="C1" s="42"/>
      <c r="D1" s="42"/>
      <c r="E1" s="42"/>
      <c r="F1" s="42"/>
      <c r="G1" s="42"/>
    </row>
    <row r="2" customFormat="false" ht="15" hidden="false" customHeight="true" outlineLevel="0" collapsed="false">
      <c r="A2" s="43" t="s">
        <v>3554</v>
      </c>
      <c r="B2" s="43" t="s">
        <v>3555</v>
      </c>
      <c r="C2" s="43" t="s">
        <v>3556</v>
      </c>
      <c r="D2" s="43" t="s">
        <v>3557</v>
      </c>
      <c r="E2" s="43" t="s">
        <v>3558</v>
      </c>
      <c r="F2" s="43" t="s">
        <v>3559</v>
      </c>
      <c r="G2" s="43" t="s">
        <v>2</v>
      </c>
    </row>
    <row r="3" customFormat="false" ht="15" hidden="false" customHeight="true" outlineLevel="0" collapsed="false">
      <c r="A3" s="33" t="s">
        <v>1120</v>
      </c>
      <c r="B3" s="33" t="s">
        <v>3560</v>
      </c>
      <c r="C3" s="33" t="s">
        <v>3561</v>
      </c>
      <c r="D3" s="33" t="s">
        <v>3561</v>
      </c>
      <c r="E3" s="33" t="s">
        <v>3562</v>
      </c>
      <c r="F3" s="33" t="s">
        <v>3563</v>
      </c>
      <c r="G3" s="33" t="s">
        <v>3522</v>
      </c>
    </row>
    <row r="4" customFormat="false" ht="15" hidden="false" customHeight="true" outlineLevel="0" collapsed="false">
      <c r="A4" s="33" t="s">
        <v>1120</v>
      </c>
      <c r="B4" s="33" t="s">
        <v>3564</v>
      </c>
      <c r="C4" s="33" t="s">
        <v>3565</v>
      </c>
      <c r="D4" s="33" t="s">
        <v>3565</v>
      </c>
      <c r="E4" s="33" t="s">
        <v>3566</v>
      </c>
      <c r="F4" s="33" t="s">
        <v>3567</v>
      </c>
      <c r="G4" s="33" t="s">
        <v>3522</v>
      </c>
    </row>
    <row r="5" customFormat="false" ht="15" hidden="false" customHeight="true" outlineLevel="0" collapsed="false">
      <c r="A5" s="33" t="s">
        <v>387</v>
      </c>
      <c r="B5" s="33" t="s">
        <v>3568</v>
      </c>
      <c r="C5" s="33" t="s">
        <v>1468</v>
      </c>
      <c r="D5" s="33" t="s">
        <v>3569</v>
      </c>
      <c r="E5" s="33" t="s">
        <v>1481</v>
      </c>
      <c r="F5" s="33" t="s">
        <v>3570</v>
      </c>
      <c r="G5" s="33" t="s">
        <v>3410</v>
      </c>
    </row>
    <row r="6" customFormat="false" ht="15" hidden="false" customHeight="true" outlineLevel="0" collapsed="false">
      <c r="A6" s="33" t="s">
        <v>387</v>
      </c>
      <c r="B6" s="33" t="s">
        <v>400</v>
      </c>
      <c r="C6" s="33" t="s">
        <v>1448</v>
      </c>
      <c r="D6" s="33" t="s">
        <v>3571</v>
      </c>
      <c r="E6" s="33" t="s">
        <v>1448</v>
      </c>
      <c r="F6" s="33" t="s">
        <v>3570</v>
      </c>
      <c r="G6" s="33" t="s">
        <v>3410</v>
      </c>
    </row>
    <row r="7" customFormat="false" ht="15" hidden="false" customHeight="true" outlineLevel="0" collapsed="false">
      <c r="A7" s="33" t="s">
        <v>387</v>
      </c>
      <c r="B7" s="33" t="s">
        <v>405</v>
      </c>
      <c r="C7" s="33" t="s">
        <v>2032</v>
      </c>
      <c r="D7" s="33" t="s">
        <v>3571</v>
      </c>
      <c r="E7" s="33" t="s">
        <v>1464</v>
      </c>
      <c r="F7" s="33" t="s">
        <v>3570</v>
      </c>
      <c r="G7" s="33" t="s">
        <v>3410</v>
      </c>
    </row>
    <row r="8" customFormat="false" ht="15" hidden="false" customHeight="true" outlineLevel="0" collapsed="false">
      <c r="A8" s="33" t="s">
        <v>387</v>
      </c>
      <c r="B8" s="33" t="s">
        <v>3572</v>
      </c>
      <c r="C8" s="33" t="s">
        <v>3573</v>
      </c>
      <c r="D8" s="33" t="s">
        <v>3574</v>
      </c>
      <c r="E8" s="33" t="s">
        <v>3575</v>
      </c>
      <c r="F8" s="33" t="s">
        <v>3576</v>
      </c>
      <c r="G8" s="33" t="s">
        <v>3410</v>
      </c>
    </row>
    <row r="9" customFormat="false" ht="15" hidden="false" customHeight="true" outlineLevel="0" collapsed="false">
      <c r="A9" s="33" t="s">
        <v>387</v>
      </c>
      <c r="B9" s="33" t="s">
        <v>3416</v>
      </c>
      <c r="C9" s="33" t="s">
        <v>1475</v>
      </c>
      <c r="D9" s="33" t="s">
        <v>1481</v>
      </c>
      <c r="E9" s="33" t="s">
        <v>3577</v>
      </c>
      <c r="F9" s="33" t="s">
        <v>3578</v>
      </c>
      <c r="G9" s="33" t="s">
        <v>3410</v>
      </c>
    </row>
    <row r="10" customFormat="false" ht="15" hidden="false" customHeight="true" outlineLevel="0" collapsed="false">
      <c r="A10" s="33" t="s">
        <v>387</v>
      </c>
      <c r="B10" s="33" t="s">
        <v>3579</v>
      </c>
      <c r="C10" s="33" t="s">
        <v>3580</v>
      </c>
      <c r="D10" s="33" t="s">
        <v>3581</v>
      </c>
      <c r="E10" s="33" t="s">
        <v>3582</v>
      </c>
      <c r="F10" s="33" t="s">
        <v>3583</v>
      </c>
      <c r="G10" s="33" t="s">
        <v>3410</v>
      </c>
    </row>
    <row r="11" customFormat="false" ht="15" hidden="false" customHeight="true" outlineLevel="0" collapsed="false">
      <c r="A11" s="33" t="s">
        <v>3558</v>
      </c>
      <c r="B11" s="33" t="s">
        <v>3584</v>
      </c>
      <c r="C11" s="33" t="s">
        <v>3585</v>
      </c>
      <c r="D11" s="33" t="s">
        <v>3585</v>
      </c>
      <c r="E11" s="33" t="s">
        <v>3586</v>
      </c>
      <c r="F11" s="33" t="s">
        <v>3587</v>
      </c>
      <c r="G11" s="33" t="s">
        <v>3410</v>
      </c>
    </row>
    <row r="12" customFormat="false" ht="15" hidden="false" customHeight="true" outlineLevel="0" collapsed="false">
      <c r="A12" s="33" t="s">
        <v>3541</v>
      </c>
      <c r="B12" s="33" t="s">
        <v>3588</v>
      </c>
      <c r="C12" s="33"/>
      <c r="D12" s="33"/>
      <c r="E12" s="33"/>
      <c r="F12" s="33" t="s">
        <v>3589</v>
      </c>
      <c r="G12" s="33" t="s">
        <v>3410</v>
      </c>
    </row>
    <row r="13" customFormat="false" ht="15" hidden="false" customHeight="true" outlineLevel="0" collapsed="false">
      <c r="A13" s="33"/>
      <c r="B13" s="33"/>
      <c r="C13" s="33"/>
      <c r="D13" s="33"/>
      <c r="E13" s="33"/>
      <c r="F13" s="33"/>
      <c r="G13" s="33"/>
    </row>
    <row r="14" customFormat="false" ht="27.75" hidden="false" customHeight="true" outlineLevel="0" collapsed="false">
      <c r="A14" s="33" t="s">
        <v>3544</v>
      </c>
      <c r="B14" s="33"/>
      <c r="C14" s="33"/>
      <c r="D14" s="33"/>
      <c r="E14" s="33"/>
      <c r="F14" s="33"/>
      <c r="G14" s="33"/>
    </row>
    <row r="15" customFormat="false" ht="27.75" hidden="false" customHeight="true" outlineLevel="0" collapsed="false">
      <c r="A15" s="33" t="s">
        <v>2969</v>
      </c>
      <c r="B15" s="33" t="s">
        <v>3590</v>
      </c>
      <c r="C15" s="33"/>
      <c r="D15" s="33"/>
      <c r="E15" s="33"/>
      <c r="F15" s="33"/>
      <c r="G15" s="33"/>
    </row>
    <row r="16" customFormat="false" ht="27.75" hidden="false" customHeight="true" outlineLevel="0" collapsed="false">
      <c r="A16" s="33" t="s">
        <v>2972</v>
      </c>
      <c r="B16" s="33" t="s">
        <v>3591</v>
      </c>
      <c r="C16" s="33"/>
      <c r="D16" s="33"/>
      <c r="E16" s="33"/>
      <c r="F16" s="33"/>
      <c r="G16" s="33"/>
    </row>
    <row r="17" customFormat="false" ht="41.25" hidden="false" customHeight="true" outlineLevel="0" collapsed="false">
      <c r="A17" s="33" t="s">
        <v>2974</v>
      </c>
      <c r="B17" s="33" t="s">
        <v>3592</v>
      </c>
      <c r="C17" s="33"/>
      <c r="D17" s="33"/>
      <c r="E17" s="33"/>
      <c r="F17" s="33"/>
      <c r="G17" s="33"/>
    </row>
    <row r="18" customFormat="false" ht="27.75" hidden="false" customHeight="true" outlineLevel="0" collapsed="false">
      <c r="A18" s="33" t="s">
        <v>2976</v>
      </c>
      <c r="B18" s="33" t="s">
        <v>3593</v>
      </c>
      <c r="C18" s="33"/>
      <c r="D18" s="33"/>
      <c r="E18" s="33"/>
      <c r="F18" s="33"/>
      <c r="G18"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2" t="s">
        <v>3594</v>
      </c>
      <c r="B1" s="42"/>
      <c r="C1" s="42"/>
      <c r="D1" s="42"/>
      <c r="E1" s="42"/>
      <c r="F1" s="42"/>
      <c r="G1" s="42"/>
    </row>
    <row r="2" customFormat="false" ht="15" hidden="false" customHeight="true" outlineLevel="0" collapsed="false">
      <c r="A2" s="43" t="s">
        <v>3554</v>
      </c>
      <c r="B2" s="43" t="s">
        <v>3555</v>
      </c>
      <c r="C2" s="43" t="s">
        <v>718</v>
      </c>
      <c r="D2" s="43" t="s">
        <v>725</v>
      </c>
      <c r="E2" s="43" t="s">
        <v>730</v>
      </c>
      <c r="F2" s="43" t="s">
        <v>3559</v>
      </c>
      <c r="G2" s="43" t="s">
        <v>2</v>
      </c>
    </row>
    <row r="3" customFormat="false" ht="15" hidden="false" customHeight="true" outlineLevel="0" collapsed="false">
      <c r="A3" s="33" t="s">
        <v>3595</v>
      </c>
      <c r="B3" s="33" t="s">
        <v>3596</v>
      </c>
      <c r="C3" s="33" t="s">
        <v>1448</v>
      </c>
      <c r="D3" s="33" t="s">
        <v>1448</v>
      </c>
      <c r="E3" s="33" t="s">
        <v>1464</v>
      </c>
      <c r="F3" s="33" t="s">
        <v>3597</v>
      </c>
      <c r="G3" s="33" t="s">
        <v>3410</v>
      </c>
    </row>
    <row r="4" customFormat="false" ht="15" hidden="false" customHeight="true" outlineLevel="0" collapsed="false">
      <c r="A4" s="33" t="s">
        <v>3598</v>
      </c>
      <c r="B4" s="33" t="s">
        <v>3599</v>
      </c>
      <c r="C4" s="33" t="s">
        <v>1448</v>
      </c>
      <c r="D4" s="33" t="s">
        <v>1448</v>
      </c>
      <c r="E4" s="33" t="s">
        <v>1448</v>
      </c>
      <c r="F4" s="33" t="s">
        <v>3600</v>
      </c>
      <c r="G4" s="33" t="s">
        <v>3410</v>
      </c>
    </row>
    <row r="5" customFormat="false" ht="15" hidden="false" customHeight="true" outlineLevel="0" collapsed="false">
      <c r="A5" s="33" t="s">
        <v>3601</v>
      </c>
      <c r="B5" s="33" t="s">
        <v>3602</v>
      </c>
      <c r="C5" s="33" t="s">
        <v>3603</v>
      </c>
      <c r="D5" s="33" t="s">
        <v>3604</v>
      </c>
      <c r="E5" s="33" t="s">
        <v>3605</v>
      </c>
      <c r="F5" s="33" t="s">
        <v>3606</v>
      </c>
      <c r="G5" s="33" t="s">
        <v>3522</v>
      </c>
    </row>
    <row r="6" customFormat="false" ht="27.75" hidden="false" customHeight="true" outlineLevel="0" collapsed="false">
      <c r="A6" s="33" t="s">
        <v>3607</v>
      </c>
      <c r="B6" s="33" t="s">
        <v>3608</v>
      </c>
      <c r="C6" s="33" t="s">
        <v>3609</v>
      </c>
      <c r="D6" s="33" t="s">
        <v>3610</v>
      </c>
      <c r="E6" s="33" t="s">
        <v>3611</v>
      </c>
      <c r="F6" s="33" t="s">
        <v>3612</v>
      </c>
      <c r="G6" s="33" t="s">
        <v>3613</v>
      </c>
    </row>
    <row r="7" customFormat="false" ht="27.75" hidden="false" customHeight="true" outlineLevel="0" collapsed="false">
      <c r="A7" s="33" t="s">
        <v>3614</v>
      </c>
      <c r="B7" s="33" t="s">
        <v>3615</v>
      </c>
      <c r="C7" s="33" t="s">
        <v>3616</v>
      </c>
      <c r="D7" s="33" t="s">
        <v>3616</v>
      </c>
      <c r="E7" s="33" t="s">
        <v>3616</v>
      </c>
      <c r="F7" s="33" t="s">
        <v>3617</v>
      </c>
      <c r="G7" s="33" t="s">
        <v>3613</v>
      </c>
    </row>
    <row r="8" customFormat="false" ht="27.75" hidden="false" customHeight="true" outlineLevel="0" collapsed="false">
      <c r="A8" s="33" t="s">
        <v>1120</v>
      </c>
      <c r="B8" s="33" t="s">
        <v>3618</v>
      </c>
      <c r="C8" s="33" t="s">
        <v>3565</v>
      </c>
      <c r="D8" s="33" t="s">
        <v>3619</v>
      </c>
      <c r="E8" s="33" t="s">
        <v>3565</v>
      </c>
      <c r="F8" s="33" t="s">
        <v>3620</v>
      </c>
      <c r="G8" s="33" t="s">
        <v>3613</v>
      </c>
    </row>
    <row r="9" customFormat="false" ht="15" hidden="false" customHeight="true" outlineLevel="0" collapsed="false">
      <c r="A9" s="33" t="s">
        <v>3621</v>
      </c>
      <c r="B9" s="33" t="s">
        <v>3622</v>
      </c>
      <c r="C9" s="33" t="s">
        <v>3623</v>
      </c>
      <c r="D9" s="33" t="s">
        <v>3623</v>
      </c>
      <c r="E9" s="33" t="s">
        <v>3623</v>
      </c>
      <c r="F9" s="33" t="s">
        <v>3624</v>
      </c>
      <c r="G9" s="33" t="s">
        <v>3410</v>
      </c>
    </row>
    <row r="10" customFormat="false" ht="15" hidden="false" customHeight="true" outlineLevel="0" collapsed="false">
      <c r="A10" s="33" t="s">
        <v>193</v>
      </c>
      <c r="B10" s="33" t="s">
        <v>3625</v>
      </c>
      <c r="C10" s="33" t="s">
        <v>2032</v>
      </c>
      <c r="D10" s="33" t="s">
        <v>2032</v>
      </c>
      <c r="E10" s="33" t="s">
        <v>2032</v>
      </c>
      <c r="F10" s="33" t="s">
        <v>3626</v>
      </c>
      <c r="G10" s="33" t="s">
        <v>3410</v>
      </c>
    </row>
    <row r="11" customFormat="false" ht="27.75" hidden="false" customHeight="true" outlineLevel="0" collapsed="false">
      <c r="A11" s="33" t="s">
        <v>3541</v>
      </c>
      <c r="B11" s="33" t="s">
        <v>3627</v>
      </c>
      <c r="C11" s="33"/>
      <c r="D11" s="33"/>
      <c r="E11" s="33"/>
      <c r="F11" s="33" t="s">
        <v>3628</v>
      </c>
      <c r="G11" s="33" t="s">
        <v>3629</v>
      </c>
    </row>
    <row r="12" customFormat="false" ht="27.75" hidden="false" customHeight="true" outlineLevel="0" collapsed="false">
      <c r="A12" s="33" t="s">
        <v>3630</v>
      </c>
      <c r="B12" s="33" t="s">
        <v>3631</v>
      </c>
      <c r="C12" s="33"/>
      <c r="D12" s="33"/>
      <c r="E12" s="33"/>
      <c r="F12" s="33" t="s">
        <v>3632</v>
      </c>
      <c r="G12" s="33" t="s">
        <v>3633</v>
      </c>
    </row>
    <row r="13" customFormat="false" ht="15" hidden="false" customHeight="true" outlineLevel="0" collapsed="false">
      <c r="A13" s="33"/>
      <c r="B13" s="33"/>
      <c r="C13" s="33"/>
      <c r="D13" s="33"/>
      <c r="E13" s="33"/>
      <c r="F13" s="33"/>
      <c r="G13" s="33"/>
    </row>
    <row r="14" customFormat="false" ht="27.75" hidden="false" customHeight="true" outlineLevel="0" collapsed="false">
      <c r="A14" s="33" t="s">
        <v>3544</v>
      </c>
      <c r="B14" s="33"/>
      <c r="C14" s="33"/>
      <c r="D14" s="33"/>
      <c r="E14" s="33"/>
      <c r="F14" s="33"/>
      <c r="G14" s="33"/>
    </row>
    <row r="15" customFormat="false" ht="41.25" hidden="false" customHeight="true" outlineLevel="0" collapsed="false">
      <c r="A15" s="33" t="s">
        <v>2978</v>
      </c>
      <c r="B15" s="33" t="s">
        <v>3634</v>
      </c>
      <c r="C15" s="33"/>
      <c r="D15" s="33"/>
      <c r="E15" s="33"/>
      <c r="F15" s="33"/>
      <c r="G15" s="33"/>
    </row>
    <row r="16" customFormat="false" ht="41.25" hidden="false" customHeight="true" outlineLevel="0" collapsed="false">
      <c r="A16" s="33" t="s">
        <v>2981</v>
      </c>
      <c r="B16" s="33" t="s">
        <v>3635</v>
      </c>
      <c r="C16" s="33"/>
      <c r="D16" s="33"/>
      <c r="E16" s="33"/>
      <c r="F16" s="33"/>
      <c r="G16" s="33"/>
    </row>
    <row r="17" customFormat="false" ht="41.25" hidden="false" customHeight="true" outlineLevel="0" collapsed="false">
      <c r="A17" s="33" t="s">
        <v>2984</v>
      </c>
      <c r="B17" s="33" t="s">
        <v>3636</v>
      </c>
      <c r="C17" s="33"/>
      <c r="D17" s="33"/>
      <c r="E17" s="33"/>
      <c r="F17" s="33"/>
      <c r="G17" s="33"/>
    </row>
    <row r="18" customFormat="false" ht="27.75" hidden="false" customHeight="true" outlineLevel="0" collapsed="false">
      <c r="A18" s="33" t="s">
        <v>2986</v>
      </c>
      <c r="B18" s="33" t="s">
        <v>3637</v>
      </c>
      <c r="C18" s="33"/>
      <c r="D18" s="33"/>
      <c r="E18" s="33"/>
      <c r="F18" s="33"/>
      <c r="G18"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3638</v>
      </c>
      <c r="B1" s="42"/>
      <c r="C1" s="42"/>
      <c r="D1" s="42"/>
      <c r="E1" s="42"/>
      <c r="F1" s="42"/>
      <c r="G1" s="42"/>
    </row>
    <row r="2" customFormat="false" ht="15" hidden="false" customHeight="true" outlineLevel="0" collapsed="false">
      <c r="A2" s="43" t="s">
        <v>3639</v>
      </c>
      <c r="B2" s="43" t="s">
        <v>3640</v>
      </c>
      <c r="C2" s="43" t="s">
        <v>3641</v>
      </c>
      <c r="D2" s="43" t="s">
        <v>193</v>
      </c>
      <c r="E2" s="43" t="s">
        <v>3642</v>
      </c>
      <c r="F2" s="43" t="s">
        <v>3643</v>
      </c>
      <c r="G2" s="43" t="s">
        <v>2</v>
      </c>
    </row>
    <row r="3" customFormat="false" ht="27.75" hidden="false" customHeight="true" outlineLevel="0" collapsed="false">
      <c r="A3" s="33" t="s">
        <v>3607</v>
      </c>
      <c r="B3" s="33" t="s">
        <v>3644</v>
      </c>
      <c r="C3" s="33" t="s">
        <v>3645</v>
      </c>
      <c r="D3" s="33" t="s">
        <v>2032</v>
      </c>
      <c r="E3" s="33" t="s">
        <v>3646</v>
      </c>
      <c r="F3" s="33" t="s">
        <v>3647</v>
      </c>
      <c r="G3" s="33" t="s">
        <v>3648</v>
      </c>
    </row>
    <row r="4" customFormat="false" ht="27.75" hidden="false" customHeight="true" outlineLevel="0" collapsed="false">
      <c r="A4" s="33" t="s">
        <v>512</v>
      </c>
      <c r="B4" s="33" t="s">
        <v>3649</v>
      </c>
      <c r="C4" s="33" t="s">
        <v>3650</v>
      </c>
      <c r="D4" s="33" t="s">
        <v>2032</v>
      </c>
      <c r="E4" s="33" t="s">
        <v>3651</v>
      </c>
      <c r="F4" s="33" t="s">
        <v>3652</v>
      </c>
      <c r="G4" s="33" t="s">
        <v>3648</v>
      </c>
    </row>
    <row r="5" customFormat="false" ht="15" hidden="false" customHeight="true" outlineLevel="0" collapsed="false">
      <c r="A5" s="33" t="s">
        <v>512</v>
      </c>
      <c r="B5" s="33" t="s">
        <v>3653</v>
      </c>
      <c r="C5" s="33" t="s">
        <v>3654</v>
      </c>
      <c r="D5" s="33" t="s">
        <v>3655</v>
      </c>
      <c r="E5" s="33" t="s">
        <v>3656</v>
      </c>
      <c r="F5" s="33" t="s">
        <v>3657</v>
      </c>
      <c r="G5" s="33" t="s">
        <v>3648</v>
      </c>
    </row>
    <row r="6" customFormat="false" ht="15" hidden="false" customHeight="true" outlineLevel="0" collapsed="false">
      <c r="A6" s="33" t="s">
        <v>330</v>
      </c>
      <c r="B6" s="33" t="s">
        <v>332</v>
      </c>
      <c r="C6" s="33" t="s">
        <v>3658</v>
      </c>
      <c r="D6" s="33" t="s">
        <v>3659</v>
      </c>
      <c r="E6" s="33" t="s">
        <v>3660</v>
      </c>
      <c r="F6" s="33" t="s">
        <v>3661</v>
      </c>
      <c r="G6" s="33" t="s">
        <v>3410</v>
      </c>
    </row>
    <row r="7" customFormat="false" ht="15" hidden="false" customHeight="true" outlineLevel="0" collapsed="false">
      <c r="A7" s="33" t="s">
        <v>330</v>
      </c>
      <c r="B7" s="33" t="s">
        <v>3662</v>
      </c>
      <c r="C7" s="33" t="s">
        <v>3663</v>
      </c>
      <c r="D7" s="33" t="s">
        <v>3664</v>
      </c>
      <c r="E7" s="33" t="s">
        <v>3665</v>
      </c>
      <c r="F7" s="33" t="s">
        <v>3666</v>
      </c>
      <c r="G7" s="33" t="s">
        <v>3410</v>
      </c>
    </row>
    <row r="8" customFormat="false" ht="15" hidden="false" customHeight="true" outlineLevel="0" collapsed="false">
      <c r="A8" s="33" t="s">
        <v>330</v>
      </c>
      <c r="B8" s="33" t="s">
        <v>3667</v>
      </c>
      <c r="C8" s="33" t="s">
        <v>3668</v>
      </c>
      <c r="D8" s="33" t="s">
        <v>3669</v>
      </c>
      <c r="E8" s="33" t="s">
        <v>3665</v>
      </c>
      <c r="F8" s="33" t="s">
        <v>3670</v>
      </c>
      <c r="G8" s="33" t="s">
        <v>3410</v>
      </c>
    </row>
    <row r="9" customFormat="false" ht="15" hidden="false" customHeight="true" outlineLevel="0" collapsed="false">
      <c r="A9" s="33" t="s">
        <v>3671</v>
      </c>
      <c r="B9" s="33" t="s">
        <v>366</v>
      </c>
      <c r="C9" s="33" t="s">
        <v>3672</v>
      </c>
      <c r="D9" s="33" t="s">
        <v>3664</v>
      </c>
      <c r="E9" s="33" t="s">
        <v>3673</v>
      </c>
      <c r="F9" s="33" t="s">
        <v>3674</v>
      </c>
      <c r="G9" s="33" t="s">
        <v>3410</v>
      </c>
    </row>
    <row r="10" customFormat="false" ht="15" hidden="false" customHeight="true" outlineLevel="0" collapsed="false">
      <c r="A10" s="33" t="s">
        <v>3671</v>
      </c>
      <c r="B10" s="33" t="s">
        <v>372</v>
      </c>
      <c r="C10" s="33" t="s">
        <v>3672</v>
      </c>
      <c r="D10" s="33" t="s">
        <v>3664</v>
      </c>
      <c r="E10" s="33" t="s">
        <v>3675</v>
      </c>
      <c r="F10" s="33" t="s">
        <v>3676</v>
      </c>
      <c r="G10" s="33" t="s">
        <v>3410</v>
      </c>
    </row>
    <row r="11" customFormat="false" ht="15" hidden="false" customHeight="true" outlineLevel="0" collapsed="false">
      <c r="A11" s="33" t="s">
        <v>106</v>
      </c>
      <c r="B11" s="33" t="s">
        <v>3677</v>
      </c>
      <c r="C11" s="33" t="s">
        <v>3678</v>
      </c>
      <c r="D11" s="33" t="s">
        <v>3664</v>
      </c>
      <c r="E11" s="33" t="s">
        <v>3679</v>
      </c>
      <c r="F11" s="33" t="s">
        <v>3680</v>
      </c>
      <c r="G11" s="33" t="s">
        <v>3410</v>
      </c>
    </row>
    <row r="12" customFormat="false" ht="15" hidden="false" customHeight="true" outlineLevel="0" collapsed="false">
      <c r="A12" s="33" t="s">
        <v>106</v>
      </c>
      <c r="B12" s="33" t="s">
        <v>3681</v>
      </c>
      <c r="C12" s="33" t="s">
        <v>3682</v>
      </c>
      <c r="D12" s="33" t="s">
        <v>3683</v>
      </c>
      <c r="E12" s="33" t="s">
        <v>3684</v>
      </c>
      <c r="F12" s="33" t="s">
        <v>3685</v>
      </c>
      <c r="G12" s="33" t="s">
        <v>3410</v>
      </c>
    </row>
    <row r="13" customFormat="false" ht="27.75" hidden="false" customHeight="true" outlineLevel="0" collapsed="false">
      <c r="A13" s="33" t="s">
        <v>106</v>
      </c>
      <c r="B13" s="33" t="s">
        <v>3686</v>
      </c>
      <c r="C13" s="33" t="s">
        <v>3687</v>
      </c>
      <c r="D13" s="33" t="s">
        <v>3688</v>
      </c>
      <c r="E13" s="33" t="s">
        <v>3689</v>
      </c>
      <c r="F13" s="33" t="s">
        <v>3690</v>
      </c>
      <c r="G13" s="33" t="s">
        <v>3691</v>
      </c>
    </row>
    <row r="14" customFormat="false" ht="27.75" hidden="false" customHeight="true" outlineLevel="0" collapsed="false">
      <c r="A14" s="33" t="s">
        <v>3541</v>
      </c>
      <c r="B14" s="33" t="s">
        <v>3692</v>
      </c>
      <c r="C14" s="33" t="s">
        <v>3693</v>
      </c>
      <c r="D14" s="33" t="s">
        <v>3694</v>
      </c>
      <c r="E14" s="33" t="s">
        <v>3695</v>
      </c>
      <c r="F14" s="33" t="s">
        <v>3696</v>
      </c>
      <c r="G14" s="33" t="s">
        <v>3410</v>
      </c>
    </row>
    <row r="15" customFormat="false" ht="27.75" hidden="false" customHeight="true" outlineLevel="0" collapsed="false">
      <c r="A15" s="33" t="s">
        <v>3541</v>
      </c>
      <c r="B15" s="33" t="s">
        <v>3697</v>
      </c>
      <c r="C15" s="33" t="s">
        <v>3698</v>
      </c>
      <c r="D15" s="33" t="s">
        <v>3694</v>
      </c>
      <c r="E15" s="33" t="s">
        <v>3699</v>
      </c>
      <c r="F15" s="33" t="s">
        <v>3700</v>
      </c>
      <c r="G15" s="33" t="s">
        <v>3410</v>
      </c>
    </row>
    <row r="16" customFormat="false" ht="27.75" hidden="false" customHeight="true" outlineLevel="0" collapsed="false">
      <c r="A16" s="33" t="s">
        <v>3541</v>
      </c>
      <c r="B16" s="33" t="s">
        <v>3701</v>
      </c>
      <c r="C16" s="33" t="s">
        <v>3702</v>
      </c>
      <c r="D16" s="33" t="s">
        <v>3694</v>
      </c>
      <c r="E16" s="33" t="s">
        <v>3703</v>
      </c>
      <c r="F16" s="33" t="s">
        <v>3661</v>
      </c>
      <c r="G16" s="33" t="s">
        <v>3410</v>
      </c>
    </row>
    <row r="17" customFormat="false" ht="27.75" hidden="false" customHeight="true" outlineLevel="0" collapsed="false">
      <c r="A17" s="33" t="s">
        <v>3541</v>
      </c>
      <c r="B17" s="33" t="s">
        <v>3704</v>
      </c>
      <c r="C17" s="33" t="s">
        <v>3698</v>
      </c>
      <c r="D17" s="33" t="s">
        <v>3694</v>
      </c>
      <c r="E17" s="33" t="s">
        <v>3705</v>
      </c>
      <c r="F17" s="33" t="s">
        <v>3661</v>
      </c>
      <c r="G17" s="33" t="s">
        <v>3410</v>
      </c>
    </row>
    <row r="18" customFormat="false" ht="27.75" hidden="false" customHeight="true" outlineLevel="0" collapsed="false">
      <c r="A18" s="33" t="s">
        <v>3541</v>
      </c>
      <c r="B18" s="33" t="s">
        <v>3706</v>
      </c>
      <c r="C18" s="33" t="s">
        <v>3698</v>
      </c>
      <c r="D18" s="33" t="s">
        <v>3694</v>
      </c>
      <c r="E18" s="33" t="s">
        <v>3707</v>
      </c>
      <c r="F18" s="33" t="s">
        <v>3708</v>
      </c>
      <c r="G18" s="33" t="s">
        <v>3410</v>
      </c>
    </row>
    <row r="19" customFormat="false" ht="15" hidden="false" customHeight="true" outlineLevel="0" collapsed="false">
      <c r="A19" s="33" t="s">
        <v>3541</v>
      </c>
      <c r="B19" s="33" t="s">
        <v>3588</v>
      </c>
      <c r="C19" s="33" t="s">
        <v>3709</v>
      </c>
      <c r="D19" s="33"/>
      <c r="E19" s="33" t="s">
        <v>3710</v>
      </c>
      <c r="F19" s="33" t="s">
        <v>3711</v>
      </c>
      <c r="G19" s="33" t="s">
        <v>3410</v>
      </c>
    </row>
    <row r="20" customFormat="false" ht="15" hidden="false" customHeight="true" outlineLevel="0" collapsed="false">
      <c r="A20" s="33"/>
      <c r="B20" s="33"/>
      <c r="C20" s="33"/>
      <c r="D20" s="33"/>
      <c r="E20" s="33"/>
      <c r="F20" s="33"/>
      <c r="G20" s="33"/>
    </row>
    <row r="21" customFormat="false" ht="27.75" hidden="false" customHeight="true" outlineLevel="0" collapsed="false">
      <c r="A21" s="33" t="s">
        <v>3544</v>
      </c>
      <c r="B21" s="33"/>
      <c r="C21" s="33"/>
      <c r="D21" s="33"/>
      <c r="E21" s="33"/>
      <c r="F21" s="33"/>
      <c r="G21" s="33"/>
    </row>
    <row r="22" customFormat="false" ht="27.75" hidden="false" customHeight="true" outlineLevel="0" collapsed="false">
      <c r="A22" s="33" t="s">
        <v>2989</v>
      </c>
      <c r="B22" s="33" t="s">
        <v>3712</v>
      </c>
      <c r="C22" s="33"/>
      <c r="D22" s="33"/>
      <c r="E22" s="33"/>
      <c r="F22" s="33"/>
      <c r="G22" s="33"/>
    </row>
    <row r="23" customFormat="false" ht="41.25" hidden="false" customHeight="true" outlineLevel="0" collapsed="false">
      <c r="A23" s="33" t="s">
        <v>2991</v>
      </c>
      <c r="B23" s="33" t="s">
        <v>3713</v>
      </c>
      <c r="C23" s="33"/>
      <c r="D23" s="33"/>
      <c r="E23" s="33"/>
      <c r="F23" s="33"/>
      <c r="G23" s="33"/>
    </row>
    <row r="24" customFormat="false" ht="41.25" hidden="false" customHeight="true" outlineLevel="0" collapsed="false">
      <c r="A24" s="33" t="s">
        <v>2993</v>
      </c>
      <c r="B24" s="33" t="s">
        <v>3714</v>
      </c>
      <c r="C24" s="33"/>
      <c r="D24" s="33"/>
      <c r="E24" s="33"/>
      <c r="F24" s="33"/>
      <c r="G24" s="33"/>
    </row>
    <row r="25" customFormat="false" ht="27.75" hidden="false" customHeight="true" outlineLevel="0" collapsed="false">
      <c r="A25" s="33" t="s">
        <v>2995</v>
      </c>
      <c r="B25" s="33" t="s">
        <v>3715</v>
      </c>
      <c r="C25" s="33"/>
      <c r="D25" s="33"/>
      <c r="E25" s="33"/>
      <c r="F25" s="33"/>
      <c r="G25" s="33"/>
    </row>
    <row r="26" customFormat="false" ht="41.25" hidden="false" customHeight="true" outlineLevel="0" collapsed="false">
      <c r="A26" s="33" t="s">
        <v>2997</v>
      </c>
      <c r="B26" s="33" t="s">
        <v>3716</v>
      </c>
      <c r="C26" s="33"/>
      <c r="D26" s="33"/>
      <c r="E26" s="33"/>
      <c r="F26" s="33"/>
      <c r="G26" s="33"/>
    </row>
    <row r="27" customFormat="false" ht="41.25" hidden="false" customHeight="true" outlineLevel="0" collapsed="false">
      <c r="A27" s="33" t="s">
        <v>2999</v>
      </c>
      <c r="B27" s="33" t="s">
        <v>3717</v>
      </c>
      <c r="C27" s="33"/>
      <c r="D27" s="33"/>
      <c r="E27" s="33"/>
      <c r="F27" s="33"/>
      <c r="G27" s="33"/>
    </row>
    <row r="28" customFormat="false" ht="27.75" hidden="false" customHeight="true" outlineLevel="0" collapsed="false">
      <c r="A28" s="33" t="s">
        <v>3001</v>
      </c>
      <c r="B28" s="33" t="s">
        <v>3718</v>
      </c>
      <c r="C28" s="33"/>
      <c r="D28" s="33"/>
      <c r="E28" s="33"/>
      <c r="F28" s="33"/>
      <c r="G28" s="33"/>
    </row>
    <row r="29" customFormat="false" ht="54.75" hidden="false" customHeight="true" outlineLevel="0" collapsed="false">
      <c r="A29" s="33" t="s">
        <v>3003</v>
      </c>
      <c r="B29" s="33" t="s">
        <v>3719</v>
      </c>
      <c r="C29" s="33"/>
      <c r="D29" s="33"/>
      <c r="E29" s="33"/>
      <c r="F29" s="33"/>
      <c r="G29"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3720</v>
      </c>
      <c r="B1" s="42"/>
      <c r="C1" s="42"/>
      <c r="D1" s="42"/>
      <c r="E1" s="42"/>
      <c r="F1" s="42"/>
      <c r="G1" s="42"/>
    </row>
    <row r="2" customFormat="false" ht="15" hidden="false" customHeight="true" outlineLevel="0" collapsed="false">
      <c r="A2" s="43" t="s">
        <v>3639</v>
      </c>
      <c r="B2" s="43" t="s">
        <v>3640</v>
      </c>
      <c r="C2" s="43" t="s">
        <v>3641</v>
      </c>
      <c r="D2" s="43" t="s">
        <v>193</v>
      </c>
      <c r="E2" s="43" t="s">
        <v>3642</v>
      </c>
      <c r="F2" s="43" t="s">
        <v>3643</v>
      </c>
      <c r="G2" s="43" t="s">
        <v>2</v>
      </c>
    </row>
    <row r="3" customFormat="false" ht="15" hidden="false" customHeight="true" outlineLevel="0" collapsed="false">
      <c r="A3" s="33" t="s">
        <v>1261</v>
      </c>
      <c r="B3" s="33" t="s">
        <v>3721</v>
      </c>
      <c r="C3" s="33" t="s">
        <v>3722</v>
      </c>
      <c r="D3" s="33" t="s">
        <v>3723</v>
      </c>
      <c r="E3" s="33" t="s">
        <v>3724</v>
      </c>
      <c r="F3" s="33" t="s">
        <v>3725</v>
      </c>
      <c r="G3" s="33" t="s">
        <v>3410</v>
      </c>
    </row>
    <row r="4" customFormat="false" ht="27.75" hidden="false" customHeight="true" outlineLevel="0" collapsed="false">
      <c r="A4" s="33" t="s">
        <v>1261</v>
      </c>
      <c r="B4" s="33" t="s">
        <v>3726</v>
      </c>
      <c r="C4" s="33" t="s">
        <v>3727</v>
      </c>
      <c r="D4" s="33" t="s">
        <v>3728</v>
      </c>
      <c r="E4" s="33" t="s">
        <v>3729</v>
      </c>
      <c r="F4" s="33" t="s">
        <v>3730</v>
      </c>
      <c r="G4" s="33" t="s">
        <v>3522</v>
      </c>
    </row>
    <row r="5" customFormat="false" ht="27.75" hidden="false" customHeight="true" outlineLevel="0" collapsed="false">
      <c r="A5" s="33" t="s">
        <v>3731</v>
      </c>
      <c r="B5" s="33" t="s">
        <v>3732</v>
      </c>
      <c r="C5" s="33" t="s">
        <v>3733</v>
      </c>
      <c r="D5" s="33" t="s">
        <v>3734</v>
      </c>
      <c r="E5" s="33" t="s">
        <v>3735</v>
      </c>
      <c r="F5" s="33" t="s">
        <v>3736</v>
      </c>
      <c r="G5" s="33" t="s">
        <v>3737</v>
      </c>
    </row>
    <row r="6" customFormat="false" ht="15" hidden="false" customHeight="true" outlineLevel="0" collapsed="false">
      <c r="A6" s="33" t="s">
        <v>3731</v>
      </c>
      <c r="B6" s="33" t="s">
        <v>3738</v>
      </c>
      <c r="C6" s="33" t="s">
        <v>3739</v>
      </c>
      <c r="D6" s="33" t="s">
        <v>3740</v>
      </c>
      <c r="E6" s="33" t="s">
        <v>3741</v>
      </c>
      <c r="F6" s="33" t="s">
        <v>3742</v>
      </c>
      <c r="G6" s="33" t="s">
        <v>3410</v>
      </c>
    </row>
    <row r="7" customFormat="false" ht="15" hidden="false" customHeight="true" outlineLevel="0" collapsed="false">
      <c r="A7" s="33" t="s">
        <v>3743</v>
      </c>
      <c r="B7" s="33" t="s">
        <v>3744</v>
      </c>
      <c r="C7" s="33" t="s">
        <v>3745</v>
      </c>
      <c r="D7" s="33" t="s">
        <v>3746</v>
      </c>
      <c r="E7" s="33" t="s">
        <v>3747</v>
      </c>
      <c r="F7" s="33" t="s">
        <v>3748</v>
      </c>
      <c r="G7" s="33" t="s">
        <v>3410</v>
      </c>
    </row>
    <row r="8" customFormat="false" ht="27.75" hidden="false" customHeight="true" outlineLevel="0" collapsed="false">
      <c r="A8" s="33" t="s">
        <v>3749</v>
      </c>
      <c r="B8" s="33" t="s">
        <v>3750</v>
      </c>
      <c r="C8" s="33" t="s">
        <v>3751</v>
      </c>
      <c r="D8" s="33" t="s">
        <v>3752</v>
      </c>
      <c r="E8" s="33" t="s">
        <v>3753</v>
      </c>
      <c r="F8" s="33" t="s">
        <v>3754</v>
      </c>
      <c r="G8" s="33" t="s">
        <v>3410</v>
      </c>
    </row>
    <row r="9" customFormat="false" ht="27.75" hidden="false" customHeight="true" outlineLevel="0" collapsed="false">
      <c r="A9" s="33" t="s">
        <v>3749</v>
      </c>
      <c r="B9" s="33" t="s">
        <v>3755</v>
      </c>
      <c r="C9" s="33" t="s">
        <v>3756</v>
      </c>
      <c r="D9" s="33" t="s">
        <v>3757</v>
      </c>
      <c r="E9" s="33" t="s">
        <v>3758</v>
      </c>
      <c r="F9" s="33" t="s">
        <v>3759</v>
      </c>
      <c r="G9" s="33" t="s">
        <v>3410</v>
      </c>
    </row>
    <row r="10" customFormat="false" ht="27.75" hidden="false" customHeight="true" outlineLevel="0" collapsed="false">
      <c r="A10" s="33" t="s">
        <v>512</v>
      </c>
      <c r="B10" s="33" t="s">
        <v>3760</v>
      </c>
      <c r="C10" s="33" t="s">
        <v>1448</v>
      </c>
      <c r="D10" s="33" t="s">
        <v>3761</v>
      </c>
      <c r="E10" s="33" t="s">
        <v>3762</v>
      </c>
      <c r="F10" s="33" t="s">
        <v>3763</v>
      </c>
      <c r="G10" s="33" t="s">
        <v>3764</v>
      </c>
    </row>
    <row r="11" customFormat="false" ht="27.75" hidden="false" customHeight="true" outlineLevel="0" collapsed="false">
      <c r="A11" s="33" t="s">
        <v>3765</v>
      </c>
      <c r="B11" s="33" t="s">
        <v>3766</v>
      </c>
      <c r="C11" s="33" t="s">
        <v>3767</v>
      </c>
      <c r="D11" s="33" t="s">
        <v>3768</v>
      </c>
      <c r="E11" s="33" t="s">
        <v>3769</v>
      </c>
      <c r="F11" s="33" t="s">
        <v>3770</v>
      </c>
      <c r="G11" s="33" t="s">
        <v>3764</v>
      </c>
    </row>
    <row r="12" customFormat="false" ht="27.75" hidden="false" customHeight="true" outlineLevel="0" collapsed="false">
      <c r="A12" s="33" t="s">
        <v>3771</v>
      </c>
      <c r="B12" s="33" t="s">
        <v>3772</v>
      </c>
      <c r="C12" s="33" t="s">
        <v>3773</v>
      </c>
      <c r="D12" s="33" t="s">
        <v>3774</v>
      </c>
      <c r="E12" s="33" t="s">
        <v>3775</v>
      </c>
      <c r="F12" s="33" t="s">
        <v>3776</v>
      </c>
      <c r="G12" s="33" t="s">
        <v>3410</v>
      </c>
    </row>
    <row r="13" customFormat="false" ht="15" hidden="false" customHeight="true" outlineLevel="0" collapsed="false">
      <c r="A13" s="33" t="s">
        <v>3771</v>
      </c>
      <c r="B13" s="33" t="s">
        <v>3777</v>
      </c>
      <c r="C13" s="33" t="s">
        <v>3778</v>
      </c>
      <c r="D13" s="33" t="s">
        <v>3779</v>
      </c>
      <c r="E13" s="33" t="s">
        <v>3780</v>
      </c>
      <c r="F13" s="33" t="s">
        <v>3781</v>
      </c>
      <c r="G13" s="33" t="s">
        <v>3410</v>
      </c>
    </row>
    <row r="14" customFormat="false" ht="15" hidden="false" customHeight="true" outlineLevel="0" collapsed="false">
      <c r="A14" s="33" t="s">
        <v>3771</v>
      </c>
      <c r="B14" s="33" t="s">
        <v>3782</v>
      </c>
      <c r="C14" s="33" t="s">
        <v>3783</v>
      </c>
      <c r="D14" s="33" t="s">
        <v>3784</v>
      </c>
      <c r="E14" s="33" t="s">
        <v>3785</v>
      </c>
      <c r="F14" s="33" t="s">
        <v>3786</v>
      </c>
      <c r="G14" s="33" t="s">
        <v>3410</v>
      </c>
    </row>
    <row r="15" customFormat="false" ht="15" hidden="false" customHeight="true" outlineLevel="0" collapsed="false">
      <c r="A15" s="33" t="s">
        <v>3771</v>
      </c>
      <c r="B15" s="33" t="s">
        <v>3787</v>
      </c>
      <c r="C15" s="33" t="s">
        <v>3788</v>
      </c>
      <c r="D15" s="33" t="s">
        <v>3784</v>
      </c>
      <c r="E15" s="33" t="s">
        <v>3789</v>
      </c>
      <c r="F15" s="33" t="s">
        <v>3790</v>
      </c>
      <c r="G15" s="33" t="s">
        <v>3410</v>
      </c>
    </row>
    <row r="16" customFormat="false" ht="15" hidden="false" customHeight="true" outlineLevel="0" collapsed="false">
      <c r="A16" s="33" t="s">
        <v>3771</v>
      </c>
      <c r="B16" s="33" t="s">
        <v>3677</v>
      </c>
      <c r="C16" s="33" t="s">
        <v>3791</v>
      </c>
      <c r="D16" s="33" t="s">
        <v>3784</v>
      </c>
      <c r="E16" s="33" t="s">
        <v>3792</v>
      </c>
      <c r="F16" s="33" t="s">
        <v>3793</v>
      </c>
      <c r="G16" s="33" t="s">
        <v>3410</v>
      </c>
    </row>
    <row r="17" customFormat="false" ht="27.75" hidden="false" customHeight="true" outlineLevel="0" collapsed="false">
      <c r="A17" s="33" t="s">
        <v>3771</v>
      </c>
      <c r="B17" s="33" t="s">
        <v>3794</v>
      </c>
      <c r="C17" s="33" t="s">
        <v>3795</v>
      </c>
      <c r="D17" s="33" t="s">
        <v>3779</v>
      </c>
      <c r="E17" s="33" t="s">
        <v>3796</v>
      </c>
      <c r="F17" s="33" t="s">
        <v>3797</v>
      </c>
      <c r="G17" s="33" t="s">
        <v>3410</v>
      </c>
    </row>
    <row r="18" customFormat="false" ht="27.75" hidden="false" customHeight="true" outlineLevel="0" collapsed="false">
      <c r="A18" s="33" t="s">
        <v>3798</v>
      </c>
      <c r="B18" s="33" t="s">
        <v>3686</v>
      </c>
      <c r="C18" s="33" t="s">
        <v>3799</v>
      </c>
      <c r="D18" s="33" t="s">
        <v>3688</v>
      </c>
      <c r="E18" s="33" t="s">
        <v>3800</v>
      </c>
      <c r="F18" s="33" t="s">
        <v>3801</v>
      </c>
      <c r="G18" s="33" t="s">
        <v>3802</v>
      </c>
    </row>
    <row r="19" customFormat="false" ht="15" hidden="false" customHeight="true" outlineLevel="0" collapsed="false">
      <c r="A19" s="33" t="s">
        <v>3803</v>
      </c>
      <c r="B19" s="33" t="s">
        <v>3804</v>
      </c>
      <c r="C19" s="33" t="s">
        <v>3805</v>
      </c>
      <c r="D19" s="33" t="s">
        <v>3806</v>
      </c>
      <c r="E19" s="33" t="s">
        <v>3807</v>
      </c>
      <c r="F19" s="33" t="s">
        <v>3808</v>
      </c>
      <c r="G19" s="33" t="s">
        <v>3803</v>
      </c>
    </row>
    <row r="20" customFormat="false" ht="27.75" hidden="false" customHeight="true" outlineLevel="0" collapsed="false">
      <c r="A20" s="33" t="s">
        <v>3541</v>
      </c>
      <c r="B20" s="33" t="s">
        <v>3692</v>
      </c>
      <c r="C20" s="33" t="s">
        <v>3693</v>
      </c>
      <c r="D20" s="33" t="s">
        <v>3809</v>
      </c>
      <c r="E20" s="33" t="s">
        <v>3810</v>
      </c>
      <c r="F20" s="33" t="s">
        <v>3811</v>
      </c>
      <c r="G20" s="33" t="s">
        <v>3410</v>
      </c>
    </row>
    <row r="21" customFormat="false" ht="15" hidden="false" customHeight="true" outlineLevel="0" collapsed="false">
      <c r="A21" s="33" t="s">
        <v>3541</v>
      </c>
      <c r="B21" s="33" t="s">
        <v>3812</v>
      </c>
      <c r="C21" s="33" t="s">
        <v>3813</v>
      </c>
      <c r="D21" s="33" t="s">
        <v>3814</v>
      </c>
      <c r="E21" s="33" t="s">
        <v>3815</v>
      </c>
      <c r="F21" s="33" t="s">
        <v>3816</v>
      </c>
      <c r="G21" s="33" t="s">
        <v>3410</v>
      </c>
    </row>
    <row r="22" customFormat="false" ht="15" hidden="false" customHeight="true" outlineLevel="0" collapsed="false">
      <c r="A22" s="33" t="s">
        <v>3541</v>
      </c>
      <c r="B22" s="33" t="s">
        <v>3817</v>
      </c>
      <c r="C22" s="33" t="s">
        <v>3818</v>
      </c>
      <c r="D22" s="33" t="s">
        <v>3814</v>
      </c>
      <c r="E22" s="33" t="s">
        <v>3819</v>
      </c>
      <c r="F22" s="33" t="s">
        <v>3820</v>
      </c>
      <c r="G22" s="33" t="s">
        <v>3410</v>
      </c>
    </row>
    <row r="23" customFormat="false" ht="15" hidden="false" customHeight="true" outlineLevel="0" collapsed="false">
      <c r="A23" s="33" t="s">
        <v>3541</v>
      </c>
      <c r="B23" s="33" t="s">
        <v>3821</v>
      </c>
      <c r="C23" s="33" t="s">
        <v>3818</v>
      </c>
      <c r="D23" s="33" t="s">
        <v>3814</v>
      </c>
      <c r="E23" s="33" t="s">
        <v>3822</v>
      </c>
      <c r="F23" s="33" t="s">
        <v>3820</v>
      </c>
      <c r="G23" s="33" t="s">
        <v>3410</v>
      </c>
    </row>
    <row r="24" customFormat="false" ht="27.75" hidden="false" customHeight="true" outlineLevel="0" collapsed="false">
      <c r="A24" s="33" t="s">
        <v>3541</v>
      </c>
      <c r="B24" s="33" t="s">
        <v>3823</v>
      </c>
      <c r="C24" s="33" t="s">
        <v>3824</v>
      </c>
      <c r="D24" s="33" t="s">
        <v>3825</v>
      </c>
      <c r="E24" s="33" t="s">
        <v>3826</v>
      </c>
      <c r="F24" s="33" t="s">
        <v>3827</v>
      </c>
      <c r="G24" s="33" t="s">
        <v>3410</v>
      </c>
    </row>
    <row r="25" customFormat="false" ht="15" hidden="false" customHeight="true" outlineLevel="0" collapsed="false">
      <c r="A25" s="33" t="s">
        <v>3541</v>
      </c>
      <c r="B25" s="33" t="s">
        <v>3828</v>
      </c>
      <c r="C25" s="33" t="s">
        <v>3829</v>
      </c>
      <c r="D25" s="33" t="s">
        <v>3830</v>
      </c>
      <c r="E25" s="33" t="s">
        <v>3831</v>
      </c>
      <c r="F25" s="33" t="s">
        <v>3832</v>
      </c>
      <c r="G25" s="33" t="s">
        <v>3410</v>
      </c>
    </row>
    <row r="26" customFormat="false" ht="27.75" hidden="false" customHeight="true" outlineLevel="0" collapsed="false">
      <c r="A26" s="33" t="s">
        <v>3541</v>
      </c>
      <c r="B26" s="33" t="s">
        <v>3833</v>
      </c>
      <c r="C26" s="33" t="s">
        <v>3829</v>
      </c>
      <c r="D26" s="33" t="s">
        <v>3834</v>
      </c>
      <c r="E26" s="33" t="s">
        <v>3835</v>
      </c>
      <c r="F26" s="33" t="s">
        <v>3836</v>
      </c>
      <c r="G26" s="33" t="s">
        <v>3410</v>
      </c>
    </row>
    <row r="27" customFormat="false" ht="15" hidden="false" customHeight="true" outlineLevel="0" collapsed="false">
      <c r="A27" s="33" t="s">
        <v>3541</v>
      </c>
      <c r="B27" s="33" t="s">
        <v>3588</v>
      </c>
      <c r="C27" s="33" t="s">
        <v>3837</v>
      </c>
      <c r="D27" s="33"/>
      <c r="E27" s="33" t="s">
        <v>3838</v>
      </c>
      <c r="F27" s="33" t="s">
        <v>3839</v>
      </c>
      <c r="G27" s="33" t="s">
        <v>3410</v>
      </c>
    </row>
    <row r="28" customFormat="false" ht="15" hidden="false" customHeight="true" outlineLevel="0" collapsed="false">
      <c r="A28" s="33"/>
      <c r="B28" s="33"/>
      <c r="C28" s="33"/>
      <c r="D28" s="33"/>
      <c r="E28" s="33"/>
      <c r="F28" s="33"/>
      <c r="G28" s="33"/>
    </row>
    <row r="29" customFormat="false" ht="15" hidden="false" customHeight="true" outlineLevel="0" collapsed="false">
      <c r="A29" s="44" t="s">
        <v>3544</v>
      </c>
      <c r="B29" s="44"/>
      <c r="C29" s="44"/>
      <c r="D29" s="44"/>
      <c r="E29" s="44"/>
      <c r="F29" s="44"/>
      <c r="G29" s="44"/>
    </row>
    <row r="30" customFormat="false" ht="41.25" hidden="false" customHeight="true" outlineLevel="0" collapsed="false">
      <c r="A30" s="33" t="s">
        <v>3005</v>
      </c>
      <c r="B30" s="33" t="s">
        <v>3840</v>
      </c>
      <c r="C30" s="33"/>
      <c r="D30" s="33"/>
      <c r="E30" s="33"/>
      <c r="F30" s="33"/>
      <c r="G30" s="33"/>
    </row>
    <row r="31" customFormat="false" ht="54.75" hidden="false" customHeight="true" outlineLevel="0" collapsed="false">
      <c r="A31" s="33" t="s">
        <v>3008</v>
      </c>
      <c r="B31" s="33" t="s">
        <v>3841</v>
      </c>
      <c r="C31" s="33"/>
      <c r="D31" s="33"/>
      <c r="E31" s="33"/>
      <c r="F31" s="33"/>
      <c r="G31" s="33"/>
    </row>
    <row r="32" customFormat="false" ht="41.25" hidden="false" customHeight="true" outlineLevel="0" collapsed="false">
      <c r="A32" s="33" t="s">
        <v>3010</v>
      </c>
      <c r="B32" s="33" t="s">
        <v>3842</v>
      </c>
      <c r="C32" s="33"/>
      <c r="D32" s="33"/>
      <c r="E32" s="33"/>
      <c r="F32" s="33"/>
      <c r="G32" s="33"/>
    </row>
    <row r="33" customFormat="false" ht="41.25" hidden="false" customHeight="true" outlineLevel="0" collapsed="false">
      <c r="A33" s="33" t="s">
        <v>3012</v>
      </c>
      <c r="B33" s="33" t="s">
        <v>3843</v>
      </c>
      <c r="C33" s="33"/>
      <c r="D33" s="33"/>
      <c r="E33" s="33"/>
      <c r="F33" s="33"/>
      <c r="G33" s="33"/>
    </row>
    <row r="34" customFormat="false" ht="41.25" hidden="false" customHeight="true" outlineLevel="0" collapsed="false">
      <c r="A34" s="33" t="s">
        <v>3014</v>
      </c>
      <c r="B34" s="33" t="s">
        <v>3844</v>
      </c>
      <c r="C34" s="33"/>
      <c r="D34" s="33"/>
      <c r="E34" s="33"/>
      <c r="F34" s="33"/>
      <c r="G34" s="33"/>
    </row>
    <row r="35" customFormat="false" ht="41.25" hidden="false" customHeight="true" outlineLevel="0" collapsed="false">
      <c r="A35" s="33" t="s">
        <v>3016</v>
      </c>
      <c r="B35" s="33" t="s">
        <v>3845</v>
      </c>
      <c r="C35" s="33"/>
      <c r="D35" s="33"/>
      <c r="E35" s="33"/>
      <c r="F35" s="33"/>
      <c r="G35" s="33"/>
    </row>
    <row r="36" customFormat="false" ht="41.25" hidden="false" customHeight="true" outlineLevel="0" collapsed="false">
      <c r="A36" s="33" t="s">
        <v>3018</v>
      </c>
      <c r="B36" s="33" t="s">
        <v>3846</v>
      </c>
      <c r="C36" s="33"/>
      <c r="D36" s="33"/>
      <c r="E36" s="33"/>
      <c r="F36" s="33"/>
      <c r="G36" s="33"/>
    </row>
    <row r="37" customFormat="false" ht="27.75" hidden="false" customHeight="true" outlineLevel="0" collapsed="false">
      <c r="A37" s="33" t="s">
        <v>3020</v>
      </c>
      <c r="B37" s="33" t="s">
        <v>3847</v>
      </c>
      <c r="C37" s="33"/>
      <c r="D37" s="33"/>
      <c r="E37" s="33"/>
      <c r="F37" s="33"/>
      <c r="G37" s="33"/>
    </row>
    <row r="38" customFormat="false" ht="54.75" hidden="false" customHeight="true" outlineLevel="0" collapsed="false">
      <c r="A38" s="33" t="s">
        <v>3022</v>
      </c>
      <c r="B38" s="33" t="s">
        <v>3848</v>
      </c>
      <c r="C38" s="33"/>
      <c r="D38" s="33"/>
      <c r="E38" s="33"/>
      <c r="F38" s="33"/>
      <c r="G38" s="33"/>
    </row>
  </sheetData>
  <autoFilter ref="A2:G27"/>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3849</v>
      </c>
      <c r="B1" s="42"/>
      <c r="C1" s="42"/>
      <c r="D1" s="42"/>
      <c r="E1" s="42"/>
      <c r="F1" s="42"/>
      <c r="G1" s="42"/>
    </row>
    <row r="2" customFormat="false" ht="15" hidden="false" customHeight="true" outlineLevel="0" collapsed="false">
      <c r="A2" s="43" t="s">
        <v>3639</v>
      </c>
      <c r="B2" s="43" t="s">
        <v>3640</v>
      </c>
      <c r="C2" s="43" t="s">
        <v>3850</v>
      </c>
      <c r="D2" s="43" t="s">
        <v>193</v>
      </c>
      <c r="E2" s="43" t="s">
        <v>3642</v>
      </c>
      <c r="F2" s="43" t="s">
        <v>3643</v>
      </c>
      <c r="G2" s="43" t="s">
        <v>2</v>
      </c>
    </row>
    <row r="3" customFormat="false" ht="15" hidden="false" customHeight="true" outlineLevel="0" collapsed="false">
      <c r="A3" s="33" t="s">
        <v>3851</v>
      </c>
      <c r="B3" s="33" t="s">
        <v>3852</v>
      </c>
      <c r="C3" s="33" t="s">
        <v>3853</v>
      </c>
      <c r="D3" s="33" t="s">
        <v>3854</v>
      </c>
      <c r="E3" s="33" t="s">
        <v>3855</v>
      </c>
      <c r="F3" s="33" t="s">
        <v>3856</v>
      </c>
      <c r="G3" s="33" t="s">
        <v>3410</v>
      </c>
    </row>
    <row r="4" customFormat="false" ht="27.75" hidden="false" customHeight="true" outlineLevel="0" collapsed="false">
      <c r="A4" s="33" t="s">
        <v>3851</v>
      </c>
      <c r="B4" s="33" t="s">
        <v>3857</v>
      </c>
      <c r="C4" s="33" t="s">
        <v>3858</v>
      </c>
      <c r="D4" s="33" t="s">
        <v>3859</v>
      </c>
      <c r="E4" s="33" t="s">
        <v>3860</v>
      </c>
      <c r="F4" s="33" t="s">
        <v>3861</v>
      </c>
      <c r="G4" s="33" t="s">
        <v>3862</v>
      </c>
    </row>
    <row r="5" customFormat="false" ht="27.75" hidden="false" customHeight="true" outlineLevel="0" collapsed="false">
      <c r="A5" s="33" t="s">
        <v>3749</v>
      </c>
      <c r="B5" s="33" t="s">
        <v>3863</v>
      </c>
      <c r="C5" s="33" t="s">
        <v>3864</v>
      </c>
      <c r="D5" s="33" t="s">
        <v>3865</v>
      </c>
      <c r="E5" s="33" t="s">
        <v>3866</v>
      </c>
      <c r="F5" s="33" t="s">
        <v>3867</v>
      </c>
      <c r="G5" s="33" t="s">
        <v>3410</v>
      </c>
    </row>
    <row r="6" customFormat="false" ht="27.75" hidden="false" customHeight="true" outlineLevel="0" collapsed="false">
      <c r="A6" s="33" t="s">
        <v>3749</v>
      </c>
      <c r="B6" s="33" t="s">
        <v>3868</v>
      </c>
      <c r="C6" s="33" t="s">
        <v>3869</v>
      </c>
      <c r="D6" s="33" t="s">
        <v>3757</v>
      </c>
      <c r="E6" s="33" t="s">
        <v>3866</v>
      </c>
      <c r="F6" s="33" t="s">
        <v>3759</v>
      </c>
      <c r="G6" s="33" t="s">
        <v>3862</v>
      </c>
    </row>
    <row r="7" customFormat="false" ht="27.75" hidden="false" customHeight="true" outlineLevel="0" collapsed="false">
      <c r="A7" s="33" t="s">
        <v>3870</v>
      </c>
      <c r="B7" s="33" t="s">
        <v>3871</v>
      </c>
      <c r="C7" s="33" t="s">
        <v>3872</v>
      </c>
      <c r="D7" s="33" t="s">
        <v>3873</v>
      </c>
      <c r="E7" s="33" t="s">
        <v>3874</v>
      </c>
      <c r="F7" s="33" t="s">
        <v>3875</v>
      </c>
      <c r="G7" s="33" t="s">
        <v>3410</v>
      </c>
    </row>
    <row r="8" customFormat="false" ht="27.75" hidden="false" customHeight="true" outlineLevel="0" collapsed="false">
      <c r="A8" s="33" t="s">
        <v>512</v>
      </c>
      <c r="B8" s="33" t="s">
        <v>3760</v>
      </c>
      <c r="C8" s="33" t="s">
        <v>1448</v>
      </c>
      <c r="D8" s="33" t="s">
        <v>3761</v>
      </c>
      <c r="E8" s="33" t="s">
        <v>3876</v>
      </c>
      <c r="F8" s="33" t="s">
        <v>3877</v>
      </c>
      <c r="G8" s="33" t="s">
        <v>3862</v>
      </c>
    </row>
    <row r="9" customFormat="false" ht="15" hidden="false" customHeight="true" outlineLevel="0" collapsed="false">
      <c r="A9" s="33" t="s">
        <v>2674</v>
      </c>
      <c r="B9" s="33" t="s">
        <v>3878</v>
      </c>
      <c r="C9" s="33" t="s">
        <v>3879</v>
      </c>
      <c r="D9" s="33" t="s">
        <v>3854</v>
      </c>
      <c r="E9" s="33" t="s">
        <v>3880</v>
      </c>
      <c r="F9" s="33" t="s">
        <v>3881</v>
      </c>
      <c r="G9" s="33" t="s">
        <v>3410</v>
      </c>
    </row>
    <row r="10" customFormat="false" ht="27.75" hidden="false" customHeight="true" outlineLevel="0" collapsed="false">
      <c r="A10" s="33" t="s">
        <v>3731</v>
      </c>
      <c r="B10" s="33" t="s">
        <v>3882</v>
      </c>
      <c r="C10" s="33" t="s">
        <v>3883</v>
      </c>
      <c r="D10" s="33" t="s">
        <v>3734</v>
      </c>
      <c r="E10" s="33" t="s">
        <v>3884</v>
      </c>
      <c r="F10" s="33" t="s">
        <v>3885</v>
      </c>
      <c r="G10" s="33" t="s">
        <v>3737</v>
      </c>
    </row>
    <row r="11" customFormat="false" ht="15" hidden="false" customHeight="true" outlineLevel="0" collapsed="false">
      <c r="A11" s="33" t="s">
        <v>1261</v>
      </c>
      <c r="B11" s="33" t="s">
        <v>3886</v>
      </c>
      <c r="C11" s="33" t="s">
        <v>3887</v>
      </c>
      <c r="D11" s="33" t="s">
        <v>3723</v>
      </c>
      <c r="E11" s="33" t="s">
        <v>3888</v>
      </c>
      <c r="F11" s="33" t="s">
        <v>3889</v>
      </c>
      <c r="G11" s="33" t="s">
        <v>3410</v>
      </c>
    </row>
    <row r="12" customFormat="false" ht="15" hidden="false" customHeight="true" outlineLevel="0" collapsed="false">
      <c r="A12" s="33" t="s">
        <v>3743</v>
      </c>
      <c r="B12" s="33" t="s">
        <v>3744</v>
      </c>
      <c r="C12" s="33" t="s">
        <v>3745</v>
      </c>
      <c r="D12" s="33" t="s">
        <v>3746</v>
      </c>
      <c r="E12" s="33" t="s">
        <v>3890</v>
      </c>
      <c r="F12" s="33" t="s">
        <v>3891</v>
      </c>
      <c r="G12" s="33" t="s">
        <v>3862</v>
      </c>
    </row>
    <row r="13" customFormat="false" ht="15" hidden="false" customHeight="true" outlineLevel="0" collapsed="false">
      <c r="A13" s="33" t="s">
        <v>3731</v>
      </c>
      <c r="B13" s="33" t="s">
        <v>3738</v>
      </c>
      <c r="C13" s="33" t="s">
        <v>3739</v>
      </c>
      <c r="D13" s="33" t="s">
        <v>3740</v>
      </c>
      <c r="E13" s="33" t="s">
        <v>3892</v>
      </c>
      <c r="F13" s="33" t="s">
        <v>3891</v>
      </c>
      <c r="G13" s="33" t="s">
        <v>3862</v>
      </c>
    </row>
    <row r="14" customFormat="false" ht="15" hidden="false" customHeight="true" outlineLevel="0" collapsed="false">
      <c r="A14" s="33" t="s">
        <v>3541</v>
      </c>
      <c r="B14" s="33" t="s">
        <v>3692</v>
      </c>
      <c r="C14" s="33" t="s">
        <v>3693</v>
      </c>
      <c r="D14" s="33"/>
      <c r="E14" s="33" t="s">
        <v>3893</v>
      </c>
      <c r="F14" s="33" t="s">
        <v>3894</v>
      </c>
      <c r="G14" s="33" t="s">
        <v>3410</v>
      </c>
    </row>
    <row r="15" customFormat="false" ht="15" hidden="false" customHeight="true" outlineLevel="0" collapsed="false">
      <c r="A15" s="33" t="s">
        <v>3541</v>
      </c>
      <c r="B15" s="33" t="s">
        <v>3812</v>
      </c>
      <c r="C15" s="33" t="s">
        <v>3895</v>
      </c>
      <c r="D15" s="33"/>
      <c r="E15" s="33" t="s">
        <v>3896</v>
      </c>
      <c r="F15" s="33" t="s">
        <v>3897</v>
      </c>
      <c r="G15" s="33" t="s">
        <v>3410</v>
      </c>
    </row>
    <row r="16" customFormat="false" ht="15" hidden="false" customHeight="true" outlineLevel="0" collapsed="false">
      <c r="A16" s="33" t="s">
        <v>3541</v>
      </c>
      <c r="B16" s="33" t="s">
        <v>3817</v>
      </c>
      <c r="C16" s="33" t="s">
        <v>3898</v>
      </c>
      <c r="D16" s="33"/>
      <c r="E16" s="33" t="s">
        <v>3896</v>
      </c>
      <c r="F16" s="33" t="s">
        <v>3899</v>
      </c>
      <c r="G16" s="33" t="s">
        <v>3410</v>
      </c>
    </row>
    <row r="17" customFormat="false" ht="15" hidden="false" customHeight="true" outlineLevel="0" collapsed="false">
      <c r="A17" s="33" t="s">
        <v>3541</v>
      </c>
      <c r="B17" s="33" t="s">
        <v>3821</v>
      </c>
      <c r="C17" s="33" t="s">
        <v>3898</v>
      </c>
      <c r="D17" s="33"/>
      <c r="E17" s="33" t="s">
        <v>3896</v>
      </c>
      <c r="F17" s="33" t="s">
        <v>3899</v>
      </c>
      <c r="G17" s="33" t="s">
        <v>3410</v>
      </c>
    </row>
    <row r="18" customFormat="false" ht="15" hidden="false" customHeight="true" outlineLevel="0" collapsed="false">
      <c r="A18" s="33" t="s">
        <v>3541</v>
      </c>
      <c r="B18" s="33" t="s">
        <v>3823</v>
      </c>
      <c r="C18" s="33" t="s">
        <v>3824</v>
      </c>
      <c r="D18" s="33"/>
      <c r="E18" s="33" t="s">
        <v>3900</v>
      </c>
      <c r="F18" s="33" t="s">
        <v>3901</v>
      </c>
      <c r="G18" s="33" t="s">
        <v>3410</v>
      </c>
    </row>
    <row r="19" customFormat="false" ht="15" hidden="false" customHeight="true" outlineLevel="0" collapsed="false">
      <c r="A19" s="33" t="s">
        <v>3541</v>
      </c>
      <c r="B19" s="33" t="s">
        <v>3828</v>
      </c>
      <c r="C19" s="33" t="s">
        <v>3829</v>
      </c>
      <c r="D19" s="33"/>
      <c r="E19" s="33" t="s">
        <v>3902</v>
      </c>
      <c r="F19" s="33" t="s">
        <v>3903</v>
      </c>
      <c r="G19" s="33" t="s">
        <v>3410</v>
      </c>
    </row>
    <row r="20" customFormat="false" ht="15" hidden="false" customHeight="true" outlineLevel="0" collapsed="false">
      <c r="A20" s="33" t="s">
        <v>3541</v>
      </c>
      <c r="B20" s="33" t="s">
        <v>3833</v>
      </c>
      <c r="C20" s="33" t="s">
        <v>3829</v>
      </c>
      <c r="D20" s="33"/>
      <c r="E20" s="33" t="s">
        <v>3904</v>
      </c>
      <c r="F20" s="33" t="s">
        <v>3835</v>
      </c>
      <c r="G20" s="33" t="s">
        <v>3410</v>
      </c>
    </row>
    <row r="21" customFormat="false" ht="15" hidden="false" customHeight="true" outlineLevel="0" collapsed="false">
      <c r="A21" s="33" t="s">
        <v>3541</v>
      </c>
      <c r="B21" s="33" t="s">
        <v>3905</v>
      </c>
      <c r="C21" s="33" t="s">
        <v>3906</v>
      </c>
      <c r="D21" s="33"/>
      <c r="E21" s="33" t="s">
        <v>3907</v>
      </c>
      <c r="F21" s="33" t="s">
        <v>3839</v>
      </c>
      <c r="G21" s="33" t="s">
        <v>3410</v>
      </c>
    </row>
    <row r="22" customFormat="false" ht="15" hidden="false" customHeight="true" outlineLevel="0" collapsed="false">
      <c r="A22" s="33"/>
      <c r="B22" s="33"/>
      <c r="C22" s="33"/>
      <c r="D22" s="33"/>
      <c r="E22" s="33"/>
      <c r="F22" s="33"/>
      <c r="G22" s="33"/>
    </row>
    <row r="23" customFormat="false" ht="27.75" hidden="false" customHeight="true" outlineLevel="0" collapsed="false">
      <c r="A23" s="33" t="s">
        <v>3544</v>
      </c>
    </row>
    <row r="24" customFormat="false" ht="68.25" hidden="false" customHeight="true" outlineLevel="0" collapsed="false">
      <c r="A24" s="33" t="s">
        <v>3024</v>
      </c>
      <c r="B24" s="33" t="s">
        <v>3025</v>
      </c>
      <c r="C24" s="33"/>
      <c r="D24" s="33"/>
      <c r="E24" s="33"/>
      <c r="F24" s="33"/>
      <c r="G24" s="33"/>
    </row>
    <row r="25" customFormat="false" ht="68.25" hidden="false" customHeight="true" outlineLevel="0" collapsed="false">
      <c r="A25" s="33" t="s">
        <v>3027</v>
      </c>
      <c r="B25" s="33" t="s">
        <v>3028</v>
      </c>
      <c r="C25" s="33"/>
      <c r="D25" s="33"/>
      <c r="E25" s="33"/>
      <c r="F25" s="33"/>
      <c r="G25" s="33"/>
    </row>
    <row r="26" customFormat="false" ht="68.25" hidden="false" customHeight="true" outlineLevel="0" collapsed="false">
      <c r="A26" s="33" t="s">
        <v>3029</v>
      </c>
      <c r="B26" s="33" t="s">
        <v>3030</v>
      </c>
      <c r="C26" s="33"/>
      <c r="D26" s="33"/>
      <c r="E26" s="33"/>
      <c r="F26" s="33"/>
      <c r="G26" s="33"/>
    </row>
    <row r="27" customFormat="false" ht="54.75" hidden="false" customHeight="true" outlineLevel="0" collapsed="false">
      <c r="A27" s="33" t="s">
        <v>3031</v>
      </c>
      <c r="B27" s="33" t="s">
        <v>3032</v>
      </c>
      <c r="C27" s="33"/>
      <c r="D27" s="33"/>
      <c r="E27" s="33"/>
      <c r="F27" s="33"/>
      <c r="G27" s="33"/>
    </row>
    <row r="28" customFormat="false" ht="68.25" hidden="false" customHeight="true" outlineLevel="0" collapsed="false">
      <c r="A28" s="33" t="s">
        <v>3033</v>
      </c>
      <c r="B28" s="33" t="s">
        <v>3034</v>
      </c>
      <c r="C28" s="33"/>
      <c r="D28" s="33"/>
      <c r="E28" s="33"/>
      <c r="F28" s="33"/>
      <c r="G28" s="33"/>
    </row>
    <row r="29" customFormat="false" ht="14.25" hidden="false" customHeight="true" outlineLevel="0" collapsed="false">
      <c r="A29" s="44" t="s">
        <v>3036</v>
      </c>
      <c r="B29" s="44"/>
      <c r="C29" s="44"/>
      <c r="D29" s="44"/>
      <c r="E29" s="44"/>
      <c r="F29" s="44"/>
      <c r="G29" s="44"/>
    </row>
    <row r="30" customFormat="false" ht="68.25" hidden="false" customHeight="true" outlineLevel="0" collapsed="false">
      <c r="A30" s="33" t="s">
        <v>3038</v>
      </c>
      <c r="B30" s="33" t="s">
        <v>3039</v>
      </c>
      <c r="C30" s="33"/>
      <c r="D30" s="33"/>
      <c r="E30" s="33"/>
      <c r="F30" s="33"/>
      <c r="G30" s="33"/>
    </row>
    <row r="31" customFormat="false" ht="15" hidden="false" customHeight="true" outlineLevel="0" collapsed="false">
      <c r="A31" s="33"/>
      <c r="B31" s="33"/>
      <c r="C31" s="33"/>
      <c r="D31" s="33"/>
      <c r="E31" s="33"/>
      <c r="F31" s="33"/>
      <c r="G31" s="33"/>
    </row>
    <row r="32" customFormat="false" ht="15" hidden="false" customHeight="true" outlineLevel="0" collapsed="false">
      <c r="A32" s="33"/>
      <c r="B32" s="33"/>
      <c r="C32" s="33"/>
      <c r="D32" s="33"/>
      <c r="E32" s="33"/>
      <c r="F32" s="33"/>
      <c r="G32" s="33"/>
    </row>
    <row r="33" customFormat="false" ht="15" hidden="false" customHeight="true" outlineLevel="0" collapsed="false">
      <c r="A33" s="33"/>
      <c r="B33" s="33"/>
      <c r="C33" s="33"/>
      <c r="D33" s="33"/>
      <c r="E33" s="33"/>
      <c r="F33" s="33"/>
      <c r="G33" s="33"/>
    </row>
    <row r="34" customFormat="false" ht="15" hidden="false" customHeight="true" outlineLevel="0" collapsed="false">
      <c r="A34" s="33"/>
      <c r="B34" s="33"/>
      <c r="C34" s="33"/>
      <c r="D34" s="33"/>
      <c r="E34" s="33"/>
      <c r="F34" s="33"/>
      <c r="G34" s="33"/>
    </row>
    <row r="35" customFormat="false" ht="15" hidden="false" customHeight="true" outlineLevel="0" collapsed="false">
      <c r="A35" s="33"/>
      <c r="B35" s="33"/>
      <c r="C35" s="33"/>
      <c r="D35" s="33"/>
      <c r="E35" s="33"/>
      <c r="F35" s="33"/>
      <c r="G35" s="33"/>
    </row>
    <row r="36" customFormat="false" ht="15" hidden="false" customHeight="true" outlineLevel="0" collapsed="false">
      <c r="A36" s="33"/>
      <c r="B36" s="33"/>
      <c r="C36" s="33"/>
      <c r="D36" s="33"/>
      <c r="E36" s="33"/>
      <c r="F36" s="33"/>
      <c r="G36" s="33"/>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3908</v>
      </c>
      <c r="B1" s="42"/>
      <c r="C1" s="42"/>
      <c r="D1" s="42"/>
      <c r="E1" s="42"/>
      <c r="F1" s="42"/>
      <c r="G1" s="42"/>
    </row>
    <row r="2" customFormat="false" ht="15" hidden="false" customHeight="true" outlineLevel="0" collapsed="false">
      <c r="A2" s="43" t="s">
        <v>3909</v>
      </c>
      <c r="B2" s="43" t="s">
        <v>3910</v>
      </c>
      <c r="C2" s="43" t="s">
        <v>3911</v>
      </c>
      <c r="D2" s="43" t="s">
        <v>3912</v>
      </c>
      <c r="E2" s="43" t="s">
        <v>3913</v>
      </c>
      <c r="F2" s="43" t="s">
        <v>3914</v>
      </c>
      <c r="G2" s="43" t="s">
        <v>2</v>
      </c>
    </row>
    <row r="3" customFormat="false" ht="41.25" hidden="false" customHeight="true" outlineLevel="0" collapsed="false">
      <c r="A3" s="33" t="s">
        <v>3915</v>
      </c>
      <c r="B3" s="33" t="s">
        <v>3916</v>
      </c>
      <c r="C3" s="33" t="s">
        <v>3917</v>
      </c>
      <c r="D3" s="33" t="s">
        <v>3918</v>
      </c>
      <c r="E3" s="33" t="s">
        <v>3919</v>
      </c>
      <c r="F3" s="33" t="s">
        <v>3920</v>
      </c>
      <c r="G3" s="33" t="s">
        <v>3921</v>
      </c>
    </row>
    <row r="4" customFormat="false" ht="41.25" hidden="false" customHeight="true" outlineLevel="0" collapsed="false">
      <c r="A4" s="33" t="s">
        <v>3922</v>
      </c>
      <c r="B4" s="33" t="s">
        <v>3923</v>
      </c>
      <c r="C4" s="33" t="s">
        <v>3924</v>
      </c>
      <c r="D4" s="33" t="s">
        <v>3925</v>
      </c>
      <c r="E4" s="33" t="s">
        <v>3926</v>
      </c>
      <c r="F4" s="33" t="s">
        <v>3920</v>
      </c>
      <c r="G4" s="33" t="s">
        <v>3927</v>
      </c>
    </row>
    <row r="5" customFormat="false" ht="27.75" hidden="false" customHeight="true" outlineLevel="0" collapsed="false">
      <c r="A5" s="33" t="s">
        <v>3928</v>
      </c>
      <c r="B5" s="33" t="s">
        <v>3929</v>
      </c>
      <c r="C5" s="33" t="s">
        <v>3930</v>
      </c>
      <c r="D5" s="33" t="s">
        <v>3931</v>
      </c>
      <c r="E5" s="33" t="s">
        <v>3932</v>
      </c>
      <c r="F5" s="33" t="s">
        <v>3933</v>
      </c>
      <c r="G5" s="33" t="s">
        <v>3934</v>
      </c>
    </row>
    <row r="6" customFormat="false" ht="41.25" hidden="false" customHeight="true" outlineLevel="0" collapsed="false">
      <c r="A6" s="33" t="s">
        <v>3935</v>
      </c>
      <c r="B6" s="33" t="s">
        <v>3936</v>
      </c>
      <c r="C6" s="33" t="s">
        <v>3937</v>
      </c>
      <c r="D6" s="33" t="s">
        <v>3938</v>
      </c>
      <c r="E6" s="33" t="s">
        <v>3939</v>
      </c>
      <c r="F6" s="33" t="s">
        <v>3940</v>
      </c>
      <c r="G6" s="33" t="s">
        <v>3941</v>
      </c>
    </row>
    <row r="7" customFormat="false" ht="27.75" hidden="false" customHeight="true" outlineLevel="0" collapsed="false">
      <c r="A7" s="33" t="s">
        <v>3942</v>
      </c>
      <c r="B7" s="33" t="s">
        <v>3943</v>
      </c>
      <c r="C7" s="33" t="s">
        <v>3944</v>
      </c>
      <c r="D7" s="33" t="s">
        <v>3938</v>
      </c>
      <c r="E7" s="33" t="s">
        <v>3945</v>
      </c>
      <c r="F7" s="33" t="s">
        <v>3946</v>
      </c>
      <c r="G7" s="33" t="s">
        <v>3947</v>
      </c>
    </row>
    <row r="8" customFormat="false" ht="27.75" hidden="false" customHeight="true" outlineLevel="0" collapsed="false">
      <c r="A8" s="33" t="s">
        <v>3948</v>
      </c>
      <c r="B8" s="33" t="s">
        <v>3949</v>
      </c>
      <c r="C8" s="33" t="s">
        <v>3950</v>
      </c>
      <c r="D8" s="33" t="s">
        <v>3951</v>
      </c>
      <c r="E8" s="33" t="s">
        <v>3926</v>
      </c>
      <c r="F8" s="33" t="s">
        <v>3952</v>
      </c>
      <c r="G8" s="33" t="s">
        <v>3953</v>
      </c>
    </row>
    <row r="9" customFormat="false" ht="27.75" hidden="false" customHeight="true" outlineLevel="0" collapsed="false">
      <c r="A9" s="33" t="s">
        <v>3954</v>
      </c>
      <c r="B9" s="33" t="s">
        <v>3955</v>
      </c>
      <c r="C9" s="33" t="s">
        <v>3956</v>
      </c>
      <c r="D9" s="33" t="s">
        <v>3957</v>
      </c>
      <c r="E9" s="33" t="s">
        <v>3958</v>
      </c>
      <c r="F9" s="33" t="s">
        <v>3959</v>
      </c>
      <c r="G9" s="33" t="s">
        <v>3921</v>
      </c>
    </row>
    <row r="10" customFormat="false" ht="27.75" hidden="false" customHeight="true" outlineLevel="0" collapsed="false">
      <c r="A10" s="33" t="s">
        <v>3960</v>
      </c>
      <c r="B10" s="33" t="s">
        <v>3961</v>
      </c>
      <c r="C10" s="33" t="s">
        <v>3962</v>
      </c>
      <c r="D10" s="33" t="s">
        <v>3963</v>
      </c>
      <c r="E10" s="33" t="s">
        <v>3964</v>
      </c>
      <c r="F10" s="33" t="s">
        <v>3965</v>
      </c>
      <c r="G10" s="33" t="s">
        <v>3921</v>
      </c>
    </row>
    <row r="11" customFormat="false" ht="27.75" hidden="false" customHeight="true" outlineLevel="0" collapsed="false">
      <c r="A11" s="33" t="s">
        <v>3966</v>
      </c>
      <c r="B11" s="33" t="s">
        <v>3967</v>
      </c>
      <c r="C11" s="33" t="s">
        <v>3968</v>
      </c>
      <c r="D11" s="33" t="s">
        <v>3969</v>
      </c>
      <c r="E11" s="33" t="s">
        <v>3970</v>
      </c>
      <c r="F11" s="33" t="s">
        <v>3971</v>
      </c>
      <c r="G11" s="33" t="s">
        <v>3972</v>
      </c>
    </row>
    <row r="12" customFormat="false" ht="27.75" hidden="false" customHeight="true" outlineLevel="0" collapsed="false">
      <c r="A12" s="33" t="s">
        <v>3973</v>
      </c>
      <c r="B12" s="33" t="s">
        <v>3974</v>
      </c>
      <c r="C12" s="33" t="s">
        <v>3975</v>
      </c>
      <c r="D12" s="33" t="s">
        <v>3938</v>
      </c>
      <c r="E12" s="33" t="s">
        <v>3976</v>
      </c>
      <c r="F12" s="33" t="s">
        <v>3977</v>
      </c>
      <c r="G12" s="33" t="s">
        <v>3972</v>
      </c>
    </row>
    <row r="13" customFormat="false" ht="27.75" hidden="false" customHeight="true" outlineLevel="0" collapsed="false">
      <c r="A13" s="33" t="s">
        <v>3978</v>
      </c>
      <c r="B13" s="33" t="s">
        <v>3979</v>
      </c>
      <c r="C13" s="33" t="s">
        <v>3980</v>
      </c>
      <c r="D13" s="33" t="s">
        <v>3938</v>
      </c>
      <c r="E13" s="33" t="s">
        <v>3981</v>
      </c>
      <c r="F13" s="33" t="s">
        <v>3971</v>
      </c>
      <c r="G13" s="33" t="s">
        <v>3972</v>
      </c>
    </row>
    <row r="14" customFormat="false" ht="27.75" hidden="false" customHeight="true" outlineLevel="0" collapsed="false">
      <c r="A14" s="33" t="s">
        <v>3982</v>
      </c>
      <c r="B14" s="33" t="s">
        <v>3983</v>
      </c>
      <c r="C14" s="33" t="s">
        <v>3984</v>
      </c>
      <c r="D14" s="33" t="s">
        <v>3938</v>
      </c>
      <c r="E14" s="33" t="s">
        <v>3985</v>
      </c>
      <c r="F14" s="33" t="s">
        <v>3986</v>
      </c>
      <c r="G14" s="33" t="s">
        <v>3972</v>
      </c>
    </row>
    <row r="15" customFormat="false" ht="27.75" hidden="false" customHeight="true" outlineLevel="0" collapsed="false">
      <c r="A15" s="33" t="s">
        <v>3987</v>
      </c>
      <c r="B15" s="33" t="s">
        <v>3988</v>
      </c>
      <c r="C15" s="33" t="s">
        <v>3989</v>
      </c>
      <c r="D15" s="33" t="s">
        <v>3938</v>
      </c>
      <c r="E15" s="33" t="s">
        <v>3985</v>
      </c>
      <c r="F15" s="33" t="s">
        <v>3990</v>
      </c>
      <c r="G15" s="33" t="s">
        <v>3972</v>
      </c>
    </row>
    <row r="16" customFormat="false" ht="27.75" hidden="false" customHeight="true" outlineLevel="0" collapsed="false">
      <c r="A16" s="33" t="s">
        <v>3991</v>
      </c>
      <c r="B16" s="33" t="s">
        <v>3992</v>
      </c>
      <c r="C16" s="33" t="s">
        <v>3993</v>
      </c>
      <c r="D16" s="33" t="s">
        <v>3994</v>
      </c>
      <c r="E16" s="33" t="s">
        <v>3920</v>
      </c>
      <c r="F16" s="33" t="s">
        <v>3995</v>
      </c>
      <c r="G16" s="33" t="s">
        <v>3996</v>
      </c>
    </row>
    <row r="17" customFormat="false" ht="27.75" hidden="false" customHeight="true" outlineLevel="0" collapsed="false">
      <c r="A17" s="33" t="s">
        <v>3997</v>
      </c>
      <c r="B17" s="33" t="s">
        <v>3998</v>
      </c>
      <c r="C17" s="33" t="s">
        <v>3999</v>
      </c>
      <c r="D17" s="33" t="s">
        <v>4000</v>
      </c>
      <c r="E17" s="33" t="s">
        <v>3920</v>
      </c>
      <c r="F17" s="33" t="s">
        <v>3995</v>
      </c>
      <c r="G17" s="33" t="s">
        <v>3996</v>
      </c>
    </row>
    <row r="18" customFormat="false" ht="41.25" hidden="false" customHeight="true" outlineLevel="0" collapsed="false">
      <c r="A18" s="33" t="s">
        <v>4001</v>
      </c>
      <c r="B18" s="33" t="s">
        <v>4002</v>
      </c>
      <c r="C18" s="33" t="s">
        <v>4003</v>
      </c>
      <c r="D18" s="33" t="s">
        <v>4004</v>
      </c>
      <c r="E18" s="33" t="s">
        <v>3920</v>
      </c>
      <c r="F18" s="33" t="s">
        <v>3995</v>
      </c>
      <c r="G18" s="33" t="s">
        <v>3996</v>
      </c>
    </row>
    <row r="19" customFormat="false" ht="27.75" hidden="false" customHeight="true" outlineLevel="0" collapsed="false">
      <c r="A19" s="33" t="s">
        <v>4005</v>
      </c>
      <c r="B19" s="33" t="s">
        <v>4006</v>
      </c>
      <c r="C19" s="33" t="s">
        <v>4007</v>
      </c>
      <c r="D19" s="33" t="s">
        <v>4008</v>
      </c>
      <c r="E19" s="33" t="s">
        <v>4009</v>
      </c>
      <c r="F19" s="33" t="s">
        <v>4010</v>
      </c>
      <c r="G19" s="33" t="s">
        <v>3410</v>
      </c>
    </row>
    <row r="20" customFormat="false" ht="27.75" hidden="false" customHeight="true" outlineLevel="0" collapsed="false">
      <c r="A20" s="33" t="s">
        <v>4011</v>
      </c>
      <c r="B20" s="33" t="s">
        <v>4012</v>
      </c>
      <c r="C20" s="33" t="s">
        <v>4013</v>
      </c>
      <c r="D20" s="33" t="s">
        <v>4014</v>
      </c>
      <c r="E20" s="33" t="s">
        <v>4015</v>
      </c>
      <c r="F20" s="33" t="s">
        <v>4016</v>
      </c>
      <c r="G20" s="33" t="s">
        <v>3410</v>
      </c>
    </row>
    <row r="21" customFormat="false" ht="27.75" hidden="false" customHeight="true" outlineLevel="0" collapsed="false">
      <c r="A21" s="33" t="s">
        <v>4017</v>
      </c>
      <c r="B21" s="33" t="s">
        <v>4018</v>
      </c>
      <c r="C21" s="33" t="s">
        <v>4019</v>
      </c>
      <c r="D21" s="33" t="s">
        <v>4020</v>
      </c>
      <c r="E21" s="33" t="s">
        <v>4021</v>
      </c>
      <c r="F21" s="33" t="s">
        <v>4022</v>
      </c>
      <c r="G21" s="33" t="s">
        <v>4023</v>
      </c>
    </row>
    <row r="22" customFormat="false" ht="15" hidden="false" customHeight="true" outlineLevel="0" collapsed="false">
      <c r="A22" s="33"/>
      <c r="B22" s="33"/>
      <c r="C22" s="33"/>
      <c r="D22" s="33"/>
      <c r="E22" s="33"/>
      <c r="F22" s="33"/>
      <c r="G22" s="33"/>
    </row>
    <row r="23" customFormat="false" ht="15" hidden="false" customHeight="true" outlineLevel="0" collapsed="false">
      <c r="A23" s="33"/>
    </row>
    <row r="24" customFormat="false" ht="15" hidden="false" customHeight="true" outlineLevel="0" collapsed="false">
      <c r="A24" s="33"/>
      <c r="B24" s="33"/>
      <c r="C24" s="33"/>
      <c r="D24" s="33"/>
      <c r="E24" s="33"/>
      <c r="F24" s="33"/>
      <c r="G24" s="33"/>
    </row>
    <row r="25" customFormat="false" ht="15" hidden="false" customHeight="true" outlineLevel="0" collapsed="false">
      <c r="A25" s="33"/>
      <c r="B25" s="33"/>
      <c r="C25" s="33"/>
      <c r="D25" s="33"/>
      <c r="E25" s="33"/>
      <c r="F25" s="33"/>
      <c r="G25" s="33"/>
    </row>
    <row r="26" customFormat="false" ht="15" hidden="false" customHeight="true" outlineLevel="0" collapsed="false">
      <c r="A26" s="33"/>
      <c r="B26" s="33"/>
      <c r="C26" s="33"/>
      <c r="D26" s="33"/>
      <c r="E26" s="33"/>
      <c r="F26" s="33"/>
      <c r="G26" s="33"/>
    </row>
    <row r="27" customFormat="false" ht="15" hidden="false" customHeight="true" outlineLevel="0" collapsed="false">
      <c r="A27" s="33"/>
      <c r="B27" s="33"/>
      <c r="C27" s="33"/>
      <c r="D27" s="33"/>
      <c r="E27" s="33"/>
      <c r="F27" s="33"/>
      <c r="G27" s="33"/>
    </row>
    <row r="28" customFormat="false" ht="15" hidden="false" customHeight="true" outlineLevel="0" collapsed="false">
      <c r="A28" s="33"/>
      <c r="B28" s="33"/>
      <c r="C28" s="33"/>
      <c r="D28" s="33"/>
      <c r="E28" s="33"/>
      <c r="F28" s="33"/>
      <c r="G28" s="33"/>
    </row>
    <row r="29" customFormat="false" ht="17.25" hidden="false" customHeight="true" outlineLevel="0" collapsed="false">
      <c r="A29" s="42" t="s">
        <v>3544</v>
      </c>
      <c r="B29" s="42"/>
      <c r="C29" s="42"/>
      <c r="D29" s="42"/>
      <c r="E29" s="42"/>
      <c r="F29" s="42"/>
      <c r="G29" s="42"/>
    </row>
    <row r="30" customFormat="false" ht="27.75" hidden="false" customHeight="true" outlineLevel="0" collapsed="false">
      <c r="A30" s="33" t="s">
        <v>3040</v>
      </c>
      <c r="B30" s="44" t="s">
        <v>3041</v>
      </c>
      <c r="C30" s="44"/>
      <c r="D30" s="44"/>
      <c r="E30" s="44"/>
      <c r="F30" s="44"/>
      <c r="G30" s="33" t="s">
        <v>3042</v>
      </c>
    </row>
    <row r="31" customFormat="false" ht="27.75" hidden="false" customHeight="true" outlineLevel="0" collapsed="false">
      <c r="A31" s="33" t="s">
        <v>3043</v>
      </c>
      <c r="B31" s="44" t="s">
        <v>3044</v>
      </c>
      <c r="C31" s="44"/>
      <c r="D31" s="44"/>
      <c r="E31" s="44"/>
      <c r="F31" s="44"/>
      <c r="G31" s="33" t="s">
        <v>3042</v>
      </c>
    </row>
    <row r="32" customFormat="false" ht="41.25" hidden="false" customHeight="true" outlineLevel="0" collapsed="false">
      <c r="A32" s="33" t="s">
        <v>3045</v>
      </c>
      <c r="B32" s="44" t="s">
        <v>3046</v>
      </c>
      <c r="C32" s="44"/>
      <c r="D32" s="44"/>
      <c r="E32" s="44"/>
      <c r="F32" s="44"/>
      <c r="G32" s="33" t="s">
        <v>3047</v>
      </c>
    </row>
    <row r="33" customFormat="false" ht="41.25" hidden="false" customHeight="true" outlineLevel="0" collapsed="false">
      <c r="A33" s="33" t="s">
        <v>3048</v>
      </c>
      <c r="B33" s="44" t="s">
        <v>3049</v>
      </c>
      <c r="C33" s="44"/>
      <c r="D33" s="44"/>
      <c r="E33" s="44"/>
      <c r="F33" s="44"/>
      <c r="G33" s="33" t="s">
        <v>3047</v>
      </c>
    </row>
    <row r="34" customFormat="false" ht="41.25" hidden="false" customHeight="true" outlineLevel="0" collapsed="false">
      <c r="A34" s="33" t="s">
        <v>3050</v>
      </c>
      <c r="B34" s="44" t="s">
        <v>3051</v>
      </c>
      <c r="C34" s="44"/>
      <c r="D34" s="44"/>
      <c r="E34" s="44"/>
      <c r="F34" s="44"/>
      <c r="G34" s="33" t="s">
        <v>3047</v>
      </c>
    </row>
    <row r="35" customFormat="false" ht="41.25" hidden="false" customHeight="true" outlineLevel="0" collapsed="false">
      <c r="A35" s="33" t="s">
        <v>3052</v>
      </c>
      <c r="B35" s="44" t="s">
        <v>3053</v>
      </c>
      <c r="C35" s="44"/>
      <c r="D35" s="44"/>
      <c r="E35" s="44"/>
      <c r="F35" s="44"/>
      <c r="G35" s="33" t="s">
        <v>3054</v>
      </c>
    </row>
    <row r="36" customFormat="false" ht="27.75" hidden="false" customHeight="true" outlineLevel="0" collapsed="false">
      <c r="A36" s="33" t="s">
        <v>3055</v>
      </c>
      <c r="B36" s="44" t="s">
        <v>3056</v>
      </c>
      <c r="C36" s="44"/>
      <c r="D36" s="44"/>
      <c r="E36" s="44"/>
      <c r="F36" s="44"/>
      <c r="G36" s="33" t="s">
        <v>3057</v>
      </c>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2" t="s">
        <v>4024</v>
      </c>
      <c r="B1" s="42"/>
      <c r="C1" s="42"/>
      <c r="D1" s="42"/>
      <c r="E1" s="42"/>
      <c r="F1" s="42"/>
      <c r="G1" s="42"/>
    </row>
    <row r="2" customFormat="false" ht="27.75" hidden="false" customHeight="true" outlineLevel="0" collapsed="false">
      <c r="A2" s="43" t="s">
        <v>3512</v>
      </c>
      <c r="B2" s="43" t="s">
        <v>4025</v>
      </c>
      <c r="C2" s="43" t="s">
        <v>4026</v>
      </c>
      <c r="D2" s="43" t="s">
        <v>4027</v>
      </c>
      <c r="E2" s="43" t="s">
        <v>4028</v>
      </c>
      <c r="F2" s="43" t="s">
        <v>4029</v>
      </c>
      <c r="G2" s="43" t="s">
        <v>2</v>
      </c>
    </row>
    <row r="3" customFormat="false" ht="27.75" hidden="false" customHeight="true" outlineLevel="0" collapsed="false">
      <c r="A3" s="33" t="s">
        <v>4030</v>
      </c>
      <c r="B3" s="33" t="s">
        <v>4031</v>
      </c>
      <c r="C3" s="33" t="s">
        <v>4032</v>
      </c>
      <c r="D3" s="33" t="s">
        <v>4033</v>
      </c>
      <c r="E3" s="33" t="s">
        <v>4034</v>
      </c>
      <c r="F3" s="33" t="s">
        <v>4035</v>
      </c>
      <c r="G3" s="33" t="s">
        <v>3410</v>
      </c>
    </row>
    <row r="4" customFormat="false" ht="27.75" hidden="false" customHeight="true" outlineLevel="0" collapsed="false">
      <c r="A4" s="33" t="s">
        <v>4036</v>
      </c>
      <c r="B4" s="33" t="s">
        <v>4037</v>
      </c>
      <c r="C4" s="33" t="s">
        <v>4038</v>
      </c>
      <c r="D4" s="33" t="s">
        <v>4039</v>
      </c>
      <c r="E4" s="33" t="s">
        <v>4040</v>
      </c>
      <c r="F4" s="33" t="s">
        <v>4041</v>
      </c>
      <c r="G4" s="33" t="s">
        <v>3410</v>
      </c>
    </row>
    <row r="5" customFormat="false" ht="27.75" hidden="false" customHeight="true" outlineLevel="0" collapsed="false">
      <c r="A5" s="33" t="s">
        <v>4042</v>
      </c>
      <c r="B5" s="33" t="s">
        <v>4043</v>
      </c>
      <c r="C5" s="33" t="s">
        <v>4044</v>
      </c>
      <c r="D5" s="33" t="s">
        <v>4045</v>
      </c>
      <c r="E5" s="33" t="s">
        <v>4046</v>
      </c>
      <c r="F5" s="33" t="s">
        <v>4047</v>
      </c>
      <c r="G5" s="33" t="s">
        <v>3410</v>
      </c>
    </row>
    <row r="6" customFormat="false" ht="27.75" hidden="false" customHeight="true" outlineLevel="0" collapsed="false">
      <c r="A6" s="33" t="s">
        <v>4048</v>
      </c>
      <c r="B6" s="33" t="s">
        <v>4049</v>
      </c>
      <c r="C6" s="33" t="s">
        <v>4050</v>
      </c>
      <c r="D6" s="33" t="s">
        <v>4051</v>
      </c>
      <c r="E6" s="33" t="s">
        <v>4052</v>
      </c>
      <c r="F6" s="33" t="s">
        <v>4053</v>
      </c>
      <c r="G6" s="33" t="s">
        <v>3410</v>
      </c>
    </row>
    <row r="7" customFormat="false" ht="27.75" hidden="false" customHeight="true" outlineLevel="0" collapsed="false">
      <c r="A7" s="33" t="s">
        <v>330</v>
      </c>
      <c r="B7" s="33" t="s">
        <v>4054</v>
      </c>
      <c r="C7" s="33" t="s">
        <v>4055</v>
      </c>
      <c r="D7" s="33" t="s">
        <v>4056</v>
      </c>
      <c r="E7" s="33" t="s">
        <v>4057</v>
      </c>
      <c r="F7" s="33" t="s">
        <v>4058</v>
      </c>
      <c r="G7" s="33" t="s">
        <v>3410</v>
      </c>
    </row>
    <row r="8" customFormat="false" ht="27.75" hidden="false" customHeight="true" outlineLevel="0" collapsed="false">
      <c r="A8" s="33" t="s">
        <v>3765</v>
      </c>
      <c r="B8" s="33" t="s">
        <v>4059</v>
      </c>
      <c r="C8" s="33" t="s">
        <v>4060</v>
      </c>
      <c r="D8" s="33" t="s">
        <v>4061</v>
      </c>
      <c r="E8" s="33" t="s">
        <v>4062</v>
      </c>
      <c r="F8" s="33" t="s">
        <v>4063</v>
      </c>
      <c r="G8" s="33" t="s">
        <v>3410</v>
      </c>
    </row>
    <row r="9" customFormat="false" ht="27.75" hidden="false" customHeight="true" outlineLevel="0" collapsed="false">
      <c r="A9" s="33" t="s">
        <v>3765</v>
      </c>
      <c r="B9" s="33" t="s">
        <v>4064</v>
      </c>
      <c r="C9" s="33" t="s">
        <v>4065</v>
      </c>
      <c r="D9" s="33" t="s">
        <v>4066</v>
      </c>
      <c r="E9" s="33" t="s">
        <v>4067</v>
      </c>
      <c r="F9" s="33" t="s">
        <v>4068</v>
      </c>
      <c r="G9" s="33" t="s">
        <v>3410</v>
      </c>
    </row>
    <row r="10" customFormat="false" ht="27.75" hidden="false" customHeight="true" outlineLevel="0" collapsed="false">
      <c r="A10" s="33" t="s">
        <v>3765</v>
      </c>
      <c r="B10" s="33" t="s">
        <v>4069</v>
      </c>
      <c r="C10" s="33" t="s">
        <v>4070</v>
      </c>
      <c r="D10" s="33" t="s">
        <v>4071</v>
      </c>
      <c r="E10" s="33" t="s">
        <v>4072</v>
      </c>
      <c r="F10" s="33" t="s">
        <v>4073</v>
      </c>
      <c r="G10" s="33" t="s">
        <v>3410</v>
      </c>
    </row>
    <row r="11" customFormat="false" ht="27.75" hidden="false" customHeight="true" outlineLevel="0" collapsed="false">
      <c r="A11" s="33" t="s">
        <v>4074</v>
      </c>
      <c r="B11" s="33" t="s">
        <v>4075</v>
      </c>
      <c r="C11" s="33" t="s">
        <v>4076</v>
      </c>
      <c r="D11" s="33" t="s">
        <v>4077</v>
      </c>
      <c r="E11" s="33" t="s">
        <v>4078</v>
      </c>
      <c r="F11" s="33" t="s">
        <v>3693</v>
      </c>
      <c r="G11" s="33" t="s">
        <v>3529</v>
      </c>
    </row>
    <row r="12" customFormat="false" ht="27.75" hidden="false" customHeight="true" outlineLevel="0" collapsed="false">
      <c r="A12" s="33" t="s">
        <v>3601</v>
      </c>
      <c r="B12" s="33" t="s">
        <v>4079</v>
      </c>
      <c r="C12" s="33" t="s">
        <v>4080</v>
      </c>
      <c r="D12" s="33" t="s">
        <v>4081</v>
      </c>
      <c r="E12" s="33" t="s">
        <v>4082</v>
      </c>
      <c r="F12" s="33" t="s">
        <v>4083</v>
      </c>
      <c r="G12" s="33" t="s">
        <v>3410</v>
      </c>
    </row>
    <row r="13" customFormat="false" ht="27.75" hidden="false" customHeight="true" outlineLevel="0" collapsed="false">
      <c r="A13" s="33" t="s">
        <v>4084</v>
      </c>
      <c r="B13" s="33" t="s">
        <v>4085</v>
      </c>
      <c r="C13" s="33" t="s">
        <v>4086</v>
      </c>
      <c r="D13" s="33" t="s">
        <v>4087</v>
      </c>
      <c r="E13" s="33" t="s">
        <v>4088</v>
      </c>
      <c r="F13" s="33" t="s">
        <v>4089</v>
      </c>
      <c r="G13" s="33" t="s">
        <v>3862</v>
      </c>
    </row>
    <row r="14" customFormat="false" ht="27.75" hidden="false" customHeight="true" outlineLevel="0" collapsed="false">
      <c r="A14" s="33" t="s">
        <v>512</v>
      </c>
      <c r="B14" s="33" t="s">
        <v>3760</v>
      </c>
      <c r="C14" s="33" t="s">
        <v>4090</v>
      </c>
      <c r="D14" s="33" t="s">
        <v>4091</v>
      </c>
      <c r="E14" s="33" t="s">
        <v>4092</v>
      </c>
      <c r="F14" s="33" t="s">
        <v>4093</v>
      </c>
      <c r="G14" s="33" t="s">
        <v>3862</v>
      </c>
    </row>
    <row r="15" customFormat="false" ht="27.75" hidden="false" customHeight="true" outlineLevel="0" collapsed="false">
      <c r="A15" s="33" t="s">
        <v>3541</v>
      </c>
      <c r="B15" s="33" t="s">
        <v>4094</v>
      </c>
      <c r="C15" s="33" t="s">
        <v>4095</v>
      </c>
      <c r="D15" s="33" t="s">
        <v>4096</v>
      </c>
      <c r="E15" s="33" t="s">
        <v>4097</v>
      </c>
      <c r="F15" s="33" t="s">
        <v>4098</v>
      </c>
      <c r="G15" s="33" t="s">
        <v>3410</v>
      </c>
    </row>
    <row r="16" customFormat="false" ht="27.75" hidden="false" customHeight="true" outlineLevel="0" collapsed="false">
      <c r="A16" s="33" t="s">
        <v>3541</v>
      </c>
      <c r="B16" s="33" t="s">
        <v>4099</v>
      </c>
      <c r="C16" s="33" t="s">
        <v>4100</v>
      </c>
      <c r="D16" s="33" t="s">
        <v>4101</v>
      </c>
      <c r="E16" s="33" t="s">
        <v>4102</v>
      </c>
      <c r="F16" s="33" t="s">
        <v>4103</v>
      </c>
      <c r="G16" s="33" t="s">
        <v>3410</v>
      </c>
    </row>
    <row r="17" customFormat="false" ht="27.75" hidden="false" customHeight="true" outlineLevel="0" collapsed="false">
      <c r="A17" s="33" t="s">
        <v>3541</v>
      </c>
      <c r="B17" s="33" t="s">
        <v>4104</v>
      </c>
      <c r="C17" s="33" t="s">
        <v>4105</v>
      </c>
      <c r="D17" s="33" t="s">
        <v>4106</v>
      </c>
      <c r="E17" s="33" t="s">
        <v>4107</v>
      </c>
      <c r="F17" s="33" t="s">
        <v>4108</v>
      </c>
      <c r="G17" s="33" t="s">
        <v>3410</v>
      </c>
    </row>
    <row r="18" customFormat="false" ht="27.75" hidden="false" customHeight="true" outlineLevel="0" collapsed="false">
      <c r="A18" s="33" t="s">
        <v>3541</v>
      </c>
      <c r="B18" s="33" t="s">
        <v>4109</v>
      </c>
      <c r="C18" s="33" t="s">
        <v>4110</v>
      </c>
      <c r="D18" s="33" t="s">
        <v>4111</v>
      </c>
      <c r="E18" s="33" t="s">
        <v>4112</v>
      </c>
      <c r="F18" s="33" t="s">
        <v>4113</v>
      </c>
      <c r="G18" s="33" t="s">
        <v>3410</v>
      </c>
    </row>
    <row r="19" customFormat="false" ht="27.75" hidden="false" customHeight="true" outlineLevel="0" collapsed="false">
      <c r="A19" s="33" t="s">
        <v>3541</v>
      </c>
      <c r="B19" s="33" t="s">
        <v>4114</v>
      </c>
      <c r="C19" s="33" t="s">
        <v>4115</v>
      </c>
      <c r="D19" s="33" t="s">
        <v>4116</v>
      </c>
      <c r="E19" s="33" t="s">
        <v>4117</v>
      </c>
      <c r="F19" s="33" t="s">
        <v>4103</v>
      </c>
      <c r="G19" s="33" t="s">
        <v>3410</v>
      </c>
    </row>
    <row r="20" customFormat="false" ht="41.25" hidden="false" customHeight="true" outlineLevel="0" collapsed="false">
      <c r="A20" s="33" t="s">
        <v>4118</v>
      </c>
      <c r="B20" s="33" t="s">
        <v>4119</v>
      </c>
      <c r="C20" s="33" t="s">
        <v>4120</v>
      </c>
      <c r="D20" s="33" t="s">
        <v>4121</v>
      </c>
      <c r="E20" s="33" t="s">
        <v>4122</v>
      </c>
      <c r="F20" s="33" t="s">
        <v>4123</v>
      </c>
      <c r="G20" s="33" t="s">
        <v>4124</v>
      </c>
    </row>
    <row r="21" customFormat="false" ht="41.25" hidden="false" customHeight="true" outlineLevel="0" collapsed="false">
      <c r="A21" s="33" t="s">
        <v>3803</v>
      </c>
      <c r="B21" s="33" t="s">
        <v>4125</v>
      </c>
      <c r="C21" s="33" t="s">
        <v>4126</v>
      </c>
      <c r="D21" s="33" t="s">
        <v>4127</v>
      </c>
      <c r="E21" s="33" t="s">
        <v>4128</v>
      </c>
      <c r="F21" s="33" t="s">
        <v>4129</v>
      </c>
      <c r="G21" s="33" t="s">
        <v>3803</v>
      </c>
    </row>
    <row r="22" customFormat="false" ht="27.75" hidden="false" customHeight="true" outlineLevel="0" collapsed="false">
      <c r="A22" s="33" t="s">
        <v>3954</v>
      </c>
      <c r="B22" s="33" t="s">
        <v>4130</v>
      </c>
      <c r="C22" s="33" t="s">
        <v>4131</v>
      </c>
      <c r="D22" s="33" t="s">
        <v>4132</v>
      </c>
      <c r="E22" s="33" t="s">
        <v>4133</v>
      </c>
      <c r="F22" s="33" t="s">
        <v>4134</v>
      </c>
      <c r="G22" s="33" t="s">
        <v>3921</v>
      </c>
    </row>
    <row r="23" customFormat="false" ht="15" hidden="false" customHeight="true" outlineLevel="0" collapsed="false">
      <c r="A23" s="33"/>
      <c r="B23" s="33"/>
      <c r="C23" s="33"/>
      <c r="D23" s="33"/>
      <c r="E23" s="33"/>
      <c r="F23" s="33"/>
      <c r="G23" s="33"/>
    </row>
    <row r="24" customFormat="false" ht="15" hidden="false" customHeight="true" outlineLevel="0" collapsed="false">
      <c r="A24" s="33"/>
      <c r="B24" s="33"/>
      <c r="C24" s="33"/>
      <c r="D24" s="33"/>
      <c r="E24" s="33"/>
      <c r="F24" s="33"/>
      <c r="G24" s="33"/>
    </row>
    <row r="25" customFormat="false" ht="17.25" hidden="false" customHeight="true" outlineLevel="0" collapsed="false">
      <c r="A25" s="42" t="s">
        <v>3544</v>
      </c>
      <c r="B25" s="42"/>
      <c r="C25" s="42"/>
      <c r="D25" s="42"/>
      <c r="E25" s="42"/>
      <c r="F25" s="42"/>
      <c r="G25" s="42"/>
    </row>
    <row r="26" customFormat="false" ht="27.75" hidden="false" customHeight="true" outlineLevel="0" collapsed="false">
      <c r="A26" s="33" t="s">
        <v>3058</v>
      </c>
      <c r="B26" s="44" t="s">
        <v>3059</v>
      </c>
      <c r="C26" s="44"/>
      <c r="D26" s="44"/>
      <c r="E26" s="44"/>
      <c r="F26" s="44"/>
      <c r="G26" s="33" t="s">
        <v>3060</v>
      </c>
    </row>
    <row r="27" customFormat="false" ht="27.75" hidden="false" customHeight="true" outlineLevel="0" collapsed="false">
      <c r="A27" s="33" t="s">
        <v>3061</v>
      </c>
      <c r="B27" s="44" t="s">
        <v>3062</v>
      </c>
      <c r="C27" s="44"/>
      <c r="D27" s="44"/>
      <c r="E27" s="44"/>
      <c r="F27" s="44"/>
      <c r="G27" s="33" t="s">
        <v>3060</v>
      </c>
    </row>
    <row r="28" customFormat="false" ht="27.75" hidden="false" customHeight="true" outlineLevel="0" collapsed="false">
      <c r="A28" s="33" t="s">
        <v>3063</v>
      </c>
      <c r="B28" s="44" t="s">
        <v>3064</v>
      </c>
      <c r="C28" s="44"/>
      <c r="D28" s="44"/>
      <c r="E28" s="44"/>
      <c r="F28" s="44"/>
      <c r="G28" s="33" t="s">
        <v>3060</v>
      </c>
    </row>
    <row r="29" customFormat="false" ht="27.75" hidden="false" customHeight="true" outlineLevel="0" collapsed="false">
      <c r="A29" s="33" t="s">
        <v>3065</v>
      </c>
      <c r="B29" s="44" t="s">
        <v>3066</v>
      </c>
      <c r="C29" s="44"/>
      <c r="D29" s="44"/>
      <c r="E29" s="44"/>
      <c r="F29" s="44"/>
      <c r="G29" s="33" t="s">
        <v>3060</v>
      </c>
    </row>
    <row r="30" customFormat="false" ht="27.75" hidden="false" customHeight="true" outlineLevel="0" collapsed="false">
      <c r="A30" s="33" t="s">
        <v>3067</v>
      </c>
      <c r="B30" s="44" t="s">
        <v>3068</v>
      </c>
      <c r="C30" s="44"/>
      <c r="D30" s="44"/>
      <c r="E30" s="44"/>
      <c r="F30" s="44"/>
      <c r="G30" s="33" t="s">
        <v>3060</v>
      </c>
    </row>
    <row r="31" customFormat="false" ht="27.75" hidden="false" customHeight="true" outlineLevel="0" collapsed="false">
      <c r="A31" s="33" t="s">
        <v>3069</v>
      </c>
      <c r="B31" s="44" t="s">
        <v>3070</v>
      </c>
      <c r="C31" s="44"/>
      <c r="D31" s="44"/>
      <c r="E31" s="44"/>
      <c r="F31" s="44"/>
      <c r="G31" s="33" t="s">
        <v>3060</v>
      </c>
    </row>
    <row r="32" customFormat="false" ht="27.75" hidden="false" customHeight="true" outlineLevel="0" collapsed="false">
      <c r="A32" s="33" t="s">
        <v>3071</v>
      </c>
      <c r="B32" s="44" t="s">
        <v>3072</v>
      </c>
      <c r="C32" s="44"/>
      <c r="D32" s="44"/>
      <c r="E32" s="44"/>
      <c r="F32" s="44"/>
      <c r="G32" s="33" t="s">
        <v>3060</v>
      </c>
    </row>
    <row r="33" customFormat="false" ht="27.75" hidden="false" customHeight="true" outlineLevel="0" collapsed="false">
      <c r="A33" s="33" t="s">
        <v>3073</v>
      </c>
      <c r="B33" s="44" t="s">
        <v>3074</v>
      </c>
      <c r="C33" s="44"/>
      <c r="D33" s="44"/>
      <c r="E33" s="44"/>
      <c r="F33" s="44"/>
      <c r="G33" s="33" t="s">
        <v>3060</v>
      </c>
    </row>
    <row r="34" customFormat="false" ht="15" hidden="false" customHeight="true" outlineLevel="0" collapsed="false">
      <c r="A34" s="33"/>
      <c r="B34" s="33"/>
      <c r="G34" s="33"/>
    </row>
    <row r="35" customFormat="false" ht="15" hidden="false" customHeight="true" outlineLevel="0" collapsed="false">
      <c r="A35" s="33"/>
      <c r="B35" s="33"/>
      <c r="G35" s="33"/>
    </row>
    <row r="36" customFormat="false" ht="15" hidden="false" customHeight="true" outlineLevel="0" collapsed="false">
      <c r="A36" s="33"/>
      <c r="B36" s="33"/>
      <c r="G36" s="33"/>
    </row>
    <row r="37" customFormat="false" ht="15" hidden="false" customHeight="true" outlineLevel="0" collapsed="false">
      <c r="A37" s="33"/>
      <c r="B37" s="33"/>
      <c r="C37" s="33"/>
      <c r="D37" s="33"/>
      <c r="E37" s="33"/>
      <c r="F37" s="33"/>
      <c r="G37" s="33"/>
    </row>
    <row r="38" customFormat="false" ht="15" hidden="false" customHeight="true" outlineLevel="0" collapsed="false">
      <c r="A38" s="33"/>
      <c r="B38" s="33"/>
      <c r="C38" s="33"/>
      <c r="D38" s="33"/>
      <c r="E38" s="33"/>
      <c r="F38" s="33"/>
      <c r="G38" s="33"/>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24" hidden="false" customHeight="true" outlineLevel="0" collapsed="false">
      <c r="A1" s="42" t="s">
        <v>4135</v>
      </c>
      <c r="B1" s="42"/>
      <c r="C1" s="42"/>
      <c r="D1" s="42"/>
      <c r="E1" s="42"/>
      <c r="F1" s="42"/>
      <c r="G1" s="42"/>
    </row>
    <row r="2" customFormat="false" ht="30" hidden="false" customHeight="true" outlineLevel="0" collapsed="false">
      <c r="A2" s="43" t="s">
        <v>3512</v>
      </c>
      <c r="B2" s="43" t="s">
        <v>4025</v>
      </c>
      <c r="C2" s="43" t="s">
        <v>4136</v>
      </c>
      <c r="D2" s="43" t="s">
        <v>4027</v>
      </c>
      <c r="E2" s="43" t="s">
        <v>4028</v>
      </c>
      <c r="F2" s="43" t="s">
        <v>4029</v>
      </c>
      <c r="G2" s="43" t="s">
        <v>2</v>
      </c>
    </row>
    <row r="3" customFormat="false" ht="39.75" hidden="false" customHeight="true" outlineLevel="0" collapsed="false">
      <c r="A3" s="27" t="s">
        <v>4137</v>
      </c>
      <c r="B3" s="27" t="s">
        <v>4138</v>
      </c>
      <c r="C3" s="27" t="s">
        <v>4139</v>
      </c>
      <c r="D3" s="27" t="s">
        <v>4140</v>
      </c>
      <c r="E3" s="27" t="s">
        <v>4141</v>
      </c>
      <c r="F3" s="27" t="s">
        <v>4142</v>
      </c>
      <c r="G3" s="27" t="s">
        <v>3410</v>
      </c>
    </row>
    <row r="4" customFormat="false" ht="39.75" hidden="false" customHeight="true" outlineLevel="0" collapsed="false">
      <c r="A4" s="27" t="s">
        <v>4143</v>
      </c>
      <c r="B4" s="27" t="s">
        <v>4144</v>
      </c>
      <c r="C4" s="27" t="s">
        <v>4145</v>
      </c>
      <c r="D4" s="27" t="s">
        <v>4146</v>
      </c>
      <c r="E4" s="27" t="s">
        <v>4147</v>
      </c>
      <c r="F4" s="27" t="s">
        <v>4148</v>
      </c>
      <c r="G4" s="27" t="s">
        <v>4149</v>
      </c>
    </row>
    <row r="5" customFormat="false" ht="39.75" hidden="false" customHeight="true" outlineLevel="0" collapsed="false">
      <c r="A5" s="27" t="s">
        <v>4143</v>
      </c>
      <c r="B5" s="27" t="s">
        <v>4150</v>
      </c>
      <c r="C5" s="27" t="s">
        <v>4151</v>
      </c>
      <c r="D5" s="27" t="s">
        <v>4152</v>
      </c>
      <c r="E5" s="27" t="s">
        <v>4153</v>
      </c>
      <c r="F5" s="27" t="s">
        <v>4154</v>
      </c>
      <c r="G5" s="27" t="s">
        <v>4149</v>
      </c>
    </row>
    <row r="6" customFormat="false" ht="39.75" hidden="false" customHeight="true" outlineLevel="0" collapsed="false">
      <c r="A6" s="27" t="s">
        <v>4155</v>
      </c>
      <c r="B6" s="27" t="s">
        <v>4156</v>
      </c>
      <c r="C6" s="27" t="s">
        <v>4157</v>
      </c>
      <c r="D6" s="27" t="s">
        <v>4158</v>
      </c>
      <c r="E6" s="27" t="s">
        <v>4159</v>
      </c>
      <c r="F6" s="27" t="s">
        <v>4160</v>
      </c>
      <c r="G6" s="27" t="s">
        <v>4161</v>
      </c>
    </row>
    <row r="7" customFormat="false" ht="39.75" hidden="false" customHeight="true" outlineLevel="0" collapsed="false">
      <c r="A7" s="27" t="s">
        <v>4162</v>
      </c>
      <c r="B7" s="27" t="s">
        <v>4163</v>
      </c>
      <c r="C7" s="27" t="s">
        <v>4164</v>
      </c>
      <c r="D7" s="27" t="s">
        <v>4165</v>
      </c>
      <c r="E7" s="27" t="s">
        <v>4166</v>
      </c>
      <c r="F7" s="27" t="s">
        <v>3895</v>
      </c>
      <c r="G7" s="27" t="s">
        <v>3410</v>
      </c>
    </row>
    <row r="8" customFormat="false" ht="39.75" hidden="false" customHeight="true" outlineLevel="0" collapsed="false">
      <c r="A8" s="27" t="s">
        <v>4162</v>
      </c>
      <c r="B8" s="27" t="s">
        <v>4167</v>
      </c>
      <c r="C8" s="27" t="s">
        <v>4168</v>
      </c>
      <c r="D8" s="27" t="s">
        <v>4169</v>
      </c>
      <c r="E8" s="27" t="s">
        <v>4170</v>
      </c>
      <c r="F8" s="27" t="s">
        <v>3895</v>
      </c>
      <c r="G8" s="27" t="s">
        <v>3410</v>
      </c>
    </row>
    <row r="9" customFormat="false" ht="39.75" hidden="false" customHeight="true" outlineLevel="0" collapsed="false">
      <c r="A9" s="27" t="s">
        <v>4171</v>
      </c>
      <c r="B9" s="27" t="s">
        <v>4172</v>
      </c>
      <c r="C9" s="27" t="s">
        <v>4173</v>
      </c>
      <c r="D9" s="27" t="s">
        <v>4174</v>
      </c>
      <c r="E9" s="27" t="s">
        <v>4175</v>
      </c>
      <c r="F9" s="27" t="s">
        <v>4176</v>
      </c>
      <c r="G9" s="27" t="s">
        <v>4177</v>
      </c>
    </row>
    <row r="10" customFormat="false" ht="39.75" hidden="false" customHeight="true" outlineLevel="0" collapsed="false">
      <c r="A10" s="27" t="s">
        <v>4171</v>
      </c>
      <c r="B10" s="27" t="s">
        <v>4178</v>
      </c>
      <c r="C10" s="27" t="s">
        <v>4179</v>
      </c>
      <c r="D10" s="27" t="s">
        <v>4174</v>
      </c>
      <c r="E10" s="27" t="s">
        <v>4180</v>
      </c>
      <c r="F10" s="27" t="s">
        <v>4176</v>
      </c>
      <c r="G10" s="27" t="s">
        <v>3410</v>
      </c>
    </row>
    <row r="11" customFormat="false" ht="39.75" hidden="false" customHeight="true" outlineLevel="0" collapsed="false">
      <c r="A11" s="27" t="s">
        <v>4171</v>
      </c>
      <c r="B11" s="27" t="s">
        <v>4181</v>
      </c>
      <c r="C11" s="27" t="s">
        <v>4182</v>
      </c>
      <c r="D11" s="27" t="s">
        <v>4183</v>
      </c>
      <c r="E11" s="27" t="s">
        <v>4184</v>
      </c>
      <c r="F11" s="27" t="s">
        <v>4185</v>
      </c>
      <c r="G11" s="27" t="s">
        <v>4149</v>
      </c>
    </row>
    <row r="12" customFormat="false" ht="39.75" hidden="false" customHeight="true" outlineLevel="0" collapsed="false">
      <c r="A12" s="27" t="s">
        <v>4186</v>
      </c>
      <c r="B12" s="27" t="s">
        <v>4187</v>
      </c>
      <c r="C12" s="27" t="s">
        <v>4188</v>
      </c>
      <c r="D12" s="27" t="s">
        <v>4189</v>
      </c>
      <c r="E12" s="27" t="s">
        <v>4190</v>
      </c>
      <c r="F12" s="27" t="s">
        <v>4176</v>
      </c>
      <c r="G12" s="27" t="s">
        <v>3410</v>
      </c>
    </row>
    <row r="13" customFormat="false" ht="39.75" hidden="false" customHeight="true" outlineLevel="0" collapsed="false">
      <c r="A13" s="27" t="s">
        <v>4191</v>
      </c>
      <c r="B13" s="27" t="s">
        <v>4192</v>
      </c>
      <c r="C13" s="27" t="s">
        <v>4193</v>
      </c>
      <c r="D13" s="27" t="s">
        <v>4194</v>
      </c>
      <c r="E13" s="27" t="s">
        <v>4195</v>
      </c>
      <c r="F13" s="27" t="s">
        <v>4196</v>
      </c>
      <c r="G13" s="27" t="s">
        <v>3410</v>
      </c>
    </row>
    <row r="14" customFormat="false" ht="39.75" hidden="false" customHeight="true" outlineLevel="0" collapsed="false">
      <c r="A14" s="27" t="s">
        <v>4191</v>
      </c>
      <c r="B14" s="27" t="s">
        <v>4197</v>
      </c>
      <c r="C14" s="27" t="s">
        <v>4198</v>
      </c>
      <c r="D14" s="27" t="s">
        <v>4199</v>
      </c>
      <c r="E14" s="27" t="s">
        <v>4200</v>
      </c>
      <c r="F14" s="27" t="s">
        <v>4201</v>
      </c>
      <c r="G14" s="27" t="s">
        <v>3410</v>
      </c>
    </row>
    <row r="15" customFormat="false" ht="39.75" hidden="false" customHeight="true" outlineLevel="0" collapsed="false">
      <c r="A15" s="27" t="s">
        <v>4202</v>
      </c>
      <c r="B15" s="27" t="s">
        <v>4203</v>
      </c>
      <c r="C15" s="27" t="s">
        <v>4204</v>
      </c>
      <c r="D15" s="27" t="s">
        <v>4205</v>
      </c>
      <c r="E15" s="27" t="s">
        <v>4206</v>
      </c>
      <c r="F15" s="27" t="s">
        <v>4201</v>
      </c>
      <c r="G15" s="27" t="s">
        <v>3410</v>
      </c>
    </row>
    <row r="16" customFormat="false" ht="39.75" hidden="false" customHeight="true" outlineLevel="0" collapsed="false">
      <c r="A16" s="27" t="s">
        <v>4207</v>
      </c>
      <c r="B16" s="27" t="s">
        <v>4208</v>
      </c>
      <c r="C16" s="27" t="s">
        <v>4209</v>
      </c>
      <c r="D16" s="27" t="s">
        <v>4210</v>
      </c>
      <c r="E16" s="27" t="s">
        <v>4211</v>
      </c>
      <c r="F16" s="27" t="s">
        <v>4212</v>
      </c>
      <c r="G16" s="27" t="s">
        <v>3410</v>
      </c>
    </row>
    <row r="17" customFormat="false" ht="39.75" hidden="false" customHeight="true" outlineLevel="0" collapsed="false">
      <c r="A17" s="27" t="s">
        <v>4207</v>
      </c>
      <c r="B17" s="27" t="s">
        <v>4213</v>
      </c>
      <c r="C17" s="27" t="s">
        <v>4214</v>
      </c>
      <c r="D17" s="27" t="s">
        <v>4215</v>
      </c>
      <c r="E17" s="27" t="s">
        <v>4216</v>
      </c>
      <c r="F17" s="27" t="s">
        <v>4217</v>
      </c>
      <c r="G17" s="27" t="s">
        <v>4161</v>
      </c>
    </row>
    <row r="18" customFormat="false" ht="39.75" hidden="false" customHeight="true" outlineLevel="0" collapsed="false">
      <c r="A18" s="27" t="s">
        <v>1263</v>
      </c>
      <c r="B18" s="27" t="s">
        <v>4218</v>
      </c>
      <c r="C18" s="27" t="s">
        <v>4219</v>
      </c>
      <c r="D18" s="27" t="s">
        <v>4220</v>
      </c>
      <c r="E18" s="27" t="s">
        <v>4221</v>
      </c>
      <c r="F18" s="27" t="s">
        <v>4201</v>
      </c>
      <c r="G18" s="27" t="s">
        <v>3410</v>
      </c>
    </row>
    <row r="19" customFormat="false" ht="39.75" hidden="false" customHeight="true" outlineLevel="0" collapsed="false">
      <c r="A19" s="27" t="s">
        <v>1263</v>
      </c>
      <c r="B19" s="27" t="s">
        <v>4222</v>
      </c>
      <c r="C19" s="27" t="s">
        <v>4223</v>
      </c>
      <c r="D19" s="27" t="s">
        <v>4220</v>
      </c>
      <c r="E19" s="27" t="s">
        <v>4224</v>
      </c>
      <c r="F19" s="27" t="s">
        <v>4201</v>
      </c>
      <c r="G19" s="27" t="s">
        <v>3410</v>
      </c>
    </row>
    <row r="20" customFormat="false" ht="39.75" hidden="false" customHeight="true" outlineLevel="0" collapsed="false">
      <c r="A20" s="27" t="s">
        <v>512</v>
      </c>
      <c r="B20" s="27" t="s">
        <v>4225</v>
      </c>
      <c r="C20" s="27" t="s">
        <v>4226</v>
      </c>
      <c r="D20" s="27" t="s">
        <v>4227</v>
      </c>
      <c r="E20" s="27" t="s">
        <v>4228</v>
      </c>
      <c r="F20" s="27" t="s">
        <v>4201</v>
      </c>
      <c r="G20" s="27" t="s">
        <v>3410</v>
      </c>
    </row>
    <row r="21" customFormat="false" ht="39.75" hidden="false" customHeight="true" outlineLevel="0" collapsed="false">
      <c r="A21" s="27" t="s">
        <v>4229</v>
      </c>
      <c r="B21" s="27" t="s">
        <v>4230</v>
      </c>
      <c r="C21" s="27" t="s">
        <v>4231</v>
      </c>
      <c r="D21" s="27" t="s">
        <v>4232</v>
      </c>
      <c r="E21" s="27" t="s">
        <v>4233</v>
      </c>
      <c r="F21" s="27" t="s">
        <v>4201</v>
      </c>
      <c r="G21" s="27" t="s">
        <v>3410</v>
      </c>
    </row>
    <row r="22" customFormat="false" ht="39.75" hidden="false" customHeight="true" outlineLevel="0" collapsed="false">
      <c r="A22" s="27" t="s">
        <v>1571</v>
      </c>
      <c r="B22" s="27" t="s">
        <v>4234</v>
      </c>
      <c r="C22" s="27" t="s">
        <v>4235</v>
      </c>
      <c r="D22" s="27" t="s">
        <v>4236</v>
      </c>
      <c r="E22" s="27" t="s">
        <v>4237</v>
      </c>
      <c r="F22" s="27" t="s">
        <v>4201</v>
      </c>
      <c r="G22" s="27" t="s">
        <v>3410</v>
      </c>
    </row>
    <row r="23" customFormat="false" ht="39.75" hidden="false" customHeight="true" outlineLevel="0" collapsed="false">
      <c r="A23" s="27" t="s">
        <v>193</v>
      </c>
      <c r="B23" s="27" t="s">
        <v>4238</v>
      </c>
      <c r="C23" s="27" t="s">
        <v>4239</v>
      </c>
      <c r="D23" s="27" t="s">
        <v>4240</v>
      </c>
      <c r="E23" s="27" t="s">
        <v>4241</v>
      </c>
      <c r="F23" s="27" t="s">
        <v>4201</v>
      </c>
      <c r="G23" s="27" t="s">
        <v>3410</v>
      </c>
    </row>
    <row r="24" customFormat="false" ht="39.75" hidden="false" customHeight="true" outlineLevel="0" collapsed="false">
      <c r="A24" s="27" t="s">
        <v>193</v>
      </c>
      <c r="B24" s="27" t="s">
        <v>4242</v>
      </c>
      <c r="C24" s="27" t="s">
        <v>4243</v>
      </c>
      <c r="D24" s="27" t="s">
        <v>4244</v>
      </c>
      <c r="E24" s="27" t="s">
        <v>4245</v>
      </c>
      <c r="F24" s="27" t="s">
        <v>4201</v>
      </c>
      <c r="G24" s="27" t="s">
        <v>3410</v>
      </c>
    </row>
    <row r="25" customFormat="false" ht="39.75" hidden="false" customHeight="true" outlineLevel="0" collapsed="false">
      <c r="A25" s="27" t="s">
        <v>274</v>
      </c>
      <c r="B25" s="27" t="s">
        <v>4246</v>
      </c>
      <c r="C25" s="27" t="s">
        <v>4247</v>
      </c>
      <c r="D25" s="27" t="s">
        <v>4248</v>
      </c>
      <c r="E25" s="27" t="s">
        <v>4249</v>
      </c>
      <c r="F25" s="27" t="s">
        <v>4201</v>
      </c>
      <c r="G25" s="27" t="s">
        <v>3410</v>
      </c>
    </row>
    <row r="26" customFormat="false" ht="39.75" hidden="false" customHeight="true" outlineLevel="0" collapsed="false">
      <c r="A26" s="27" t="s">
        <v>274</v>
      </c>
      <c r="B26" s="27" t="s">
        <v>4250</v>
      </c>
      <c r="C26" s="27" t="s">
        <v>4251</v>
      </c>
      <c r="D26" s="27" t="s">
        <v>4248</v>
      </c>
      <c r="E26" s="27" t="s">
        <v>4252</v>
      </c>
      <c r="F26" s="27" t="s">
        <v>4201</v>
      </c>
      <c r="G26" s="27" t="s">
        <v>3410</v>
      </c>
    </row>
    <row r="27" customFormat="false" ht="39.75" hidden="false" customHeight="true" outlineLevel="0" collapsed="false">
      <c r="A27" s="27" t="s">
        <v>274</v>
      </c>
      <c r="B27" s="27" t="s">
        <v>4253</v>
      </c>
      <c r="C27" s="27" t="s">
        <v>4254</v>
      </c>
      <c r="D27" s="27" t="s">
        <v>4255</v>
      </c>
      <c r="E27" s="27" t="s">
        <v>4256</v>
      </c>
      <c r="F27" s="27" t="s">
        <v>4201</v>
      </c>
      <c r="G27" s="27" t="s">
        <v>3410</v>
      </c>
    </row>
    <row r="28" customFormat="false" ht="39.75" hidden="false" customHeight="true" outlineLevel="0" collapsed="false">
      <c r="A28" s="27" t="s">
        <v>1757</v>
      </c>
      <c r="B28" s="27" t="s">
        <v>4257</v>
      </c>
      <c r="C28" s="27" t="s">
        <v>4258</v>
      </c>
      <c r="D28" s="27" t="s">
        <v>4248</v>
      </c>
      <c r="E28" s="27" t="s">
        <v>4259</v>
      </c>
      <c r="F28" s="27" t="s">
        <v>4201</v>
      </c>
      <c r="G28" s="27" t="s">
        <v>3410</v>
      </c>
    </row>
    <row r="29" customFormat="false" ht="39.75" hidden="false" customHeight="true" outlineLevel="0" collapsed="false">
      <c r="A29" s="27" t="s">
        <v>1757</v>
      </c>
      <c r="B29" s="27" t="s">
        <v>3787</v>
      </c>
      <c r="C29" s="27" t="s">
        <v>4260</v>
      </c>
      <c r="D29" s="27" t="s">
        <v>4248</v>
      </c>
      <c r="E29" s="27" t="s">
        <v>4261</v>
      </c>
      <c r="F29" s="27" t="s">
        <v>4201</v>
      </c>
      <c r="G29" s="27" t="s">
        <v>3410</v>
      </c>
    </row>
    <row r="30" customFormat="false" ht="39.75" hidden="false" customHeight="true" outlineLevel="0" collapsed="false">
      <c r="A30" s="27" t="s">
        <v>4262</v>
      </c>
      <c r="B30" s="27" t="s">
        <v>4263</v>
      </c>
      <c r="C30" s="27" t="s">
        <v>4264</v>
      </c>
      <c r="D30" s="27" t="s">
        <v>4248</v>
      </c>
      <c r="E30" s="27" t="s">
        <v>4265</v>
      </c>
      <c r="F30" s="27" t="s">
        <v>4201</v>
      </c>
      <c r="G30" s="27" t="s">
        <v>3410</v>
      </c>
    </row>
    <row r="31" customFormat="false" ht="39.75" hidden="false" customHeight="true" outlineLevel="0" collapsed="false">
      <c r="A31" s="27" t="s">
        <v>4266</v>
      </c>
      <c r="B31" s="27" t="s">
        <v>4267</v>
      </c>
      <c r="C31" s="27" t="s">
        <v>4268</v>
      </c>
      <c r="D31" s="27" t="s">
        <v>4269</v>
      </c>
      <c r="E31" s="27" t="s">
        <v>4270</v>
      </c>
      <c r="F31" s="27" t="s">
        <v>4201</v>
      </c>
      <c r="G31" s="27" t="s">
        <v>3410</v>
      </c>
    </row>
    <row r="32" customFormat="false" ht="39.75" hidden="false" customHeight="true" outlineLevel="0" collapsed="false">
      <c r="A32" s="27" t="s">
        <v>4266</v>
      </c>
      <c r="B32" s="27" t="s">
        <v>4271</v>
      </c>
      <c r="C32" s="27" t="s">
        <v>4272</v>
      </c>
      <c r="D32" s="27" t="s">
        <v>4273</v>
      </c>
      <c r="E32" s="27" t="s">
        <v>4274</v>
      </c>
      <c r="F32" s="27" t="s">
        <v>4201</v>
      </c>
      <c r="G32" s="27" t="s">
        <v>3410</v>
      </c>
    </row>
    <row r="33" customFormat="false" ht="39.75" hidden="false" customHeight="true" outlineLevel="0" collapsed="false">
      <c r="A33" s="27" t="s">
        <v>4275</v>
      </c>
      <c r="B33" s="27" t="s">
        <v>4276</v>
      </c>
      <c r="C33" s="27" t="s">
        <v>4277</v>
      </c>
      <c r="D33" s="27" t="s">
        <v>4278</v>
      </c>
      <c r="E33" s="27" t="s">
        <v>4279</v>
      </c>
      <c r="F33" s="27" t="s">
        <v>4201</v>
      </c>
      <c r="G33" s="27" t="s">
        <v>3410</v>
      </c>
    </row>
    <row r="34" customFormat="false" ht="39.75" hidden="false" customHeight="true" outlineLevel="0" collapsed="false">
      <c r="A34" s="27" t="s">
        <v>4280</v>
      </c>
      <c r="B34" s="27" t="s">
        <v>4281</v>
      </c>
      <c r="C34" s="27" t="s">
        <v>4282</v>
      </c>
      <c r="D34" s="27" t="s">
        <v>4283</v>
      </c>
      <c r="E34" s="27" t="s">
        <v>4284</v>
      </c>
      <c r="F34" s="27" t="s">
        <v>4201</v>
      </c>
      <c r="G34" s="27" t="s">
        <v>3410</v>
      </c>
    </row>
    <row r="35" customFormat="false" ht="39.75" hidden="false" customHeight="true" outlineLevel="0" collapsed="false">
      <c r="A35" s="27" t="s">
        <v>4285</v>
      </c>
      <c r="B35" s="27" t="s">
        <v>4286</v>
      </c>
      <c r="C35" s="27" t="s">
        <v>4287</v>
      </c>
      <c r="D35" s="27" t="s">
        <v>4288</v>
      </c>
      <c r="E35" s="27" t="s">
        <v>4289</v>
      </c>
      <c r="F35" s="27" t="s">
        <v>4201</v>
      </c>
      <c r="G35" s="27" t="s">
        <v>3410</v>
      </c>
    </row>
    <row r="36" customFormat="false" ht="39.75" hidden="false" customHeight="true" outlineLevel="0" collapsed="false">
      <c r="A36" s="27" t="s">
        <v>3765</v>
      </c>
      <c r="B36" s="27" t="s">
        <v>4290</v>
      </c>
      <c r="C36" s="27" t="s">
        <v>4291</v>
      </c>
      <c r="D36" s="27" t="s">
        <v>4292</v>
      </c>
      <c r="E36" s="27" t="s">
        <v>4293</v>
      </c>
      <c r="F36" s="27" t="s">
        <v>4201</v>
      </c>
      <c r="G36" s="27" t="s">
        <v>3410</v>
      </c>
    </row>
    <row r="37" customFormat="false" ht="39.75" hidden="false" customHeight="true" outlineLevel="0" collapsed="false">
      <c r="A37" s="27" t="s">
        <v>3765</v>
      </c>
      <c r="B37" s="27" t="s">
        <v>4294</v>
      </c>
      <c r="C37" s="27" t="s">
        <v>4295</v>
      </c>
      <c r="D37" s="27" t="s">
        <v>4296</v>
      </c>
      <c r="E37" s="27" t="s">
        <v>4297</v>
      </c>
      <c r="F37" s="27" t="s">
        <v>4201</v>
      </c>
      <c r="G37" s="27" t="s">
        <v>3410</v>
      </c>
    </row>
    <row r="38" customFormat="false" ht="39.75" hidden="false" customHeight="true" outlineLevel="0" collapsed="false">
      <c r="A38" s="27" t="s">
        <v>3541</v>
      </c>
      <c r="B38" s="27" t="s">
        <v>4298</v>
      </c>
      <c r="C38" s="27" t="s">
        <v>4299</v>
      </c>
      <c r="D38" s="27" t="s">
        <v>4300</v>
      </c>
      <c r="E38" s="27" t="s">
        <v>4301</v>
      </c>
      <c r="F38" s="27" t="s">
        <v>4302</v>
      </c>
      <c r="G38" s="27" t="s">
        <v>3410</v>
      </c>
    </row>
    <row r="39" customFormat="false" ht="39.75" hidden="false" customHeight="true" outlineLevel="0" collapsed="false">
      <c r="A39" s="27" t="s">
        <v>3954</v>
      </c>
      <c r="B39" s="27" t="s">
        <v>4303</v>
      </c>
      <c r="C39" s="27" t="s">
        <v>4304</v>
      </c>
      <c r="D39" s="27" t="s">
        <v>4305</v>
      </c>
      <c r="E39" s="27" t="s">
        <v>4306</v>
      </c>
      <c r="F39" s="27" t="s">
        <v>4307</v>
      </c>
      <c r="G39" s="27" t="s">
        <v>3410</v>
      </c>
    </row>
    <row r="40" customFormat="false" ht="39.75" hidden="false" customHeight="true" outlineLevel="0" collapsed="false">
      <c r="A40" s="27" t="s">
        <v>3803</v>
      </c>
      <c r="B40" s="27" t="s">
        <v>4308</v>
      </c>
      <c r="C40" s="27" t="s">
        <v>4309</v>
      </c>
      <c r="D40" s="27" t="s">
        <v>4310</v>
      </c>
      <c r="E40" s="27" t="s">
        <v>4311</v>
      </c>
      <c r="F40" s="27" t="s">
        <v>4312</v>
      </c>
      <c r="G40" s="27" t="s">
        <v>4313</v>
      </c>
    </row>
    <row r="41" customFormat="false" ht="39.75" hidden="false" customHeight="true" outlineLevel="0" collapsed="false">
      <c r="A41" s="27" t="s">
        <v>4162</v>
      </c>
      <c r="B41" s="27" t="s">
        <v>4314</v>
      </c>
      <c r="C41" s="27" t="s">
        <v>4315</v>
      </c>
      <c r="D41" s="27" t="s">
        <v>4316</v>
      </c>
      <c r="E41" s="27" t="s">
        <v>4317</v>
      </c>
      <c r="F41" s="27" t="s">
        <v>4318</v>
      </c>
      <c r="G41" s="27" t="s">
        <v>4319</v>
      </c>
    </row>
    <row r="42" customFormat="false" ht="39.75" hidden="false" customHeight="true" outlineLevel="0" collapsed="false">
      <c r="A42" s="27" t="s">
        <v>3514</v>
      </c>
      <c r="B42" s="27" t="s">
        <v>4320</v>
      </c>
      <c r="C42" s="27" t="s">
        <v>4321</v>
      </c>
      <c r="D42" s="27" t="s">
        <v>4322</v>
      </c>
      <c r="E42" s="27" t="s">
        <v>4323</v>
      </c>
      <c r="F42" s="27" t="s">
        <v>4324</v>
      </c>
      <c r="G42" s="27" t="s">
        <v>4177</v>
      </c>
    </row>
    <row r="43" customFormat="false" ht="24" hidden="false" customHeight="true" outlineLevel="0" collapsed="false">
      <c r="A43" s="42" t="s">
        <v>3544</v>
      </c>
      <c r="B43" s="42"/>
      <c r="C43" s="42"/>
      <c r="D43" s="42"/>
      <c r="E43" s="42"/>
      <c r="F43" s="42"/>
      <c r="G43" s="42"/>
    </row>
    <row r="44" customFormat="false" ht="66" hidden="false" customHeight="true" outlineLevel="0" collapsed="false">
      <c r="A44" s="27" t="s">
        <v>3075</v>
      </c>
      <c r="B44" s="41" t="s">
        <v>3076</v>
      </c>
      <c r="C44" s="41"/>
      <c r="D44" s="41"/>
      <c r="E44" s="41"/>
      <c r="F44" s="41"/>
      <c r="G44" s="27" t="s">
        <v>3077</v>
      </c>
    </row>
    <row r="45" customFormat="false" ht="69.75" hidden="false" customHeight="true" outlineLevel="0" collapsed="false">
      <c r="A45" s="27" t="s">
        <v>3078</v>
      </c>
      <c r="B45" s="41" t="s">
        <v>3079</v>
      </c>
      <c r="C45" s="41"/>
      <c r="D45" s="41"/>
      <c r="E45" s="41"/>
      <c r="F45" s="41"/>
      <c r="G45" s="27" t="s">
        <v>3077</v>
      </c>
    </row>
    <row r="46" customFormat="false" ht="51" hidden="false" customHeight="true" outlineLevel="0" collapsed="false">
      <c r="A46" s="27" t="s">
        <v>3080</v>
      </c>
      <c r="B46" s="41" t="s">
        <v>3081</v>
      </c>
      <c r="C46" s="41"/>
      <c r="D46" s="41"/>
      <c r="E46" s="41"/>
      <c r="F46" s="41"/>
      <c r="G46" s="27" t="s">
        <v>3082</v>
      </c>
    </row>
    <row r="47" customFormat="false" ht="57.75" hidden="false" customHeight="true" outlineLevel="0" collapsed="false">
      <c r="A47" s="27" t="s">
        <v>3083</v>
      </c>
      <c r="B47" s="41" t="s">
        <v>3084</v>
      </c>
      <c r="C47" s="41"/>
      <c r="D47" s="41"/>
      <c r="E47" s="41"/>
      <c r="F47" s="41"/>
      <c r="G47" s="27" t="s">
        <v>3085</v>
      </c>
    </row>
    <row r="48" customFormat="false" ht="63" hidden="false" customHeight="true" outlineLevel="0" collapsed="false">
      <c r="A48" s="27" t="s">
        <v>3086</v>
      </c>
      <c r="B48" s="41" t="s">
        <v>3087</v>
      </c>
      <c r="C48" s="41"/>
      <c r="D48" s="41"/>
      <c r="E48" s="41"/>
      <c r="F48" s="41"/>
      <c r="G48" s="27" t="s">
        <v>3088</v>
      </c>
    </row>
    <row r="49" customFormat="false" ht="76.5" hidden="false" customHeight="true" outlineLevel="0" collapsed="false">
      <c r="A49" s="27" t="s">
        <v>3089</v>
      </c>
      <c r="B49" s="41" t="s">
        <v>3090</v>
      </c>
      <c r="C49" s="41"/>
      <c r="D49" s="41"/>
      <c r="E49" s="41"/>
      <c r="F49" s="41"/>
      <c r="G49" s="27" t="s">
        <v>3082</v>
      </c>
    </row>
    <row r="50" customFormat="false" ht="65.25" hidden="false" customHeight="true" outlineLevel="0" collapsed="false">
      <c r="A50" s="27" t="s">
        <v>3091</v>
      </c>
      <c r="B50" s="41" t="s">
        <v>3092</v>
      </c>
      <c r="C50" s="41"/>
      <c r="D50" s="41"/>
      <c r="E50" s="41"/>
      <c r="F50" s="41"/>
      <c r="G50" s="27" t="s">
        <v>3077</v>
      </c>
    </row>
    <row r="51" customFormat="false" ht="61.5" hidden="false" customHeight="true" outlineLevel="0" collapsed="false">
      <c r="A51" s="27" t="s">
        <v>3093</v>
      </c>
      <c r="B51" s="41" t="s">
        <v>3094</v>
      </c>
      <c r="C51" s="41"/>
      <c r="D51" s="41"/>
      <c r="E51" s="41"/>
      <c r="F51" s="41"/>
      <c r="G51" s="27" t="s">
        <v>3077</v>
      </c>
    </row>
    <row r="52" customFormat="false" ht="64.5" hidden="false" customHeight="true" outlineLevel="0" collapsed="false">
      <c r="A52" s="27" t="s">
        <v>3095</v>
      </c>
      <c r="B52" s="41" t="s">
        <v>3096</v>
      </c>
      <c r="C52" s="41"/>
      <c r="D52" s="41"/>
      <c r="E52" s="41"/>
      <c r="F52" s="41"/>
      <c r="G52" s="27" t="s">
        <v>3077</v>
      </c>
    </row>
    <row r="53" customFormat="false" ht="74.25" hidden="false" customHeight="true" outlineLevel="0" collapsed="false">
      <c r="A53" s="27" t="s">
        <v>3097</v>
      </c>
      <c r="B53" s="41" t="s">
        <v>3098</v>
      </c>
      <c r="C53" s="41"/>
      <c r="D53" s="41"/>
      <c r="E53" s="41"/>
      <c r="F53" s="41"/>
      <c r="G53" s="27" t="s">
        <v>3077</v>
      </c>
    </row>
    <row r="54" customFormat="false" ht="78" hidden="false" customHeight="true" outlineLevel="0" collapsed="false">
      <c r="A54" s="27" t="s">
        <v>3099</v>
      </c>
      <c r="B54" s="41" t="s">
        <v>3100</v>
      </c>
      <c r="C54" s="41"/>
      <c r="D54" s="41"/>
      <c r="E54" s="41"/>
      <c r="F54" s="41"/>
      <c r="G54" s="27" t="s">
        <v>3101</v>
      </c>
    </row>
    <row r="55" customFormat="false" ht="67.5" hidden="false" customHeight="true" outlineLevel="0" collapsed="false">
      <c r="A55" s="27" t="s">
        <v>3102</v>
      </c>
      <c r="B55" s="41" t="s">
        <v>3103</v>
      </c>
      <c r="C55" s="41"/>
      <c r="D55" s="41"/>
      <c r="E55" s="41"/>
      <c r="F55" s="41"/>
      <c r="G55" s="27" t="s">
        <v>3104</v>
      </c>
    </row>
    <row r="56" customFormat="false" ht="63.75" hidden="false" customHeight="true" outlineLevel="0" collapsed="false">
      <c r="A56" s="27" t="s">
        <v>3105</v>
      </c>
      <c r="B56" s="41" t="s">
        <v>3106</v>
      </c>
      <c r="C56" s="41"/>
      <c r="D56" s="41"/>
      <c r="E56" s="41"/>
      <c r="F56" s="41"/>
      <c r="G56" s="27" t="s">
        <v>3082</v>
      </c>
    </row>
    <row r="57" customFormat="false" ht="75.75" hidden="false" customHeight="true" outlineLevel="0" collapsed="false">
      <c r="A57" s="27" t="s">
        <v>3107</v>
      </c>
      <c r="B57" s="41" t="s">
        <v>3108</v>
      </c>
      <c r="C57" s="41"/>
      <c r="D57" s="41"/>
      <c r="E57" s="41"/>
      <c r="F57" s="41"/>
      <c r="G57" s="27" t="s">
        <v>3109</v>
      </c>
    </row>
    <row r="58" customFormat="false" ht="63" hidden="false" customHeight="true" outlineLevel="0" collapsed="false">
      <c r="A58" s="27" t="s">
        <v>3110</v>
      </c>
      <c r="B58" s="41" t="s">
        <v>3111</v>
      </c>
      <c r="C58" s="41"/>
      <c r="D58" s="41"/>
      <c r="E58" s="41"/>
      <c r="F58" s="41"/>
      <c r="G58" s="27" t="s">
        <v>3077</v>
      </c>
    </row>
    <row r="59" customFormat="false" ht="70.5" hidden="false" customHeight="true" outlineLevel="0" collapsed="false">
      <c r="A59" s="27" t="s">
        <v>3112</v>
      </c>
      <c r="B59" s="41" t="s">
        <v>3113</v>
      </c>
      <c r="C59" s="41"/>
      <c r="D59" s="41"/>
      <c r="E59" s="41"/>
      <c r="F59" s="41"/>
      <c r="G59" s="27" t="s">
        <v>3077</v>
      </c>
    </row>
    <row r="60" customFormat="false" ht="76.5" hidden="false" customHeight="true" outlineLevel="0" collapsed="false">
      <c r="A60" s="27" t="s">
        <v>3114</v>
      </c>
      <c r="B60" s="41" t="s">
        <v>3115</v>
      </c>
      <c r="C60" s="41"/>
      <c r="D60" s="41"/>
      <c r="E60" s="41"/>
      <c r="F60" s="41"/>
      <c r="G60" s="27" t="s">
        <v>3077</v>
      </c>
    </row>
    <row r="61" customFormat="false" ht="67.5" hidden="false" customHeight="true" outlineLevel="0" collapsed="false">
      <c r="A61" s="27" t="s">
        <v>3116</v>
      </c>
      <c r="B61" s="41" t="s">
        <v>3117</v>
      </c>
      <c r="C61" s="41"/>
      <c r="D61" s="41"/>
      <c r="E61" s="41"/>
      <c r="F61" s="41"/>
      <c r="G61" s="27" t="s">
        <v>3077</v>
      </c>
    </row>
    <row r="62" customFormat="false" ht="62.25" hidden="false" customHeight="true" outlineLevel="0" collapsed="false">
      <c r="A62" s="27" t="s">
        <v>3118</v>
      </c>
      <c r="B62" s="41" t="s">
        <v>3119</v>
      </c>
      <c r="C62" s="41"/>
      <c r="D62" s="41"/>
      <c r="E62" s="41"/>
      <c r="F62" s="41"/>
      <c r="G62" s="27" t="s">
        <v>3120</v>
      </c>
    </row>
    <row r="63" customFormat="false" ht="78" hidden="false" customHeight="true" outlineLevel="0" collapsed="false">
      <c r="A63" s="27" t="s">
        <v>3121</v>
      </c>
      <c r="B63" s="41" t="s">
        <v>3122</v>
      </c>
      <c r="C63" s="41"/>
      <c r="D63" s="41"/>
      <c r="E63" s="41"/>
      <c r="F63" s="41"/>
      <c r="G63" s="27" t="s">
        <v>3077</v>
      </c>
    </row>
    <row r="64" customFormat="false" ht="70.5" hidden="false" customHeight="true" outlineLevel="0" collapsed="false">
      <c r="A64" s="27" t="s">
        <v>3123</v>
      </c>
      <c r="B64" s="41" t="s">
        <v>3124</v>
      </c>
      <c r="C64" s="41"/>
      <c r="D64" s="41"/>
      <c r="E64" s="41"/>
      <c r="F64" s="41"/>
      <c r="G64" s="27" t="s">
        <v>3077</v>
      </c>
    </row>
    <row r="65" customFormat="false" ht="68.25" hidden="false" customHeight="true" outlineLevel="0" collapsed="false">
      <c r="A65" s="27" t="s">
        <v>3125</v>
      </c>
      <c r="B65" s="41" t="s">
        <v>3126</v>
      </c>
      <c r="C65" s="41"/>
      <c r="D65" s="41"/>
      <c r="E65" s="41"/>
      <c r="F65" s="41"/>
      <c r="G65" s="27" t="s">
        <v>3077</v>
      </c>
    </row>
    <row r="66" customFormat="false" ht="61.5" hidden="false" customHeight="true" outlineLevel="0" collapsed="false">
      <c r="A66" s="27" t="s">
        <v>3127</v>
      </c>
      <c r="B66" s="41" t="s">
        <v>3128</v>
      </c>
      <c r="C66" s="41"/>
      <c r="D66" s="41"/>
      <c r="E66" s="41"/>
      <c r="F66" s="41"/>
      <c r="G66" s="27" t="s">
        <v>3129</v>
      </c>
    </row>
    <row r="67" customFormat="false" ht="65.25" hidden="false" customHeight="true" outlineLevel="0" collapsed="false">
      <c r="A67" s="27" t="s">
        <v>3130</v>
      </c>
      <c r="B67" s="41" t="s">
        <v>3131</v>
      </c>
      <c r="C67" s="41"/>
      <c r="D67" s="41"/>
      <c r="E67" s="41"/>
      <c r="F67" s="41"/>
      <c r="G67" s="27" t="s">
        <v>3077</v>
      </c>
    </row>
    <row r="68" customFormat="false" ht="66" hidden="false" customHeight="true" outlineLevel="0" collapsed="false">
      <c r="A68" s="27" t="s">
        <v>3132</v>
      </c>
      <c r="B68" s="41" t="s">
        <v>3133</v>
      </c>
      <c r="C68" s="41"/>
      <c r="D68" s="41"/>
      <c r="E68" s="41"/>
      <c r="F68" s="41"/>
      <c r="G68" s="27" t="s">
        <v>3077</v>
      </c>
    </row>
    <row r="69" customFormat="false" ht="72" hidden="false" customHeight="true" outlineLevel="0" collapsed="false">
      <c r="A69" s="27" t="s">
        <v>3134</v>
      </c>
      <c r="B69" s="41" t="s">
        <v>3135</v>
      </c>
      <c r="C69" s="41"/>
      <c r="D69" s="41"/>
      <c r="E69" s="41"/>
      <c r="F69" s="41"/>
      <c r="G69" s="27" t="s">
        <v>3077</v>
      </c>
    </row>
    <row r="70" customFormat="false" ht="78" hidden="false" customHeight="true" outlineLevel="0" collapsed="false">
      <c r="A70" s="27" t="s">
        <v>3136</v>
      </c>
      <c r="B70" s="41" t="s">
        <v>3137</v>
      </c>
      <c r="C70" s="41"/>
      <c r="D70" s="41"/>
      <c r="E70" s="41"/>
      <c r="F70" s="41"/>
      <c r="G70" s="27" t="s">
        <v>3077</v>
      </c>
    </row>
    <row r="71" customFormat="false" ht="60" hidden="false" customHeight="true" outlineLevel="0" collapsed="false">
      <c r="A71" s="27" t="s">
        <v>3138</v>
      </c>
      <c r="B71" s="41" t="s">
        <v>3139</v>
      </c>
      <c r="C71" s="41"/>
      <c r="D71" s="41"/>
      <c r="E71" s="41"/>
      <c r="F71" s="41"/>
      <c r="G71" s="27" t="s">
        <v>3077</v>
      </c>
    </row>
    <row r="72" customFormat="false" ht="73.5" hidden="false" customHeight="true" outlineLevel="0" collapsed="false">
      <c r="A72" s="27" t="s">
        <v>3140</v>
      </c>
      <c r="B72" s="41" t="s">
        <v>3141</v>
      </c>
      <c r="C72" s="41"/>
      <c r="D72" s="41"/>
      <c r="E72" s="41"/>
      <c r="F72" s="41"/>
      <c r="G72" s="27" t="s">
        <v>3077</v>
      </c>
    </row>
    <row r="73" customFormat="false" ht="71.25" hidden="false" customHeight="true" outlineLevel="0" collapsed="false">
      <c r="A73" s="27" t="s">
        <v>3142</v>
      </c>
      <c r="B73" s="41" t="s">
        <v>3143</v>
      </c>
      <c r="C73" s="41"/>
      <c r="D73" s="41"/>
      <c r="E73" s="41"/>
      <c r="F73" s="41"/>
      <c r="G73" s="27" t="s">
        <v>3144</v>
      </c>
    </row>
    <row r="74" customFormat="false" ht="68.25" hidden="false" customHeight="true" outlineLevel="0" collapsed="false">
      <c r="A74" s="27" t="s">
        <v>3145</v>
      </c>
      <c r="B74" s="41" t="s">
        <v>3146</v>
      </c>
      <c r="C74" s="41"/>
      <c r="D74" s="41"/>
      <c r="E74" s="41"/>
      <c r="F74" s="41"/>
      <c r="G74" s="27" t="s">
        <v>3077</v>
      </c>
    </row>
    <row r="75" customFormat="false" ht="62.25" hidden="false" customHeight="true" outlineLevel="0" collapsed="false">
      <c r="A75" s="27" t="s">
        <v>3147</v>
      </c>
      <c r="B75" s="41" t="s">
        <v>3148</v>
      </c>
      <c r="C75" s="41"/>
      <c r="D75" s="41"/>
      <c r="E75" s="41"/>
      <c r="F75" s="41"/>
      <c r="G75" s="27" t="s">
        <v>3077</v>
      </c>
    </row>
    <row r="76" customFormat="false" ht="63" hidden="false" customHeight="true" outlineLevel="0" collapsed="false">
      <c r="A76" s="27" t="s">
        <v>3149</v>
      </c>
      <c r="B76" s="41" t="s">
        <v>3150</v>
      </c>
      <c r="C76" s="41"/>
      <c r="D76" s="41"/>
      <c r="E76" s="41"/>
      <c r="F76" s="41"/>
      <c r="G76" s="27" t="s">
        <v>3077</v>
      </c>
    </row>
    <row r="77" customFormat="false" ht="69.75" hidden="false" customHeight="true" outlineLevel="0" collapsed="false">
      <c r="A77" s="27" t="s">
        <v>3151</v>
      </c>
      <c r="B77" s="41" t="s">
        <v>3152</v>
      </c>
      <c r="C77" s="41"/>
      <c r="D77" s="41"/>
      <c r="E77" s="41"/>
      <c r="F77" s="41"/>
      <c r="G77" s="27" t="s">
        <v>3077</v>
      </c>
    </row>
    <row r="78" customFormat="false" ht="71.25" hidden="false" customHeight="true" outlineLevel="0" collapsed="false">
      <c r="A78" s="27" t="s">
        <v>3153</v>
      </c>
      <c r="B78" s="41" t="s">
        <v>3154</v>
      </c>
      <c r="C78" s="41"/>
      <c r="D78" s="41"/>
      <c r="E78" s="41"/>
      <c r="F78" s="41"/>
      <c r="G78" s="27" t="s">
        <v>3155</v>
      </c>
    </row>
    <row r="79" customFormat="false" ht="61.5" hidden="false" customHeight="true" outlineLevel="0" collapsed="false">
      <c r="A79" s="27" t="s">
        <v>3156</v>
      </c>
      <c r="B79" s="41" t="s">
        <v>3157</v>
      </c>
      <c r="C79" s="41"/>
      <c r="D79" s="41"/>
      <c r="E79" s="41"/>
      <c r="F79" s="41"/>
      <c r="G79" s="27" t="s">
        <v>3144</v>
      </c>
    </row>
    <row r="80" customFormat="false" ht="56.25" hidden="false" customHeight="true" outlineLevel="0" collapsed="false">
      <c r="A80" s="27" t="s">
        <v>3158</v>
      </c>
      <c r="B80" s="41" t="s">
        <v>3159</v>
      </c>
      <c r="C80" s="41"/>
      <c r="D80" s="41"/>
      <c r="E80" s="41"/>
      <c r="F80" s="41"/>
      <c r="G80" s="27" t="s">
        <v>3160</v>
      </c>
    </row>
    <row r="81" customFormat="false" ht="65.25" hidden="false" customHeight="true" outlineLevel="0" collapsed="false">
      <c r="A81" s="27" t="s">
        <v>3161</v>
      </c>
      <c r="B81" s="41" t="s">
        <v>3162</v>
      </c>
      <c r="C81" s="41"/>
      <c r="D81" s="41"/>
      <c r="E81" s="41"/>
      <c r="F81" s="41"/>
      <c r="G81" s="27" t="s">
        <v>3077</v>
      </c>
    </row>
    <row r="82" customFormat="false" ht="51.75" hidden="false" customHeight="true" outlineLevel="0" collapsed="false">
      <c r="A82" s="27" t="s">
        <v>3163</v>
      </c>
      <c r="B82" s="41" t="s">
        <v>3164</v>
      </c>
      <c r="C82" s="41"/>
      <c r="D82" s="41"/>
      <c r="E82" s="41"/>
      <c r="F82" s="41"/>
      <c r="G82" s="27" t="s">
        <v>3165</v>
      </c>
    </row>
    <row r="83" customFormat="false" ht="63.75" hidden="false" customHeight="true" outlineLevel="0" collapsed="false">
      <c r="A83" s="27" t="s">
        <v>3166</v>
      </c>
      <c r="B83" s="41" t="s">
        <v>3167</v>
      </c>
      <c r="C83" s="41"/>
      <c r="D83" s="41"/>
      <c r="E83" s="41"/>
      <c r="F83" s="41"/>
      <c r="G83" s="27" t="s">
        <v>3168</v>
      </c>
    </row>
    <row r="84" customFormat="false" ht="67.5" hidden="false" customHeight="true" outlineLevel="0" collapsed="false">
      <c r="A84" s="27" t="s">
        <v>3169</v>
      </c>
      <c r="B84" s="41" t="s">
        <v>3170</v>
      </c>
      <c r="C84" s="41"/>
      <c r="D84" s="41"/>
      <c r="E84" s="41"/>
      <c r="F84" s="41"/>
      <c r="G84" s="27" t="s">
        <v>3171</v>
      </c>
    </row>
    <row r="85" customFormat="false" ht="62.25" hidden="false" customHeight="true" outlineLevel="0" collapsed="false">
      <c r="A85" s="27" t="s">
        <v>3172</v>
      </c>
      <c r="B85" s="41" t="s">
        <v>3173</v>
      </c>
      <c r="C85" s="41"/>
      <c r="D85" s="41"/>
      <c r="E85" s="41"/>
      <c r="F85" s="41"/>
      <c r="G85" s="27" t="s">
        <v>3174</v>
      </c>
    </row>
    <row r="86" customFormat="false" ht="51" hidden="false" customHeight="true" outlineLevel="0" collapsed="false">
      <c r="A86" s="27" t="s">
        <v>3175</v>
      </c>
      <c r="B86" s="41" t="s">
        <v>3176</v>
      </c>
      <c r="C86" s="41"/>
      <c r="D86" s="41"/>
      <c r="E86" s="41"/>
      <c r="F86" s="41"/>
      <c r="G86" s="27" t="s">
        <v>3077</v>
      </c>
    </row>
    <row r="87" customFormat="false" ht="60" hidden="false" customHeight="true" outlineLevel="0" collapsed="false">
      <c r="A87" s="27" t="s">
        <v>3177</v>
      </c>
      <c r="B87" s="41" t="s">
        <v>3178</v>
      </c>
      <c r="C87" s="41"/>
      <c r="D87" s="41"/>
      <c r="E87" s="41"/>
      <c r="F87" s="41"/>
      <c r="G87" s="27" t="s">
        <v>3179</v>
      </c>
    </row>
    <row r="88" customFormat="false" ht="78" hidden="false" customHeight="true" outlineLevel="0" collapsed="false">
      <c r="A88" s="27" t="s">
        <v>3180</v>
      </c>
      <c r="B88" s="41" t="s">
        <v>3181</v>
      </c>
      <c r="C88" s="41"/>
      <c r="D88" s="41"/>
      <c r="E88" s="41"/>
      <c r="F88" s="41"/>
      <c r="G88" s="27" t="s">
        <v>3182</v>
      </c>
    </row>
    <row r="89" customFormat="false" ht="132" hidden="false" customHeight="true" outlineLevel="0" collapsed="false">
      <c r="A89" s="27" t="s">
        <v>3183</v>
      </c>
      <c r="B89" s="27" t="s">
        <v>3184</v>
      </c>
      <c r="G89" s="27" t="s">
        <v>3185</v>
      </c>
    </row>
    <row r="90" customFormat="false" ht="150" hidden="false" customHeight="true" outlineLevel="0" collapsed="false">
      <c r="A90" s="27" t="s">
        <v>3186</v>
      </c>
      <c r="B90" s="27" t="s">
        <v>3187</v>
      </c>
      <c r="G90" s="27" t="s">
        <v>3188</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4325</v>
      </c>
      <c r="B1" s="42"/>
      <c r="C1" s="42"/>
      <c r="D1" s="42"/>
      <c r="E1" s="42"/>
      <c r="F1" s="42"/>
      <c r="G1" s="42"/>
    </row>
    <row r="2" customFormat="false" ht="31.5" hidden="false" customHeight="true" outlineLevel="0" collapsed="false">
      <c r="A2" s="43" t="s">
        <v>3512</v>
      </c>
      <c r="B2" s="43" t="s">
        <v>4025</v>
      </c>
      <c r="C2" s="43" t="s">
        <v>4326</v>
      </c>
      <c r="D2" s="43" t="s">
        <v>4327</v>
      </c>
      <c r="E2" s="43" t="s">
        <v>4328</v>
      </c>
      <c r="F2" s="43" t="s">
        <v>4029</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4329</v>
      </c>
      <c r="B4" s="27" t="s">
        <v>4330</v>
      </c>
      <c r="C4" s="27" t="s">
        <v>4331</v>
      </c>
      <c r="D4" s="27" t="s">
        <v>4332</v>
      </c>
      <c r="E4" s="27" t="s">
        <v>4333</v>
      </c>
      <c r="F4" s="27" t="s">
        <v>4334</v>
      </c>
      <c r="G4" s="27" t="s">
        <v>3522</v>
      </c>
    </row>
    <row r="5" customFormat="false" ht="60.75" hidden="false" customHeight="true" outlineLevel="0" collapsed="false">
      <c r="A5" s="27" t="s">
        <v>4329</v>
      </c>
      <c r="B5" s="27" t="s">
        <v>4167</v>
      </c>
      <c r="C5" s="27" t="s">
        <v>4335</v>
      </c>
      <c r="D5" s="27" t="s">
        <v>4336</v>
      </c>
      <c r="E5" s="27" t="s">
        <v>4337</v>
      </c>
      <c r="F5" s="27" t="s">
        <v>4338</v>
      </c>
      <c r="G5" s="27" t="s">
        <v>4149</v>
      </c>
    </row>
    <row r="6" customFormat="false" ht="60.75" hidden="false" customHeight="true" outlineLevel="0" collapsed="false">
      <c r="A6" s="27" t="s">
        <v>4207</v>
      </c>
      <c r="B6" s="27" t="s">
        <v>4339</v>
      </c>
      <c r="C6" s="27" t="s">
        <v>4340</v>
      </c>
      <c r="D6" s="27" t="s">
        <v>4341</v>
      </c>
      <c r="E6" s="27" t="s">
        <v>4342</v>
      </c>
      <c r="F6" s="27" t="s">
        <v>4343</v>
      </c>
      <c r="G6" s="27" t="s">
        <v>4149</v>
      </c>
    </row>
    <row r="7" customFormat="false" ht="43.5" hidden="false" customHeight="true" outlineLevel="0" collapsed="false">
      <c r="A7" s="27" t="s">
        <v>4207</v>
      </c>
      <c r="B7" s="27" t="s">
        <v>4344</v>
      </c>
      <c r="C7" s="27" t="s">
        <v>4345</v>
      </c>
      <c r="D7" s="27" t="s">
        <v>4346</v>
      </c>
      <c r="E7" s="27" t="s">
        <v>4347</v>
      </c>
      <c r="F7" s="27" t="s">
        <v>4348</v>
      </c>
      <c r="G7" s="27" t="s">
        <v>3529</v>
      </c>
    </row>
    <row r="8" customFormat="false" ht="60.75" hidden="false" customHeight="true" outlineLevel="0" collapsed="false">
      <c r="A8" s="27" t="s">
        <v>4349</v>
      </c>
      <c r="B8" s="27" t="s">
        <v>4350</v>
      </c>
      <c r="C8" s="27" t="s">
        <v>4351</v>
      </c>
      <c r="D8" s="27" t="s">
        <v>4352</v>
      </c>
      <c r="E8" s="27" t="s">
        <v>4353</v>
      </c>
      <c r="F8" s="27" t="s">
        <v>4354</v>
      </c>
      <c r="G8" s="27" t="s">
        <v>3410</v>
      </c>
    </row>
    <row r="9" customFormat="false" ht="60.75" hidden="false" customHeight="true" outlineLevel="0" collapsed="false">
      <c r="A9" s="27" t="s">
        <v>4349</v>
      </c>
      <c r="B9" s="27" t="s">
        <v>4355</v>
      </c>
      <c r="C9" s="27" t="s">
        <v>4356</v>
      </c>
      <c r="D9" s="27" t="s">
        <v>4357</v>
      </c>
      <c r="E9" s="27" t="s">
        <v>4358</v>
      </c>
      <c r="F9" s="27" t="s">
        <v>4359</v>
      </c>
      <c r="G9" s="27" t="s">
        <v>3410</v>
      </c>
    </row>
    <row r="10" customFormat="false" ht="60.75" hidden="false" customHeight="true" outlineLevel="0" collapsed="false">
      <c r="A10" s="27" t="s">
        <v>4360</v>
      </c>
      <c r="B10" s="27" t="s">
        <v>4361</v>
      </c>
      <c r="C10" s="27" t="s">
        <v>4362</v>
      </c>
      <c r="D10" s="27" t="s">
        <v>4363</v>
      </c>
      <c r="E10" s="27" t="s">
        <v>4364</v>
      </c>
      <c r="F10" s="27" t="s">
        <v>4365</v>
      </c>
      <c r="G10" s="27" t="s">
        <v>3915</v>
      </c>
    </row>
    <row r="11" customFormat="false" ht="43.5" hidden="false" customHeight="true" outlineLevel="0" collapsed="false">
      <c r="A11" s="27" t="s">
        <v>4360</v>
      </c>
      <c r="B11" s="27" t="s">
        <v>4366</v>
      </c>
      <c r="C11" s="27" t="s">
        <v>4367</v>
      </c>
      <c r="D11" s="27" t="s">
        <v>4368</v>
      </c>
      <c r="E11" s="27" t="s">
        <v>4369</v>
      </c>
      <c r="F11" s="27" t="s">
        <v>4370</v>
      </c>
      <c r="G11" s="27" t="s">
        <v>3915</v>
      </c>
    </row>
    <row r="12" customFormat="false" ht="43.5" hidden="false" customHeight="true" outlineLevel="0" collapsed="false">
      <c r="A12" s="27" t="s">
        <v>4360</v>
      </c>
      <c r="B12" s="27" t="s">
        <v>4371</v>
      </c>
      <c r="C12" s="27" t="s">
        <v>4372</v>
      </c>
      <c r="D12" s="27" t="s">
        <v>4373</v>
      </c>
      <c r="E12" s="27" t="s">
        <v>4374</v>
      </c>
      <c r="F12" s="27" t="s">
        <v>4375</v>
      </c>
      <c r="G12" s="27" t="s">
        <v>3915</v>
      </c>
    </row>
    <row r="13" customFormat="false" ht="60.75" hidden="false" customHeight="true" outlineLevel="0" collapsed="false">
      <c r="A13" s="27" t="s">
        <v>4376</v>
      </c>
      <c r="B13" s="27" t="s">
        <v>4377</v>
      </c>
      <c r="C13" s="27" t="s">
        <v>4378</v>
      </c>
      <c r="D13" s="27" t="s">
        <v>4379</v>
      </c>
      <c r="E13" s="27" t="s">
        <v>4380</v>
      </c>
      <c r="F13" s="27" t="s">
        <v>4381</v>
      </c>
      <c r="G13" s="27" t="s">
        <v>3410</v>
      </c>
    </row>
    <row r="14" customFormat="false" ht="60.75" hidden="false" customHeight="true" outlineLevel="0" collapsed="false">
      <c r="A14" s="27" t="s">
        <v>4376</v>
      </c>
      <c r="B14" s="27" t="s">
        <v>4382</v>
      </c>
      <c r="C14" s="27" t="s">
        <v>4383</v>
      </c>
      <c r="D14" s="27" t="s">
        <v>4384</v>
      </c>
      <c r="E14" s="27" t="s">
        <v>4385</v>
      </c>
      <c r="F14" s="27" t="s">
        <v>4381</v>
      </c>
      <c r="G14" s="27" t="s">
        <v>3410</v>
      </c>
    </row>
    <row r="15" customFormat="false" ht="60.75" hidden="false" customHeight="true" outlineLevel="0" collapsed="false">
      <c r="A15" s="27" t="s">
        <v>4376</v>
      </c>
      <c r="B15" s="27" t="s">
        <v>4386</v>
      </c>
      <c r="C15" s="27" t="s">
        <v>4387</v>
      </c>
      <c r="D15" s="27" t="s">
        <v>4388</v>
      </c>
      <c r="E15" s="27" t="s">
        <v>4389</v>
      </c>
      <c r="F15" s="27" t="s">
        <v>4381</v>
      </c>
      <c r="G15" s="27" t="s">
        <v>3410</v>
      </c>
    </row>
    <row r="16" customFormat="false" ht="78" hidden="false" customHeight="true" outlineLevel="0" collapsed="false">
      <c r="A16" s="27" t="s">
        <v>4390</v>
      </c>
      <c r="B16" s="27" t="s">
        <v>4391</v>
      </c>
      <c r="C16" s="27" t="s">
        <v>4392</v>
      </c>
      <c r="D16" s="27" t="s">
        <v>4393</v>
      </c>
      <c r="E16" s="27" t="s">
        <v>4394</v>
      </c>
      <c r="F16" s="27" t="s">
        <v>4395</v>
      </c>
      <c r="G16" s="27" t="s">
        <v>3410</v>
      </c>
    </row>
    <row r="17" customFormat="false" ht="60.75" hidden="false" customHeight="true" outlineLevel="0" collapsed="false">
      <c r="A17" s="27" t="s">
        <v>4390</v>
      </c>
      <c r="B17" s="27" t="s">
        <v>4396</v>
      </c>
      <c r="C17" s="27" t="s">
        <v>4397</v>
      </c>
      <c r="D17" s="27" t="s">
        <v>4398</v>
      </c>
      <c r="E17" s="27" t="s">
        <v>4399</v>
      </c>
      <c r="F17" s="27" t="s">
        <v>4400</v>
      </c>
      <c r="G17" s="27" t="s">
        <v>3410</v>
      </c>
    </row>
    <row r="18" customFormat="false" ht="60.75" hidden="false" customHeight="true" outlineLevel="0" collapsed="false">
      <c r="A18" s="27" t="s">
        <v>4390</v>
      </c>
      <c r="B18" s="27" t="s">
        <v>4401</v>
      </c>
      <c r="C18" s="27" t="s">
        <v>4402</v>
      </c>
      <c r="D18" s="27" t="s">
        <v>4403</v>
      </c>
      <c r="E18" s="27" t="s">
        <v>4404</v>
      </c>
      <c r="F18" s="27" t="s">
        <v>4395</v>
      </c>
      <c r="G18" s="27" t="s">
        <v>3410</v>
      </c>
    </row>
    <row r="19" customFormat="false" ht="60.75" hidden="false" customHeight="true" outlineLevel="0" collapsed="false">
      <c r="A19" s="27" t="s">
        <v>3514</v>
      </c>
      <c r="B19" s="27" t="s">
        <v>4405</v>
      </c>
      <c r="C19" s="27" t="s">
        <v>4406</v>
      </c>
      <c r="D19" s="27" t="s">
        <v>4407</v>
      </c>
      <c r="E19" s="27" t="s">
        <v>4408</v>
      </c>
      <c r="F19" s="27" t="s">
        <v>4409</v>
      </c>
      <c r="G19" s="27" t="s">
        <v>3410</v>
      </c>
    </row>
    <row r="20" customFormat="false" ht="43.5" hidden="false" customHeight="true" outlineLevel="0" collapsed="false">
      <c r="A20" s="27" t="s">
        <v>3514</v>
      </c>
      <c r="B20" s="27" t="s">
        <v>4410</v>
      </c>
      <c r="C20" s="27" t="s">
        <v>4411</v>
      </c>
      <c r="D20" s="27" t="s">
        <v>4412</v>
      </c>
      <c r="E20" s="27" t="s">
        <v>4413</v>
      </c>
      <c r="F20" s="27" t="s">
        <v>4414</v>
      </c>
      <c r="G20" s="27" t="s">
        <v>4149</v>
      </c>
    </row>
    <row r="21" customFormat="false" ht="39.75" hidden="false" customHeight="true" outlineLevel="0" collapsed="false">
      <c r="A21" s="27"/>
      <c r="B21" s="27"/>
      <c r="C21" s="27"/>
      <c r="D21" s="27"/>
      <c r="E21" s="27"/>
      <c r="F21" s="27"/>
      <c r="G21" s="27"/>
    </row>
    <row r="22" customFormat="false" ht="39.75" hidden="false" customHeight="true" outlineLevel="0" collapsed="false">
      <c r="A22" s="27"/>
      <c r="B22" s="27"/>
      <c r="C22" s="27"/>
      <c r="D22" s="27"/>
      <c r="E22" s="27"/>
      <c r="F22" s="27"/>
      <c r="G22" s="27"/>
    </row>
    <row r="23" customFormat="false" ht="43.5" hidden="false" customHeight="true" outlineLevel="0" collapsed="false">
      <c r="A23" s="42" t="s">
        <v>4415</v>
      </c>
      <c r="B23" s="42"/>
      <c r="C23" s="42"/>
      <c r="D23" s="42"/>
      <c r="E23" s="42"/>
      <c r="F23" s="42"/>
      <c r="G23" s="42"/>
    </row>
    <row r="24" customFormat="false" ht="60" hidden="false" customHeight="true" outlineLevel="0" collapsed="false">
      <c r="A24" s="27" t="s">
        <v>3189</v>
      </c>
      <c r="B24" s="41" t="s">
        <v>3190</v>
      </c>
      <c r="C24" s="41"/>
      <c r="D24" s="41"/>
      <c r="E24" s="41"/>
      <c r="F24" s="41"/>
      <c r="G24" s="27" t="s">
        <v>3191</v>
      </c>
    </row>
    <row r="25" customFormat="false" ht="60" hidden="false" customHeight="true" outlineLevel="0" collapsed="false">
      <c r="A25" s="27" t="s">
        <v>3192</v>
      </c>
      <c r="B25" s="41" t="s">
        <v>3193</v>
      </c>
      <c r="C25" s="41"/>
      <c r="D25" s="41"/>
      <c r="E25" s="41"/>
      <c r="F25" s="41"/>
      <c r="G25" s="27" t="s">
        <v>3194</v>
      </c>
    </row>
    <row r="26" customFormat="false" ht="60" hidden="false" customHeight="true" outlineLevel="0" collapsed="false">
      <c r="A26" s="27" t="s">
        <v>3195</v>
      </c>
      <c r="B26" s="41" t="s">
        <v>3196</v>
      </c>
      <c r="C26" s="41"/>
      <c r="D26" s="41"/>
      <c r="E26" s="41"/>
      <c r="F26" s="41"/>
      <c r="G26" s="27" t="s">
        <v>3197</v>
      </c>
    </row>
    <row r="27" customFormat="false" ht="60" hidden="false" customHeight="true" outlineLevel="0" collapsed="false">
      <c r="A27" s="27" t="s">
        <v>3198</v>
      </c>
      <c r="B27" s="41" t="s">
        <v>3199</v>
      </c>
      <c r="C27" s="41"/>
      <c r="D27" s="41"/>
      <c r="E27" s="41"/>
      <c r="F27" s="41"/>
      <c r="G27" s="27" t="s">
        <v>3200</v>
      </c>
    </row>
    <row r="28" customFormat="false" ht="60" hidden="false" customHeight="true" outlineLevel="0" collapsed="false">
      <c r="A28" s="27" t="s">
        <v>3201</v>
      </c>
      <c r="B28" s="41" t="s">
        <v>3202</v>
      </c>
      <c r="C28" s="41"/>
      <c r="D28" s="41"/>
      <c r="E28" s="41"/>
      <c r="F28" s="41"/>
      <c r="G28" s="27" t="s">
        <v>3203</v>
      </c>
    </row>
    <row r="29" customFormat="false" ht="60" hidden="false" customHeight="true" outlineLevel="0" collapsed="false">
      <c r="A29" s="27" t="s">
        <v>3204</v>
      </c>
      <c r="B29" s="41" t="s">
        <v>3205</v>
      </c>
      <c r="C29" s="41"/>
      <c r="D29" s="41"/>
      <c r="E29" s="41"/>
      <c r="F29" s="41"/>
      <c r="G29" s="27" t="s">
        <v>3206</v>
      </c>
    </row>
    <row r="30" customFormat="false" ht="39.75" hidden="false" customHeight="true" outlineLevel="0" collapsed="false">
      <c r="A30" s="27"/>
      <c r="B30" s="27"/>
      <c r="C30" s="27"/>
      <c r="D30" s="27"/>
      <c r="E30" s="27"/>
      <c r="F30" s="27"/>
      <c r="G30" s="27"/>
    </row>
    <row r="31" customFormat="false" ht="39.75" hidden="false" customHeight="true" outlineLevel="0" collapsed="false">
      <c r="A31" s="27"/>
      <c r="B31" s="27"/>
      <c r="C31" s="27"/>
      <c r="D31" s="27"/>
      <c r="E31" s="27"/>
      <c r="F31" s="27"/>
      <c r="G31" s="27"/>
    </row>
    <row r="32" customFormat="false" ht="39.75" hidden="false" customHeight="true" outlineLevel="0" collapsed="false">
      <c r="A32" s="27"/>
      <c r="B32" s="27"/>
      <c r="C32" s="27"/>
      <c r="D32" s="27"/>
      <c r="E32" s="27"/>
      <c r="F32" s="27"/>
      <c r="G32" s="27"/>
    </row>
    <row r="33" customFormat="false" ht="39.75" hidden="false" customHeight="true" outlineLevel="0" collapsed="false">
      <c r="A33" s="27"/>
      <c r="B33" s="27"/>
      <c r="C33" s="27"/>
      <c r="D33" s="27"/>
      <c r="E33" s="27"/>
      <c r="F33" s="27"/>
      <c r="G33" s="27"/>
    </row>
    <row r="34" customFormat="false" ht="39.75" hidden="false" customHeight="true" outlineLevel="0" collapsed="false">
      <c r="A34" s="27"/>
      <c r="B34" s="27"/>
      <c r="C34" s="27"/>
      <c r="D34" s="27"/>
      <c r="E34" s="27"/>
      <c r="F34" s="27"/>
      <c r="G34" s="27"/>
    </row>
    <row r="35" customFormat="false" ht="39.75" hidden="false" customHeight="true" outlineLevel="0" collapsed="false">
      <c r="A35" s="27"/>
      <c r="B35" s="27"/>
      <c r="C35" s="27"/>
      <c r="D35" s="27"/>
      <c r="E35" s="27"/>
      <c r="F35" s="27"/>
      <c r="G35" s="27"/>
    </row>
    <row r="36" customFormat="false" ht="39.75" hidden="false" customHeight="true" outlineLevel="0" collapsed="false">
      <c r="A36" s="27"/>
      <c r="B36" s="27"/>
      <c r="C36" s="27"/>
      <c r="D36" s="27"/>
      <c r="E36" s="27"/>
      <c r="F36" s="27"/>
      <c r="G36" s="27"/>
    </row>
    <row r="37" customFormat="false" ht="39.75" hidden="false" customHeight="true" outlineLevel="0" collapsed="false">
      <c r="A37" s="27"/>
      <c r="B37" s="27"/>
      <c r="C37" s="27"/>
      <c r="D37" s="27"/>
      <c r="E37" s="27"/>
      <c r="F37" s="27"/>
      <c r="G37" s="27"/>
    </row>
    <row r="38" customFormat="false" ht="39.75" hidden="false" customHeight="true" outlineLevel="0" collapsed="false">
      <c r="A38" s="27"/>
      <c r="B38" s="27"/>
      <c r="C38" s="27"/>
      <c r="D38" s="27"/>
      <c r="E38" s="27"/>
      <c r="F38" s="27"/>
      <c r="G38" s="27"/>
    </row>
    <row r="39" customFormat="false" ht="39.75" hidden="false" customHeight="true" outlineLevel="0" collapsed="false">
      <c r="A39" s="27"/>
      <c r="B39" s="27"/>
      <c r="C39" s="27"/>
      <c r="D39" s="27"/>
      <c r="E39" s="27"/>
      <c r="F39" s="27"/>
      <c r="G39" s="27"/>
    </row>
    <row r="40" customFormat="false" ht="39.75" hidden="false" customHeight="true" outlineLevel="0" collapsed="false">
      <c r="A40" s="27"/>
      <c r="B40" s="27"/>
      <c r="C40" s="27"/>
      <c r="D40" s="27"/>
      <c r="E40" s="27"/>
      <c r="F40" s="27"/>
      <c r="G40" s="27"/>
    </row>
    <row r="41" customFormat="false" ht="39.75" hidden="false" customHeight="true" outlineLevel="0" collapsed="false">
      <c r="A41" s="27"/>
      <c r="B41" s="27"/>
      <c r="C41" s="27"/>
      <c r="D41" s="27"/>
      <c r="E41" s="27"/>
      <c r="F41" s="27"/>
      <c r="G41" s="27"/>
    </row>
    <row r="42" customFormat="false" ht="39.75" hidden="false" customHeight="true" outlineLevel="0" collapsed="false">
      <c r="A42" s="27"/>
      <c r="B42" s="27"/>
      <c r="C42" s="27"/>
      <c r="D42" s="27"/>
      <c r="E42" s="27"/>
      <c r="F42" s="27"/>
      <c r="G42" s="27"/>
    </row>
    <row r="43" customFormat="false" ht="24" hidden="false" customHeight="true" outlineLevel="0" collapsed="false">
      <c r="A43" s="45"/>
    </row>
    <row r="44" customFormat="false" ht="66" hidden="false" customHeight="true" outlineLevel="0" collapsed="false">
      <c r="A44" s="27"/>
      <c r="B44" s="27"/>
      <c r="G44" s="27"/>
    </row>
    <row r="45" customFormat="false" ht="69.75" hidden="false" customHeight="true" outlineLevel="0" collapsed="false">
      <c r="A45" s="27"/>
      <c r="B45" s="27"/>
      <c r="G45" s="27"/>
    </row>
    <row r="46" customFormat="false" ht="51" hidden="false" customHeight="true" outlineLevel="0" collapsed="false">
      <c r="A46" s="27"/>
      <c r="B46" s="27"/>
      <c r="G46" s="27"/>
    </row>
    <row r="47" customFormat="false" ht="57.75" hidden="false" customHeight="true" outlineLevel="0" collapsed="false">
      <c r="A47" s="27"/>
      <c r="B47" s="27"/>
      <c r="G47" s="27"/>
    </row>
    <row r="48" customFormat="false" ht="63" hidden="false" customHeight="true" outlineLevel="0" collapsed="false">
      <c r="A48" s="27"/>
      <c r="B48" s="27"/>
      <c r="G48" s="27"/>
    </row>
    <row r="49" customFormat="false" ht="76.5" hidden="false" customHeight="true" outlineLevel="0" collapsed="false">
      <c r="A49" s="27"/>
      <c r="B49" s="27"/>
      <c r="G49" s="27"/>
    </row>
    <row r="50" customFormat="false" ht="65.25" hidden="false" customHeight="true" outlineLevel="0" collapsed="false">
      <c r="A50" s="27"/>
      <c r="B50" s="27"/>
      <c r="G50" s="27"/>
    </row>
    <row r="51" customFormat="false" ht="61.5" hidden="false" customHeight="true" outlineLevel="0" collapsed="false">
      <c r="A51" s="27"/>
      <c r="B51" s="27"/>
      <c r="G51" s="27"/>
    </row>
    <row r="52" customFormat="false" ht="64.5" hidden="false" customHeight="true" outlineLevel="0" collapsed="false">
      <c r="A52" s="27"/>
      <c r="B52" s="27"/>
      <c r="G52" s="27"/>
    </row>
    <row r="53" customFormat="false" ht="74.25" hidden="false" customHeight="true" outlineLevel="0" collapsed="false">
      <c r="A53" s="27"/>
      <c r="B53" s="27"/>
      <c r="G53" s="27"/>
    </row>
    <row r="54" customFormat="false" ht="78" hidden="false" customHeight="true" outlineLevel="0" collapsed="false">
      <c r="A54" s="27"/>
      <c r="B54" s="27"/>
      <c r="G54" s="27"/>
    </row>
    <row r="55" customFormat="false" ht="67.5" hidden="false" customHeight="true" outlineLevel="0" collapsed="false">
      <c r="A55" s="27"/>
      <c r="B55" s="27"/>
      <c r="G55" s="27"/>
    </row>
    <row r="56" customFormat="false" ht="63.75" hidden="false" customHeight="true" outlineLevel="0" collapsed="false">
      <c r="A56" s="27"/>
      <c r="B56" s="27"/>
      <c r="G56" s="27"/>
    </row>
    <row r="57" customFormat="false" ht="75.75" hidden="false" customHeight="true" outlineLevel="0" collapsed="false">
      <c r="A57" s="27"/>
      <c r="B57" s="27"/>
      <c r="G57" s="27"/>
    </row>
    <row r="58" customFormat="false" ht="63" hidden="false" customHeight="true" outlineLevel="0" collapsed="false">
      <c r="A58" s="27"/>
      <c r="B58" s="27"/>
      <c r="G58" s="27"/>
    </row>
    <row r="59" customFormat="false" ht="70.5" hidden="false" customHeight="true" outlineLevel="0" collapsed="false">
      <c r="A59" s="27"/>
      <c r="B59" s="27"/>
      <c r="G59" s="27"/>
    </row>
    <row r="60" customFormat="false" ht="76.5" hidden="false" customHeight="true" outlineLevel="0" collapsed="false">
      <c r="A60" s="27"/>
      <c r="B60" s="27"/>
      <c r="G60" s="27"/>
    </row>
    <row r="61" customFormat="false" ht="67.5" hidden="false" customHeight="true" outlineLevel="0" collapsed="false">
      <c r="A61" s="27"/>
      <c r="B61" s="27"/>
      <c r="G61" s="27"/>
    </row>
    <row r="62" customFormat="false" ht="62.25" hidden="false" customHeight="true" outlineLevel="0" collapsed="false">
      <c r="A62" s="27"/>
      <c r="B62" s="27"/>
      <c r="G62" s="27"/>
    </row>
    <row r="63" customFormat="false" ht="78" hidden="false" customHeight="true" outlineLevel="0" collapsed="false">
      <c r="A63" s="27"/>
      <c r="B63" s="27"/>
      <c r="G63" s="27"/>
    </row>
    <row r="64" customFormat="false" ht="70.5" hidden="false" customHeight="true" outlineLevel="0" collapsed="false">
      <c r="A64" s="27"/>
      <c r="B64" s="27"/>
      <c r="G64" s="27"/>
    </row>
    <row r="65" customFormat="false" ht="68.25" hidden="false" customHeight="true" outlineLevel="0" collapsed="false">
      <c r="A65" s="27"/>
      <c r="B65" s="27"/>
      <c r="G65" s="27"/>
    </row>
    <row r="66" customFormat="false" ht="61.5" hidden="false" customHeight="true" outlineLevel="0" collapsed="false">
      <c r="A66" s="27"/>
      <c r="B66" s="27"/>
      <c r="G66" s="27"/>
    </row>
    <row r="67" customFormat="false" ht="65.25" hidden="false" customHeight="true" outlineLevel="0" collapsed="false">
      <c r="A67" s="27"/>
      <c r="B67" s="27"/>
      <c r="G67" s="27"/>
    </row>
    <row r="68" customFormat="false" ht="66" hidden="false" customHeight="true" outlineLevel="0" collapsed="false">
      <c r="A68" s="27"/>
      <c r="B68" s="27"/>
      <c r="G68" s="27"/>
    </row>
    <row r="69" customFormat="false" ht="72" hidden="false" customHeight="true" outlineLevel="0" collapsed="false">
      <c r="A69" s="27"/>
      <c r="B69" s="27"/>
      <c r="G69" s="27"/>
    </row>
    <row r="70" customFormat="false" ht="78" hidden="false" customHeight="true" outlineLevel="0" collapsed="false">
      <c r="A70" s="27"/>
      <c r="B70" s="27"/>
      <c r="G70" s="27"/>
    </row>
    <row r="71" customFormat="false" ht="60" hidden="false" customHeight="true" outlineLevel="0" collapsed="false">
      <c r="A71" s="27"/>
      <c r="B71" s="27"/>
      <c r="G71" s="27"/>
    </row>
    <row r="72" customFormat="false" ht="73.5" hidden="false" customHeight="true" outlineLevel="0" collapsed="false">
      <c r="A72" s="27"/>
      <c r="B72" s="27"/>
      <c r="G72" s="27"/>
    </row>
    <row r="73" customFormat="false" ht="71.25" hidden="false" customHeight="true" outlineLevel="0" collapsed="false">
      <c r="A73" s="27"/>
      <c r="B73" s="27"/>
      <c r="G73" s="27"/>
    </row>
    <row r="74" customFormat="false" ht="68.25" hidden="false" customHeight="true" outlineLevel="0" collapsed="false">
      <c r="A74" s="27"/>
      <c r="B74" s="27"/>
      <c r="G74" s="27"/>
    </row>
    <row r="75" customFormat="false" ht="62.25" hidden="false" customHeight="true" outlineLevel="0" collapsed="false">
      <c r="A75" s="27"/>
      <c r="B75" s="27"/>
      <c r="G75" s="27"/>
    </row>
    <row r="76" customFormat="false" ht="63" hidden="false" customHeight="true" outlineLevel="0" collapsed="false">
      <c r="A76" s="27"/>
      <c r="B76" s="27"/>
      <c r="G76" s="27"/>
    </row>
    <row r="77" customFormat="false" ht="69.75" hidden="false" customHeight="true" outlineLevel="0" collapsed="false">
      <c r="A77" s="27"/>
      <c r="B77" s="27"/>
      <c r="G77" s="27"/>
    </row>
    <row r="78" customFormat="false" ht="71.25" hidden="false" customHeight="true" outlineLevel="0" collapsed="false">
      <c r="A78" s="27"/>
      <c r="B78" s="27"/>
      <c r="G78" s="27"/>
    </row>
    <row r="79" customFormat="false" ht="61.5" hidden="false" customHeight="true" outlineLevel="0" collapsed="false">
      <c r="A79" s="27"/>
      <c r="B79" s="27"/>
      <c r="G79" s="27"/>
    </row>
    <row r="80" customFormat="false" ht="56.25" hidden="false" customHeight="true" outlineLevel="0" collapsed="false">
      <c r="A80" s="27"/>
      <c r="B80" s="27"/>
      <c r="G80" s="27"/>
    </row>
    <row r="81" customFormat="false" ht="65.25" hidden="false" customHeight="true" outlineLevel="0" collapsed="false">
      <c r="A81" s="27"/>
      <c r="B81" s="27"/>
      <c r="G81" s="27"/>
    </row>
    <row r="82" customFormat="false" ht="51.75" hidden="false" customHeight="true" outlineLevel="0" collapsed="false">
      <c r="A82" s="27"/>
      <c r="B82" s="27"/>
      <c r="G82" s="27"/>
    </row>
    <row r="83" customFormat="false" ht="63.75" hidden="false" customHeight="true" outlineLevel="0" collapsed="false">
      <c r="A83" s="27"/>
      <c r="B83" s="27"/>
      <c r="G83" s="27"/>
    </row>
    <row r="84" customFormat="false" ht="67.5" hidden="false" customHeight="true" outlineLevel="0" collapsed="false">
      <c r="A84" s="27"/>
      <c r="B84" s="27"/>
      <c r="G84" s="27"/>
    </row>
    <row r="85" customFormat="false" ht="62.25" hidden="false" customHeight="true" outlineLevel="0" collapsed="false">
      <c r="A85" s="27"/>
      <c r="B85" s="27"/>
      <c r="G85" s="27"/>
    </row>
    <row r="86" customFormat="false" ht="51" hidden="false" customHeight="true" outlineLevel="0" collapsed="false">
      <c r="A86" s="27"/>
      <c r="B86" s="27"/>
      <c r="G86" s="27"/>
    </row>
    <row r="87" customFormat="false" ht="60" hidden="false" customHeight="true" outlineLevel="0" collapsed="false">
      <c r="A87" s="27"/>
      <c r="B87" s="27"/>
      <c r="G87" s="27"/>
    </row>
    <row r="88" customFormat="false" ht="78" hidden="false" customHeight="true" outlineLevel="0" collapsed="false">
      <c r="A88" s="27"/>
      <c r="B88" s="27"/>
      <c r="G88" s="27"/>
    </row>
    <row r="89" customFormat="false" ht="132" hidden="false" customHeight="true" outlineLevel="0" collapsed="false">
      <c r="A89" s="27"/>
      <c r="B89" s="27"/>
      <c r="G89" s="27"/>
    </row>
    <row r="90" customFormat="false" ht="150" hidden="false" customHeight="true" outlineLevel="0" collapsed="false">
      <c r="A90" s="27"/>
      <c r="B90" s="27"/>
      <c r="G90" s="27"/>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4416</v>
      </c>
      <c r="B1" s="42"/>
      <c r="C1" s="42"/>
      <c r="D1" s="42"/>
      <c r="E1" s="42"/>
      <c r="F1" s="42"/>
      <c r="G1" s="42"/>
    </row>
    <row r="2" customFormat="false" ht="31.5" hidden="false" customHeight="true" outlineLevel="0" collapsed="false">
      <c r="A2" s="43" t="s">
        <v>3512</v>
      </c>
      <c r="B2" s="43" t="s">
        <v>4025</v>
      </c>
      <c r="C2" s="43" t="s">
        <v>4417</v>
      </c>
      <c r="D2" s="43" t="s">
        <v>4327</v>
      </c>
      <c r="E2" s="43" t="s">
        <v>4328</v>
      </c>
      <c r="F2" s="43" t="s">
        <v>4029</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14</v>
      </c>
      <c r="B4" s="27" t="s">
        <v>4418</v>
      </c>
      <c r="C4" s="27" t="s">
        <v>4419</v>
      </c>
      <c r="D4" s="27" t="s">
        <v>4420</v>
      </c>
      <c r="E4" s="27" t="s">
        <v>4421</v>
      </c>
      <c r="F4" s="27" t="s">
        <v>4422</v>
      </c>
      <c r="G4" s="27" t="s">
        <v>3410</v>
      </c>
    </row>
    <row r="5" customFormat="false" ht="43.5" hidden="false" customHeight="true" outlineLevel="0" collapsed="false">
      <c r="A5" s="27" t="s">
        <v>14</v>
      </c>
      <c r="B5" s="27" t="s">
        <v>4423</v>
      </c>
      <c r="C5" s="27" t="s">
        <v>4424</v>
      </c>
      <c r="D5" s="27" t="s">
        <v>4425</v>
      </c>
      <c r="E5" s="27" t="s">
        <v>4426</v>
      </c>
      <c r="F5" s="27" t="s">
        <v>4427</v>
      </c>
      <c r="G5" s="27" t="s">
        <v>4149</v>
      </c>
    </row>
    <row r="6" customFormat="false" ht="43.5" hidden="false" customHeight="true" outlineLevel="0" collapsed="false">
      <c r="A6" s="27" t="s">
        <v>4428</v>
      </c>
      <c r="B6" s="27" t="s">
        <v>4429</v>
      </c>
      <c r="C6" s="27" t="s">
        <v>4430</v>
      </c>
      <c r="D6" s="27" t="s">
        <v>4431</v>
      </c>
      <c r="E6" s="27" t="s">
        <v>4432</v>
      </c>
      <c r="F6" s="27" t="s">
        <v>4433</v>
      </c>
      <c r="G6" s="27" t="s">
        <v>4434</v>
      </c>
    </row>
    <row r="7" customFormat="false" ht="43.5" hidden="false" customHeight="true" outlineLevel="0" collapsed="false">
      <c r="A7" s="27" t="s">
        <v>4428</v>
      </c>
      <c r="B7" s="27" t="s">
        <v>4435</v>
      </c>
      <c r="C7" s="27" t="s">
        <v>4436</v>
      </c>
      <c r="D7" s="27" t="s">
        <v>4437</v>
      </c>
      <c r="E7" s="27" t="s">
        <v>4438</v>
      </c>
      <c r="F7" s="27" t="s">
        <v>4439</v>
      </c>
      <c r="G7" s="27" t="s">
        <v>3410</v>
      </c>
    </row>
    <row r="8" customFormat="false" ht="43.5" hidden="false" customHeight="true" outlineLevel="0" collapsed="false">
      <c r="A8" s="27" t="s">
        <v>4440</v>
      </c>
      <c r="B8" s="27" t="s">
        <v>4441</v>
      </c>
      <c r="C8" s="27" t="s">
        <v>4442</v>
      </c>
      <c r="D8" s="27" t="s">
        <v>4443</v>
      </c>
      <c r="E8" s="27" t="s">
        <v>4444</v>
      </c>
      <c r="F8" s="27" t="s">
        <v>4445</v>
      </c>
      <c r="G8" s="27" t="s">
        <v>3394</v>
      </c>
    </row>
    <row r="9" customFormat="false" ht="43.5" hidden="false" customHeight="true" outlineLevel="0" collapsed="false">
      <c r="A9" s="27" t="s">
        <v>4440</v>
      </c>
      <c r="B9" s="27" t="s">
        <v>4437</v>
      </c>
      <c r="C9" s="27" t="s">
        <v>4446</v>
      </c>
      <c r="D9" s="27" t="s">
        <v>4447</v>
      </c>
      <c r="E9" s="27" t="s">
        <v>4448</v>
      </c>
      <c r="F9" s="27" t="s">
        <v>4449</v>
      </c>
      <c r="G9" s="27" t="s">
        <v>3410</v>
      </c>
    </row>
    <row r="10" customFormat="false" ht="43.5" hidden="false" customHeight="true" outlineLevel="0" collapsed="false">
      <c r="A10" s="27" t="s">
        <v>4440</v>
      </c>
      <c r="B10" s="27" t="s">
        <v>4450</v>
      </c>
      <c r="C10" s="27" t="s">
        <v>4451</v>
      </c>
      <c r="D10" s="27" t="s">
        <v>4452</v>
      </c>
      <c r="E10" s="27" t="s">
        <v>4453</v>
      </c>
      <c r="F10" s="27" t="s">
        <v>4454</v>
      </c>
      <c r="G10" s="27" t="s">
        <v>4149</v>
      </c>
    </row>
    <row r="11" customFormat="false" ht="43.5" hidden="false" customHeight="true" outlineLevel="0" collapsed="false">
      <c r="A11" s="27" t="s">
        <v>4440</v>
      </c>
      <c r="B11" s="27" t="s">
        <v>4455</v>
      </c>
      <c r="C11" s="27" t="s">
        <v>4456</v>
      </c>
      <c r="D11" s="27" t="s">
        <v>4457</v>
      </c>
      <c r="E11" s="27" t="s">
        <v>4458</v>
      </c>
      <c r="F11" s="27" t="s">
        <v>4459</v>
      </c>
      <c r="G11" s="27" t="s">
        <v>3410</v>
      </c>
    </row>
    <row r="12" customFormat="false" ht="43.5" hidden="false" customHeight="true" outlineLevel="0" collapsed="false">
      <c r="A12" s="27" t="s">
        <v>4460</v>
      </c>
      <c r="B12" s="27" t="s">
        <v>4461</v>
      </c>
      <c r="C12" s="27" t="s">
        <v>4462</v>
      </c>
      <c r="D12" s="27" t="s">
        <v>4463</v>
      </c>
      <c r="E12" s="27" t="s">
        <v>4464</v>
      </c>
      <c r="F12" s="27" t="s">
        <v>4465</v>
      </c>
      <c r="G12" s="27" t="s">
        <v>3410</v>
      </c>
    </row>
    <row r="13" customFormat="false" ht="43.5" hidden="false" customHeight="true" outlineLevel="0" collapsed="false">
      <c r="A13" s="27" t="s">
        <v>4460</v>
      </c>
      <c r="B13" s="27" t="s">
        <v>4466</v>
      </c>
      <c r="C13" s="27" t="s">
        <v>4467</v>
      </c>
      <c r="D13" s="27" t="s">
        <v>4463</v>
      </c>
      <c r="E13" s="27" t="s">
        <v>4468</v>
      </c>
      <c r="F13" s="27" t="s">
        <v>4469</v>
      </c>
      <c r="G13" s="27" t="s">
        <v>4177</v>
      </c>
    </row>
    <row r="14" customFormat="false" ht="43.5" hidden="false" customHeight="true" outlineLevel="0" collapsed="false">
      <c r="A14" s="27" t="s">
        <v>4460</v>
      </c>
      <c r="B14" s="27" t="s">
        <v>4470</v>
      </c>
      <c r="C14" s="27" t="s">
        <v>4471</v>
      </c>
      <c r="D14" s="27" t="s">
        <v>4472</v>
      </c>
      <c r="E14" s="27" t="s">
        <v>4473</v>
      </c>
      <c r="F14" s="27" t="s">
        <v>4474</v>
      </c>
      <c r="G14" s="27" t="s">
        <v>4161</v>
      </c>
    </row>
    <row r="15" customFormat="false" ht="43.5" hidden="false" customHeight="true" outlineLevel="0" collapsed="false">
      <c r="A15" s="27" t="s">
        <v>4460</v>
      </c>
      <c r="B15" s="27" t="s">
        <v>4475</v>
      </c>
      <c r="C15" s="27" t="s">
        <v>4476</v>
      </c>
      <c r="D15" s="27" t="s">
        <v>4472</v>
      </c>
      <c r="E15" s="27" t="s">
        <v>4477</v>
      </c>
      <c r="F15" s="27" t="s">
        <v>4474</v>
      </c>
      <c r="G15" s="27" t="s">
        <v>4161</v>
      </c>
    </row>
    <row r="16" customFormat="false" ht="43.5" hidden="false" customHeight="true" outlineLevel="0" collapsed="false">
      <c r="A16" s="27" t="s">
        <v>4460</v>
      </c>
      <c r="B16" s="27" t="s">
        <v>4478</v>
      </c>
      <c r="C16" s="27" t="s">
        <v>4479</v>
      </c>
      <c r="D16" s="27" t="s">
        <v>4472</v>
      </c>
      <c r="E16" s="27" t="s">
        <v>4480</v>
      </c>
      <c r="F16" s="27" t="s">
        <v>4474</v>
      </c>
      <c r="G16" s="27" t="s">
        <v>4161</v>
      </c>
    </row>
    <row r="17" customFormat="false" ht="43.5" hidden="false" customHeight="true" outlineLevel="0" collapsed="false">
      <c r="A17" s="27" t="s">
        <v>3765</v>
      </c>
      <c r="B17" s="27" t="s">
        <v>4481</v>
      </c>
      <c r="C17" s="27" t="s">
        <v>4482</v>
      </c>
      <c r="D17" s="27" t="s">
        <v>4483</v>
      </c>
      <c r="E17" s="27" t="s">
        <v>4484</v>
      </c>
      <c r="F17" s="27" t="s">
        <v>4485</v>
      </c>
      <c r="G17" s="27" t="s">
        <v>3410</v>
      </c>
    </row>
    <row r="18" customFormat="false" ht="43.5" hidden="false" customHeight="true" outlineLevel="0" collapsed="false">
      <c r="A18" s="27" t="s">
        <v>3765</v>
      </c>
      <c r="B18" s="27" t="s">
        <v>4486</v>
      </c>
      <c r="C18" s="27" t="s">
        <v>4487</v>
      </c>
      <c r="D18" s="27" t="s">
        <v>4488</v>
      </c>
      <c r="E18" s="27" t="s">
        <v>4489</v>
      </c>
      <c r="F18" s="27" t="s">
        <v>4490</v>
      </c>
      <c r="G18" s="27" t="s">
        <v>3410</v>
      </c>
    </row>
    <row r="19" customFormat="false" ht="43.5" hidden="false" customHeight="true" outlineLevel="0" collapsed="false">
      <c r="A19" s="27" t="s">
        <v>636</v>
      </c>
      <c r="B19" s="27" t="s">
        <v>4491</v>
      </c>
      <c r="C19" s="27" t="s">
        <v>4492</v>
      </c>
      <c r="D19" s="27" t="s">
        <v>4493</v>
      </c>
      <c r="E19" s="27" t="s">
        <v>4494</v>
      </c>
      <c r="F19" s="27" t="s">
        <v>3813</v>
      </c>
      <c r="G19" s="27" t="s">
        <v>3410</v>
      </c>
    </row>
    <row r="20" customFormat="false" ht="43.5" hidden="false" customHeight="true" outlineLevel="0" collapsed="false">
      <c r="A20" s="27" t="s">
        <v>636</v>
      </c>
      <c r="B20" s="27" t="s">
        <v>4495</v>
      </c>
      <c r="C20" s="27" t="s">
        <v>4496</v>
      </c>
      <c r="D20" s="27" t="s">
        <v>4497</v>
      </c>
      <c r="E20" s="27" t="s">
        <v>4498</v>
      </c>
      <c r="F20" s="27" t="s">
        <v>4499</v>
      </c>
      <c r="G20" s="27" t="s">
        <v>3522</v>
      </c>
    </row>
    <row r="21" customFormat="false" ht="43.5" hidden="false" customHeight="true" outlineLevel="0" collapsed="false">
      <c r="A21" s="27" t="s">
        <v>636</v>
      </c>
      <c r="B21" s="27" t="s">
        <v>4207</v>
      </c>
      <c r="C21" s="27" t="s">
        <v>4500</v>
      </c>
      <c r="D21" s="27" t="s">
        <v>4501</v>
      </c>
      <c r="E21" s="27" t="s">
        <v>4502</v>
      </c>
      <c r="F21" s="27" t="s">
        <v>4503</v>
      </c>
      <c r="G21" s="27" t="s">
        <v>3410</v>
      </c>
    </row>
    <row r="22" customFormat="false" ht="43.5" hidden="false" customHeight="true" outlineLevel="0" collapsed="false">
      <c r="A22" s="27" t="s">
        <v>636</v>
      </c>
      <c r="B22" s="27" t="s">
        <v>4320</v>
      </c>
      <c r="C22" s="27" t="s">
        <v>4504</v>
      </c>
      <c r="D22" s="27" t="s">
        <v>4505</v>
      </c>
      <c r="E22" s="27" t="s">
        <v>4506</v>
      </c>
      <c r="F22" s="27" t="s">
        <v>4433</v>
      </c>
      <c r="G22" s="27" t="s">
        <v>4507</v>
      </c>
    </row>
    <row r="23" customFormat="false" ht="43.5" hidden="false" customHeight="true" outlineLevel="0" collapsed="false">
      <c r="A23" s="27" t="s">
        <v>4508</v>
      </c>
      <c r="B23" s="27" t="s">
        <v>4509</v>
      </c>
      <c r="C23" s="27" t="s">
        <v>4510</v>
      </c>
      <c r="D23" s="27" t="s">
        <v>4511</v>
      </c>
      <c r="E23" s="27" t="s">
        <v>4512</v>
      </c>
      <c r="F23" s="27" t="s">
        <v>4433</v>
      </c>
      <c r="G23" s="27" t="s">
        <v>3410</v>
      </c>
    </row>
    <row r="24" customFormat="false" ht="43.5" hidden="false" customHeight="true" outlineLevel="0" collapsed="false">
      <c r="A24" s="27" t="s">
        <v>4390</v>
      </c>
      <c r="B24" s="27" t="s">
        <v>4396</v>
      </c>
      <c r="C24" s="27" t="s">
        <v>4513</v>
      </c>
      <c r="D24" s="27" t="s">
        <v>4398</v>
      </c>
      <c r="E24" s="27" t="s">
        <v>4514</v>
      </c>
      <c r="F24" s="27" t="s">
        <v>3813</v>
      </c>
      <c r="G24" s="27" t="s">
        <v>3410</v>
      </c>
    </row>
    <row r="25" customFormat="false" ht="43.5" hidden="false" customHeight="true" outlineLevel="0" collapsed="false">
      <c r="A25" s="27" t="s">
        <v>4515</v>
      </c>
      <c r="B25" s="27" t="s">
        <v>4516</v>
      </c>
      <c r="C25" s="27" t="s">
        <v>4517</v>
      </c>
      <c r="D25" s="27" t="s">
        <v>4518</v>
      </c>
      <c r="E25" s="27" t="s">
        <v>4519</v>
      </c>
      <c r="F25" s="27" t="s">
        <v>4433</v>
      </c>
      <c r="G25" s="27" t="s">
        <v>3410</v>
      </c>
    </row>
    <row r="26" customFormat="false" ht="43.5" hidden="false" customHeight="true" outlineLevel="0" collapsed="false">
      <c r="A26" s="27" t="s">
        <v>4515</v>
      </c>
      <c r="B26" s="27" t="s">
        <v>4520</v>
      </c>
      <c r="C26" s="27" t="s">
        <v>4521</v>
      </c>
      <c r="D26" s="27" t="s">
        <v>4522</v>
      </c>
      <c r="E26" s="27" t="s">
        <v>4523</v>
      </c>
      <c r="F26" s="27" t="s">
        <v>4524</v>
      </c>
      <c r="G26" s="27" t="s">
        <v>3410</v>
      </c>
    </row>
    <row r="27" customFormat="false" ht="43.5" hidden="false" customHeight="true" outlineLevel="0" collapsed="false">
      <c r="A27" s="27" t="s">
        <v>4525</v>
      </c>
      <c r="B27" s="27" t="s">
        <v>4526</v>
      </c>
      <c r="C27" s="27" t="s">
        <v>4527</v>
      </c>
      <c r="D27" s="27" t="s">
        <v>4528</v>
      </c>
      <c r="E27" s="27" t="s">
        <v>4529</v>
      </c>
      <c r="F27" s="27" t="s">
        <v>4530</v>
      </c>
      <c r="G27" s="27" t="s">
        <v>4149</v>
      </c>
    </row>
    <row r="28" customFormat="false" ht="39.75" hidden="false" customHeight="true" outlineLevel="0" collapsed="false">
      <c r="A28" s="27"/>
      <c r="B28" s="27"/>
      <c r="C28" s="27"/>
      <c r="D28" s="27"/>
      <c r="E28" s="27"/>
      <c r="F28" s="27"/>
      <c r="G28" s="27"/>
    </row>
    <row r="29" customFormat="false" ht="43.5" hidden="false" customHeight="true" outlineLevel="0" collapsed="false">
      <c r="A29" s="41" t="s">
        <v>4531</v>
      </c>
      <c r="B29" s="41"/>
      <c r="C29" s="41"/>
      <c r="D29" s="41"/>
      <c r="E29" s="41"/>
      <c r="F29" s="41"/>
      <c r="G29" s="41"/>
    </row>
    <row r="30" customFormat="false" ht="60" hidden="false" customHeight="true" outlineLevel="0" collapsed="false">
      <c r="A30" s="27" t="s">
        <v>3207</v>
      </c>
      <c r="B30" s="41" t="s">
        <v>3208</v>
      </c>
      <c r="C30" s="41"/>
      <c r="D30" s="41"/>
      <c r="E30" s="41"/>
      <c r="F30" s="41"/>
      <c r="G30" s="27" t="s">
        <v>3209</v>
      </c>
    </row>
    <row r="31" customFormat="false" ht="60" hidden="false" customHeight="true" outlineLevel="0" collapsed="false">
      <c r="A31" s="27" t="s">
        <v>3210</v>
      </c>
      <c r="B31" s="41" t="s">
        <v>3211</v>
      </c>
      <c r="C31" s="41"/>
      <c r="D31" s="41"/>
      <c r="E31" s="41"/>
      <c r="F31" s="41"/>
      <c r="G31" s="27" t="s">
        <v>3212</v>
      </c>
    </row>
    <row r="32" customFormat="false" ht="60" hidden="false" customHeight="true" outlineLevel="0" collapsed="false">
      <c r="A32" s="27" t="s">
        <v>3213</v>
      </c>
      <c r="B32" s="41" t="s">
        <v>3214</v>
      </c>
      <c r="C32" s="41"/>
      <c r="D32" s="41"/>
      <c r="E32" s="41"/>
      <c r="F32" s="41"/>
      <c r="G32" s="27" t="s">
        <v>3215</v>
      </c>
    </row>
    <row r="33" customFormat="false" ht="60" hidden="false" customHeight="true" outlineLevel="0" collapsed="false">
      <c r="A33" s="27" t="s">
        <v>3216</v>
      </c>
      <c r="B33" s="41" t="s">
        <v>3217</v>
      </c>
      <c r="C33" s="41"/>
      <c r="D33" s="41"/>
      <c r="E33" s="41"/>
      <c r="F33" s="41"/>
      <c r="G33" s="27" t="s">
        <v>3218</v>
      </c>
    </row>
    <row r="34" customFormat="false" ht="60" hidden="false" customHeight="true" outlineLevel="0" collapsed="false">
      <c r="A34" s="27" t="s">
        <v>3219</v>
      </c>
      <c r="B34" s="41" t="s">
        <v>3220</v>
      </c>
      <c r="C34" s="41"/>
      <c r="D34" s="41"/>
      <c r="E34" s="41"/>
      <c r="F34" s="41"/>
      <c r="G34" s="27" t="s">
        <v>3221</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4532</v>
      </c>
      <c r="B1" s="42"/>
      <c r="C1" s="42"/>
      <c r="D1" s="42"/>
      <c r="E1" s="42"/>
      <c r="F1" s="42"/>
      <c r="G1" s="42"/>
    </row>
    <row r="2" customFormat="false" ht="31.5" hidden="false" customHeight="true" outlineLevel="0" collapsed="false">
      <c r="A2" s="43" t="s">
        <v>3512</v>
      </c>
      <c r="B2" s="43" t="s">
        <v>4025</v>
      </c>
      <c r="C2" s="43" t="s">
        <v>4533</v>
      </c>
      <c r="D2" s="43" t="s">
        <v>4327</v>
      </c>
      <c r="E2" s="43" t="s">
        <v>4328</v>
      </c>
      <c r="F2" s="43" t="s">
        <v>4029</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4440</v>
      </c>
      <c r="B4" s="27" t="s">
        <v>4534</v>
      </c>
      <c r="C4" s="27" t="s">
        <v>4535</v>
      </c>
      <c r="D4" s="27" t="s">
        <v>4443</v>
      </c>
      <c r="E4" s="27" t="s">
        <v>4536</v>
      </c>
      <c r="F4" s="27" t="s">
        <v>4537</v>
      </c>
      <c r="G4" s="27" t="s">
        <v>3394</v>
      </c>
    </row>
    <row r="5" customFormat="false" ht="43.5" hidden="false" customHeight="true" outlineLevel="0" collapsed="false">
      <c r="A5" s="27" t="s">
        <v>4440</v>
      </c>
      <c r="B5" s="27" t="s">
        <v>4538</v>
      </c>
      <c r="C5" s="27" t="s">
        <v>4539</v>
      </c>
      <c r="D5" s="27" t="s">
        <v>4540</v>
      </c>
      <c r="E5" s="27" t="s">
        <v>4541</v>
      </c>
      <c r="F5" s="27" t="s">
        <v>4542</v>
      </c>
      <c r="G5" s="27" t="s">
        <v>4543</v>
      </c>
    </row>
    <row r="6" customFormat="false" ht="43.5" hidden="false" customHeight="true" outlineLevel="0" collapsed="false">
      <c r="A6" s="27" t="s">
        <v>3765</v>
      </c>
      <c r="B6" s="27" t="s">
        <v>4544</v>
      </c>
      <c r="C6" s="27" t="s">
        <v>4545</v>
      </c>
      <c r="D6" s="27" t="s">
        <v>4546</v>
      </c>
      <c r="E6" s="27" t="s">
        <v>4547</v>
      </c>
      <c r="F6" s="27" t="s">
        <v>4548</v>
      </c>
      <c r="G6" s="27" t="s">
        <v>3394</v>
      </c>
    </row>
    <row r="7" customFormat="false" ht="43.5" hidden="false" customHeight="true" outlineLevel="0" collapsed="false">
      <c r="A7" s="27" t="s">
        <v>3771</v>
      </c>
      <c r="B7" s="27" t="s">
        <v>4549</v>
      </c>
      <c r="C7" s="27" t="s">
        <v>4550</v>
      </c>
      <c r="D7" s="27" t="s">
        <v>4551</v>
      </c>
      <c r="E7" s="27" t="s">
        <v>4552</v>
      </c>
      <c r="F7" s="27" t="s">
        <v>4553</v>
      </c>
      <c r="G7" s="27" t="s">
        <v>4434</v>
      </c>
    </row>
    <row r="8" customFormat="false" ht="43.5" hidden="false" customHeight="true" outlineLevel="0" collapsed="false">
      <c r="A8" s="27" t="s">
        <v>3771</v>
      </c>
      <c r="B8" s="27" t="s">
        <v>4554</v>
      </c>
      <c r="C8" s="27" t="s">
        <v>4555</v>
      </c>
      <c r="D8" s="27" t="s">
        <v>4556</v>
      </c>
      <c r="E8" s="27" t="s">
        <v>4557</v>
      </c>
      <c r="F8" s="27" t="s">
        <v>4558</v>
      </c>
      <c r="G8" s="27" t="s">
        <v>4177</v>
      </c>
    </row>
    <row r="9" customFormat="false" ht="43.5" hidden="false" customHeight="true" outlineLevel="0" collapsed="false">
      <c r="A9" s="27" t="s">
        <v>4559</v>
      </c>
      <c r="B9" s="27" t="s">
        <v>4560</v>
      </c>
      <c r="C9" s="27" t="s">
        <v>4561</v>
      </c>
      <c r="D9" s="27" t="s">
        <v>4562</v>
      </c>
      <c r="E9" s="27" t="s">
        <v>4563</v>
      </c>
      <c r="F9" s="27" t="s">
        <v>4564</v>
      </c>
      <c r="G9" s="27" t="s">
        <v>4565</v>
      </c>
    </row>
    <row r="10" customFormat="false" ht="43.5" hidden="false" customHeight="true" outlineLevel="0" collapsed="false">
      <c r="A10" s="27" t="s">
        <v>3556</v>
      </c>
      <c r="B10" s="27" t="s">
        <v>4566</v>
      </c>
      <c r="C10" s="27" t="s">
        <v>4567</v>
      </c>
      <c r="D10" s="27" t="s">
        <v>4568</v>
      </c>
      <c r="E10" s="27" t="s">
        <v>4569</v>
      </c>
      <c r="F10" s="27" t="s">
        <v>4570</v>
      </c>
      <c r="G10" s="27" t="s">
        <v>3522</v>
      </c>
    </row>
    <row r="11" customFormat="false" ht="43.5" hidden="false" customHeight="true" outlineLevel="0" collapsed="false">
      <c r="A11" s="27" t="s">
        <v>3556</v>
      </c>
      <c r="B11" s="27" t="s">
        <v>4571</v>
      </c>
      <c r="C11" s="27" t="s">
        <v>4572</v>
      </c>
      <c r="D11" s="27" t="s">
        <v>4573</v>
      </c>
      <c r="E11" s="27" t="s">
        <v>4574</v>
      </c>
      <c r="F11" s="27" t="s">
        <v>4575</v>
      </c>
      <c r="G11" s="27" t="s">
        <v>3410</v>
      </c>
    </row>
    <row r="12" customFormat="false" ht="43.5" hidden="false" customHeight="true" outlineLevel="0" collapsed="false">
      <c r="A12" s="27" t="s">
        <v>92</v>
      </c>
      <c r="B12" s="27" t="s">
        <v>4576</v>
      </c>
      <c r="C12" s="27" t="s">
        <v>4577</v>
      </c>
      <c r="D12" s="27" t="s">
        <v>4578</v>
      </c>
      <c r="E12" s="27" t="s">
        <v>4579</v>
      </c>
      <c r="F12" s="27" t="s">
        <v>4433</v>
      </c>
      <c r="G12" s="27" t="s">
        <v>3410</v>
      </c>
    </row>
    <row r="13" customFormat="false" ht="43.5" hidden="false" customHeight="true" outlineLevel="0" collapsed="false">
      <c r="A13" s="27" t="s">
        <v>92</v>
      </c>
      <c r="B13" s="27" t="s">
        <v>4580</v>
      </c>
      <c r="C13" s="27" t="s">
        <v>4581</v>
      </c>
      <c r="D13" s="27" t="s">
        <v>4582</v>
      </c>
      <c r="E13" s="27" t="s">
        <v>4583</v>
      </c>
      <c r="F13" s="27" t="s">
        <v>4433</v>
      </c>
      <c r="G13" s="27" t="s">
        <v>4584</v>
      </c>
    </row>
    <row r="14" customFormat="false" ht="43.5" hidden="false" customHeight="true" outlineLevel="0" collapsed="false">
      <c r="A14" s="27" t="s">
        <v>92</v>
      </c>
      <c r="B14" s="27" t="s">
        <v>4585</v>
      </c>
      <c r="C14" s="27" t="s">
        <v>4586</v>
      </c>
      <c r="D14" s="27" t="s">
        <v>4587</v>
      </c>
      <c r="E14" s="27" t="s">
        <v>4588</v>
      </c>
      <c r="F14" s="27" t="s">
        <v>4589</v>
      </c>
      <c r="G14" s="27" t="s">
        <v>3410</v>
      </c>
    </row>
    <row r="15" customFormat="false" ht="43.5" hidden="false" customHeight="true" outlineLevel="0" collapsed="false">
      <c r="A15" s="27" t="s">
        <v>4590</v>
      </c>
      <c r="B15" s="27" t="s">
        <v>4591</v>
      </c>
      <c r="C15" s="27" t="s">
        <v>4592</v>
      </c>
      <c r="D15" s="27" t="s">
        <v>4593</v>
      </c>
      <c r="E15" s="27" t="s">
        <v>4594</v>
      </c>
      <c r="F15" s="27" t="s">
        <v>4595</v>
      </c>
      <c r="G15" s="27" t="s">
        <v>4177</v>
      </c>
    </row>
    <row r="16" customFormat="false" ht="43.5" hidden="false" customHeight="true" outlineLevel="0" collapsed="false">
      <c r="A16" s="27" t="s">
        <v>4508</v>
      </c>
      <c r="B16" s="27" t="s">
        <v>4509</v>
      </c>
      <c r="C16" s="27" t="s">
        <v>4596</v>
      </c>
      <c r="D16" s="27" t="s">
        <v>4511</v>
      </c>
      <c r="E16" s="27" t="s">
        <v>4597</v>
      </c>
      <c r="F16" s="27" t="s">
        <v>4433</v>
      </c>
      <c r="G16" s="27" t="s">
        <v>3410</v>
      </c>
    </row>
    <row r="17" customFormat="false" ht="43.5" hidden="false" customHeight="true" outlineLevel="0" collapsed="false">
      <c r="A17" s="27" t="s">
        <v>4515</v>
      </c>
      <c r="B17" s="27" t="s">
        <v>4598</v>
      </c>
      <c r="C17" s="27" t="s">
        <v>4599</v>
      </c>
      <c r="D17" s="27" t="s">
        <v>4600</v>
      </c>
      <c r="E17" s="27" t="s">
        <v>4601</v>
      </c>
      <c r="F17" s="27" t="s">
        <v>4433</v>
      </c>
      <c r="G17" s="27" t="s">
        <v>3410</v>
      </c>
    </row>
    <row r="18" customFormat="false" ht="43.5" hidden="false" customHeight="true" outlineLevel="0" collapsed="false">
      <c r="A18" s="27" t="s">
        <v>4515</v>
      </c>
      <c r="B18" s="27" t="s">
        <v>4602</v>
      </c>
      <c r="C18" s="27" t="s">
        <v>4603</v>
      </c>
      <c r="D18" s="27" t="s">
        <v>4604</v>
      </c>
      <c r="E18" s="27" t="s">
        <v>4605</v>
      </c>
      <c r="F18" s="27" t="s">
        <v>4433</v>
      </c>
      <c r="G18" s="27" t="s">
        <v>3410</v>
      </c>
    </row>
    <row r="19" customFormat="false" ht="43.5" hidden="false" customHeight="true" outlineLevel="0" collapsed="false">
      <c r="A19" s="27" t="s">
        <v>4515</v>
      </c>
      <c r="B19" s="27" t="s">
        <v>4606</v>
      </c>
      <c r="C19" s="27" t="s">
        <v>4607</v>
      </c>
      <c r="D19" s="27" t="s">
        <v>4608</v>
      </c>
      <c r="E19" s="27" t="s">
        <v>4609</v>
      </c>
      <c r="F19" s="27" t="s">
        <v>4433</v>
      </c>
      <c r="G19" s="27" t="s">
        <v>3410</v>
      </c>
    </row>
    <row r="20" customFormat="false" ht="43.5" hidden="false" customHeight="true" outlineLevel="0" collapsed="false">
      <c r="A20" s="27" t="s">
        <v>3541</v>
      </c>
      <c r="B20" s="27" t="s">
        <v>4610</v>
      </c>
      <c r="C20" s="27" t="s">
        <v>4611</v>
      </c>
      <c r="D20" s="27" t="s">
        <v>4612</v>
      </c>
      <c r="E20" s="27" t="s">
        <v>4613</v>
      </c>
      <c r="F20" s="27" t="s">
        <v>3813</v>
      </c>
      <c r="G20" s="27" t="s">
        <v>3410</v>
      </c>
    </row>
    <row r="21" customFormat="false" ht="43.5" hidden="false" customHeight="true" outlineLevel="0" collapsed="false">
      <c r="A21" s="27" t="s">
        <v>3541</v>
      </c>
      <c r="B21" s="27" t="s">
        <v>4614</v>
      </c>
      <c r="C21" s="27" t="s">
        <v>4615</v>
      </c>
      <c r="D21" s="27" t="s">
        <v>4612</v>
      </c>
      <c r="E21" s="27" t="s">
        <v>4616</v>
      </c>
      <c r="F21" s="27" t="s">
        <v>4617</v>
      </c>
      <c r="G21" s="27" t="s">
        <v>3410</v>
      </c>
    </row>
    <row r="22" customFormat="false" ht="43.5" hidden="false" customHeight="true" outlineLevel="0" collapsed="false">
      <c r="A22" s="27" t="s">
        <v>4525</v>
      </c>
      <c r="B22" s="27" t="s">
        <v>4526</v>
      </c>
      <c r="C22" s="27" t="s">
        <v>4618</v>
      </c>
      <c r="D22" s="27" t="s">
        <v>4528</v>
      </c>
      <c r="E22" s="27" t="s">
        <v>4619</v>
      </c>
      <c r="F22" s="27" t="s">
        <v>4530</v>
      </c>
      <c r="G22" s="27" t="s">
        <v>4149</v>
      </c>
    </row>
    <row r="23" customFormat="false" ht="43.5" hidden="false" customHeight="true" outlineLevel="0" collapsed="false">
      <c r="A23" s="27"/>
      <c r="B23" s="27"/>
      <c r="C23" s="27"/>
      <c r="D23" s="27"/>
      <c r="E23" s="27"/>
      <c r="F23" s="27"/>
      <c r="G23" s="27"/>
    </row>
    <row r="24" customFormat="false" ht="43.5" hidden="false" customHeight="true" outlineLevel="0" collapsed="false">
      <c r="A24" s="27" t="s">
        <v>4620</v>
      </c>
      <c r="B24" s="27"/>
      <c r="C24" s="27"/>
      <c r="D24" s="27"/>
      <c r="E24" s="27"/>
      <c r="F24" s="27"/>
      <c r="G24" s="27"/>
    </row>
    <row r="25" customFormat="false" ht="27.75" hidden="false" customHeight="true" outlineLevel="0" collapsed="false">
      <c r="A25" s="27" t="s">
        <v>3222</v>
      </c>
      <c r="B25" s="44" t="s">
        <v>3223</v>
      </c>
      <c r="C25" s="44"/>
      <c r="D25" s="44"/>
      <c r="E25" s="44"/>
      <c r="F25" s="44"/>
      <c r="G25" s="27" t="s">
        <v>3224</v>
      </c>
    </row>
    <row r="26" customFormat="false" ht="27.75" hidden="false" customHeight="true" outlineLevel="0" collapsed="false">
      <c r="A26" s="27" t="s">
        <v>3225</v>
      </c>
      <c r="B26" s="44" t="s">
        <v>3226</v>
      </c>
      <c r="C26" s="44"/>
      <c r="D26" s="44"/>
      <c r="E26" s="44"/>
      <c r="F26" s="44"/>
      <c r="G26" s="27" t="s">
        <v>3224</v>
      </c>
    </row>
    <row r="27" customFormat="false" ht="41.25" hidden="false" customHeight="true" outlineLevel="0" collapsed="false">
      <c r="A27" s="27" t="s">
        <v>3227</v>
      </c>
      <c r="B27" s="44" t="s">
        <v>3228</v>
      </c>
      <c r="C27" s="44"/>
      <c r="D27" s="44"/>
      <c r="E27" s="44"/>
      <c r="F27" s="44"/>
      <c r="G27" s="27" t="s">
        <v>3229</v>
      </c>
    </row>
    <row r="28" customFormat="false" ht="27.75" hidden="false" customHeight="true" outlineLevel="0" collapsed="false">
      <c r="A28" s="27" t="s">
        <v>3230</v>
      </c>
      <c r="B28" s="44" t="s">
        <v>3231</v>
      </c>
      <c r="C28" s="44"/>
      <c r="D28" s="44"/>
      <c r="E28" s="44"/>
      <c r="F28" s="44"/>
      <c r="G28" s="27" t="s">
        <v>3232</v>
      </c>
    </row>
    <row r="29" customFormat="false" ht="41.25" hidden="false" customHeight="true" outlineLevel="0" collapsed="false">
      <c r="A29" s="27" t="s">
        <v>3233</v>
      </c>
      <c r="B29" s="44" t="s">
        <v>3234</v>
      </c>
      <c r="C29" s="44"/>
      <c r="D29" s="44"/>
      <c r="E29" s="44"/>
      <c r="F29" s="44"/>
      <c r="G29" s="1" t="s">
        <v>3235</v>
      </c>
    </row>
    <row r="30" customFormat="false" ht="41.25" hidden="false" customHeight="true" outlineLevel="0" collapsed="false">
      <c r="A30" s="27" t="s">
        <v>3236</v>
      </c>
      <c r="B30" s="44" t="s">
        <v>3237</v>
      </c>
      <c r="C30" s="44"/>
      <c r="D30" s="44"/>
      <c r="E30" s="44"/>
      <c r="F30" s="44"/>
      <c r="G30" s="27" t="s">
        <v>4621</v>
      </c>
    </row>
    <row r="31" customFormat="false" ht="27.75" hidden="false" customHeight="true" outlineLevel="0" collapsed="false">
      <c r="A31" s="27" t="s">
        <v>3239</v>
      </c>
      <c r="B31" s="44" t="s">
        <v>3240</v>
      </c>
      <c r="C31" s="44"/>
      <c r="D31" s="44"/>
      <c r="E31" s="44"/>
      <c r="F31" s="44"/>
      <c r="G31" s="27" t="s">
        <v>4622</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2" t="s">
        <v>4623</v>
      </c>
      <c r="B1" s="42"/>
      <c r="C1" s="42"/>
      <c r="D1" s="42"/>
      <c r="E1" s="42"/>
      <c r="F1" s="42"/>
      <c r="G1" s="42"/>
    </row>
    <row r="2" customFormat="false" ht="31.5" hidden="false" customHeight="true" outlineLevel="0" collapsed="false">
      <c r="A2" s="43" t="s">
        <v>3512</v>
      </c>
      <c r="B2" s="43" t="s">
        <v>4025</v>
      </c>
      <c r="C2" s="43" t="s">
        <v>4624</v>
      </c>
      <c r="D2" s="43" t="s">
        <v>4327</v>
      </c>
      <c r="E2" s="43" t="s">
        <v>4328</v>
      </c>
      <c r="F2" s="43" t="s">
        <v>4029</v>
      </c>
      <c r="G2" s="43" t="s">
        <v>2</v>
      </c>
    </row>
    <row r="3" customFormat="false" ht="39.75" hidden="false" customHeight="true" outlineLevel="0" collapsed="false">
      <c r="A3" s="27"/>
      <c r="B3" s="27"/>
      <c r="C3" s="27"/>
      <c r="D3" s="27"/>
      <c r="E3" s="27"/>
      <c r="F3" s="27"/>
      <c r="G3" s="27"/>
    </row>
    <row r="4" customFormat="false" ht="43.5" hidden="false" customHeight="true" outlineLevel="0" collapsed="false">
      <c r="A4" s="27" t="s">
        <v>4625</v>
      </c>
      <c r="B4" s="27" t="s">
        <v>4626</v>
      </c>
      <c r="C4" s="27" t="s">
        <v>4627</v>
      </c>
      <c r="D4" s="27" t="s">
        <v>4628</v>
      </c>
      <c r="E4" s="27" t="s">
        <v>4629</v>
      </c>
      <c r="F4" s="27" t="s">
        <v>4630</v>
      </c>
      <c r="G4" s="27" t="s">
        <v>4631</v>
      </c>
    </row>
    <row r="5" customFormat="false" ht="43.5" hidden="false" customHeight="true" outlineLevel="0" collapsed="false">
      <c r="A5" s="27" t="s">
        <v>4625</v>
      </c>
      <c r="B5" s="27" t="s">
        <v>4632</v>
      </c>
      <c r="C5" s="27" t="s">
        <v>4633</v>
      </c>
      <c r="D5" s="27" t="s">
        <v>4634</v>
      </c>
      <c r="E5" s="27" t="s">
        <v>4635</v>
      </c>
      <c r="F5" s="27" t="s">
        <v>4636</v>
      </c>
      <c r="G5" s="27" t="s">
        <v>4631</v>
      </c>
    </row>
    <row r="6" customFormat="false" ht="43.5" hidden="false" customHeight="true" outlineLevel="0" collapsed="false">
      <c r="A6" s="27" t="s">
        <v>4360</v>
      </c>
      <c r="B6" s="27" t="s">
        <v>4637</v>
      </c>
      <c r="C6" s="27" t="s">
        <v>4638</v>
      </c>
      <c r="D6" s="27" t="s">
        <v>4639</v>
      </c>
      <c r="E6" s="27" t="s">
        <v>4640</v>
      </c>
      <c r="F6" s="27" t="s">
        <v>4641</v>
      </c>
      <c r="G6" s="27" t="s">
        <v>4642</v>
      </c>
    </row>
    <row r="7" customFormat="false" ht="43.5" hidden="false" customHeight="true" outlineLevel="0" collapsed="false">
      <c r="A7" s="27" t="s">
        <v>4643</v>
      </c>
      <c r="B7" s="27" t="s">
        <v>4005</v>
      </c>
      <c r="C7" s="27" t="s">
        <v>4644</v>
      </c>
      <c r="D7" s="27" t="s">
        <v>4645</v>
      </c>
      <c r="E7" s="27" t="s">
        <v>4646</v>
      </c>
      <c r="F7" s="27" t="s">
        <v>4647</v>
      </c>
      <c r="G7" s="27" t="s">
        <v>4648</v>
      </c>
    </row>
    <row r="8" customFormat="false" ht="43.5" hidden="false" customHeight="true" outlineLevel="0" collapsed="false">
      <c r="A8" s="27" t="s">
        <v>1263</v>
      </c>
      <c r="B8" s="27" t="s">
        <v>4649</v>
      </c>
      <c r="C8" s="27" t="s">
        <v>4567</v>
      </c>
      <c r="D8" s="27" t="s">
        <v>4650</v>
      </c>
      <c r="E8" s="27" t="s">
        <v>4651</v>
      </c>
      <c r="F8" s="27" t="s">
        <v>4652</v>
      </c>
      <c r="G8" s="27" t="s">
        <v>4653</v>
      </c>
    </row>
    <row r="9" customFormat="false" ht="43.5" hidden="false" customHeight="true" outlineLevel="0" collapsed="false">
      <c r="A9" s="27" t="s">
        <v>1516</v>
      </c>
      <c r="B9" s="27" t="s">
        <v>4566</v>
      </c>
      <c r="C9" s="27" t="s">
        <v>4654</v>
      </c>
      <c r="D9" s="27" t="s">
        <v>4655</v>
      </c>
      <c r="E9" s="27" t="s">
        <v>4656</v>
      </c>
      <c r="F9" s="27" t="s">
        <v>4657</v>
      </c>
      <c r="G9" s="27" t="s">
        <v>4658</v>
      </c>
    </row>
    <row r="10" customFormat="false" ht="43.5" hidden="false" customHeight="true" outlineLevel="0" collapsed="false">
      <c r="A10" s="27" t="s">
        <v>4659</v>
      </c>
      <c r="B10" s="27" t="s">
        <v>4660</v>
      </c>
      <c r="C10" s="27" t="s">
        <v>4661</v>
      </c>
      <c r="D10" s="27" t="s">
        <v>4662</v>
      </c>
      <c r="E10" s="27" t="s">
        <v>4663</v>
      </c>
      <c r="F10" s="27" t="s">
        <v>4664</v>
      </c>
      <c r="G10" s="27" t="s">
        <v>4665</v>
      </c>
    </row>
    <row r="11" customFormat="false" ht="43.5" hidden="false" customHeight="true" outlineLevel="0" collapsed="false">
      <c r="A11" s="27" t="s">
        <v>4659</v>
      </c>
      <c r="B11" s="27" t="s">
        <v>4666</v>
      </c>
      <c r="C11" s="27" t="s">
        <v>4667</v>
      </c>
      <c r="D11" s="27" t="s">
        <v>4668</v>
      </c>
      <c r="E11" s="27" t="s">
        <v>4669</v>
      </c>
      <c r="F11" s="27" t="s">
        <v>4670</v>
      </c>
      <c r="G11" s="27" t="s">
        <v>4671</v>
      </c>
    </row>
    <row r="12" customFormat="false" ht="43.5" hidden="false" customHeight="true" outlineLevel="0" collapsed="false">
      <c r="A12" s="27" t="s">
        <v>4390</v>
      </c>
      <c r="B12" s="27" t="s">
        <v>4672</v>
      </c>
      <c r="C12" s="27" t="s">
        <v>4673</v>
      </c>
      <c r="D12" s="27" t="s">
        <v>4668</v>
      </c>
      <c r="E12" s="27" t="s">
        <v>4674</v>
      </c>
      <c r="F12" s="27" t="s">
        <v>4670</v>
      </c>
      <c r="G12" s="27" t="s">
        <v>4671</v>
      </c>
    </row>
    <row r="13" customFormat="false" ht="43.5" hidden="false" customHeight="true" outlineLevel="0" collapsed="false">
      <c r="A13" s="27" t="s">
        <v>3630</v>
      </c>
      <c r="B13" s="27" t="s">
        <v>4675</v>
      </c>
      <c r="C13" s="27" t="s">
        <v>4676</v>
      </c>
      <c r="D13" s="27" t="s">
        <v>4677</v>
      </c>
      <c r="E13" s="27" t="s">
        <v>4678</v>
      </c>
      <c r="F13" s="27" t="s">
        <v>3698</v>
      </c>
      <c r="G13" s="27" t="s">
        <v>4565</v>
      </c>
    </row>
    <row r="14" customFormat="false" ht="43.5" hidden="false" customHeight="true" outlineLevel="0" collapsed="false">
      <c r="A14" s="27" t="s">
        <v>3630</v>
      </c>
      <c r="B14" s="27" t="s">
        <v>4207</v>
      </c>
      <c r="C14" s="27" t="s">
        <v>4679</v>
      </c>
      <c r="D14" s="27" t="s">
        <v>4680</v>
      </c>
      <c r="E14" s="27" t="s">
        <v>4681</v>
      </c>
      <c r="F14" s="27" t="s">
        <v>4098</v>
      </c>
      <c r="G14" s="27" t="s">
        <v>4682</v>
      </c>
    </row>
    <row r="15" customFormat="false" ht="43.5" hidden="false" customHeight="true" outlineLevel="0" collapsed="false">
      <c r="A15" s="27" t="s">
        <v>3630</v>
      </c>
      <c r="B15" s="27" t="s">
        <v>4683</v>
      </c>
      <c r="C15" s="27" t="s">
        <v>4684</v>
      </c>
      <c r="D15" s="27" t="s">
        <v>4685</v>
      </c>
      <c r="E15" s="27" t="s">
        <v>4686</v>
      </c>
      <c r="F15" s="27" t="s">
        <v>4098</v>
      </c>
      <c r="G15" s="27" t="s">
        <v>4682</v>
      </c>
    </row>
    <row r="16" customFormat="false" ht="43.5" hidden="false" customHeight="true" outlineLevel="0" collapsed="false">
      <c r="A16" s="27" t="s">
        <v>3630</v>
      </c>
      <c r="B16" s="27" t="s">
        <v>4167</v>
      </c>
      <c r="C16" s="27" t="s">
        <v>4687</v>
      </c>
      <c r="D16" s="27" t="s">
        <v>4688</v>
      </c>
      <c r="E16" s="27" t="s">
        <v>4689</v>
      </c>
      <c r="F16" s="27" t="s">
        <v>4098</v>
      </c>
      <c r="G16" s="27" t="s">
        <v>4682</v>
      </c>
    </row>
    <row r="17" customFormat="false" ht="43.5" hidden="false" customHeight="true" outlineLevel="0" collapsed="false">
      <c r="A17" s="27" t="s">
        <v>3630</v>
      </c>
      <c r="B17" s="27" t="s">
        <v>4690</v>
      </c>
      <c r="C17" s="27" t="s">
        <v>4691</v>
      </c>
      <c r="D17" s="27" t="s">
        <v>4692</v>
      </c>
      <c r="E17" s="27" t="s">
        <v>4693</v>
      </c>
      <c r="F17" s="27" t="s">
        <v>4098</v>
      </c>
      <c r="G17" s="27" t="s">
        <v>4682</v>
      </c>
    </row>
    <row r="18" customFormat="false" ht="43.5" hidden="false" customHeight="true" outlineLevel="0" collapsed="false">
      <c r="A18" s="27" t="s">
        <v>3630</v>
      </c>
      <c r="B18" s="27" t="s">
        <v>4694</v>
      </c>
      <c r="C18" s="27" t="s">
        <v>4695</v>
      </c>
      <c r="D18" s="27" t="s">
        <v>4696</v>
      </c>
      <c r="E18" s="27" t="s">
        <v>4697</v>
      </c>
      <c r="F18" s="27" t="s">
        <v>4698</v>
      </c>
      <c r="G18" s="27" t="s">
        <v>4682</v>
      </c>
    </row>
    <row r="19" customFormat="false" ht="43.5" hidden="false" customHeight="true" outlineLevel="0" collapsed="false">
      <c r="A19" s="27" t="s">
        <v>4515</v>
      </c>
      <c r="B19" s="27" t="s">
        <v>4699</v>
      </c>
      <c r="C19" s="27" t="s">
        <v>4700</v>
      </c>
      <c r="D19" s="27" t="s">
        <v>4701</v>
      </c>
      <c r="E19" s="27" t="s">
        <v>4702</v>
      </c>
      <c r="F19" s="27" t="s">
        <v>4703</v>
      </c>
      <c r="G19" s="27" t="s">
        <v>3410</v>
      </c>
    </row>
    <row r="20" customFormat="false" ht="43.5" hidden="false" customHeight="true" outlineLevel="0" collapsed="false">
      <c r="A20" s="27" t="s">
        <v>4515</v>
      </c>
      <c r="B20" s="27" t="s">
        <v>4704</v>
      </c>
      <c r="C20" s="27" t="s">
        <v>4705</v>
      </c>
      <c r="D20" s="27" t="s">
        <v>4706</v>
      </c>
      <c r="E20" s="27" t="s">
        <v>4707</v>
      </c>
      <c r="F20" s="27" t="s">
        <v>4708</v>
      </c>
      <c r="G20" s="27" t="s">
        <v>3410</v>
      </c>
    </row>
    <row r="21" customFormat="false" ht="43.5" hidden="false" customHeight="true" outlineLevel="0" collapsed="false">
      <c r="A21" s="27" t="s">
        <v>4709</v>
      </c>
      <c r="B21" s="27" t="s">
        <v>4710</v>
      </c>
      <c r="C21" s="27" t="s">
        <v>4711</v>
      </c>
      <c r="D21" s="27" t="s">
        <v>4712</v>
      </c>
      <c r="E21" s="27" t="s">
        <v>4713</v>
      </c>
      <c r="F21" s="27" t="s">
        <v>4670</v>
      </c>
      <c r="G21" s="27" t="s">
        <v>3410</v>
      </c>
    </row>
    <row r="22" customFormat="false" ht="43.5" hidden="false" customHeight="true" outlineLevel="0" collapsed="false">
      <c r="A22" s="27" t="s">
        <v>4525</v>
      </c>
      <c r="B22" s="27" t="s">
        <v>4714</v>
      </c>
      <c r="C22" s="27" t="s">
        <v>4715</v>
      </c>
      <c r="D22" s="27" t="s">
        <v>4716</v>
      </c>
      <c r="E22" s="27" t="s">
        <v>4717</v>
      </c>
      <c r="F22" s="27" t="s">
        <v>4718</v>
      </c>
      <c r="G22" s="27" t="s">
        <v>4719</v>
      </c>
    </row>
    <row r="23" customFormat="false" ht="43.5" hidden="false" customHeight="true" outlineLevel="0" collapsed="false">
      <c r="A23" s="27" t="s">
        <v>4525</v>
      </c>
      <c r="B23" s="27" t="s">
        <v>4720</v>
      </c>
      <c r="C23" s="27" t="s">
        <v>4721</v>
      </c>
      <c r="D23" s="27" t="s">
        <v>4722</v>
      </c>
      <c r="E23" s="27" t="s">
        <v>4723</v>
      </c>
      <c r="F23" s="27" t="s">
        <v>4724</v>
      </c>
      <c r="G23" s="27" t="s">
        <v>4149</v>
      </c>
    </row>
    <row r="24" customFormat="false" ht="43.5" hidden="false" customHeight="true" outlineLevel="0" collapsed="false">
      <c r="A24" s="27"/>
      <c r="B24" s="27"/>
      <c r="C24" s="27"/>
      <c r="D24" s="27"/>
      <c r="E24" s="27"/>
      <c r="F24" s="27"/>
      <c r="G24" s="27"/>
    </row>
    <row r="25" customFormat="false" ht="27.75" hidden="false" customHeight="true" outlineLevel="0" collapsed="false">
      <c r="A25" s="27" t="s">
        <v>4725</v>
      </c>
      <c r="B25" s="33"/>
      <c r="G25" s="27"/>
    </row>
    <row r="26" customFormat="false" ht="42" hidden="false" customHeight="true" outlineLevel="0" collapsed="false">
      <c r="A26" s="27" t="s">
        <v>3242</v>
      </c>
      <c r="B26" s="44" t="s">
        <v>3243</v>
      </c>
      <c r="C26" s="44"/>
      <c r="D26" s="44"/>
      <c r="E26" s="44"/>
      <c r="F26" s="44"/>
      <c r="G26" s="27" t="s">
        <v>3244</v>
      </c>
    </row>
    <row r="27" customFormat="false" ht="42" hidden="false" customHeight="true" outlineLevel="0" collapsed="false">
      <c r="A27" s="27" t="s">
        <v>3245</v>
      </c>
      <c r="B27" s="44" t="s">
        <v>3246</v>
      </c>
      <c r="C27" s="44"/>
      <c r="D27" s="44"/>
      <c r="E27" s="44"/>
      <c r="F27" s="44"/>
      <c r="G27" s="27" t="s">
        <v>3247</v>
      </c>
    </row>
    <row r="28" customFormat="false" ht="42" hidden="false" customHeight="true" outlineLevel="0" collapsed="false">
      <c r="A28" s="27" t="s">
        <v>3248</v>
      </c>
      <c r="B28" s="44" t="s">
        <v>3249</v>
      </c>
      <c r="C28" s="44"/>
      <c r="D28" s="44"/>
      <c r="E28" s="44"/>
      <c r="F28" s="44"/>
      <c r="G28" s="27" t="s">
        <v>3250</v>
      </c>
    </row>
    <row r="29" customFormat="false" ht="42" hidden="false" customHeight="true" outlineLevel="0" collapsed="false">
      <c r="A29" s="27" t="s">
        <v>3251</v>
      </c>
      <c r="B29" s="44" t="s">
        <v>3252</v>
      </c>
      <c r="C29" s="44"/>
      <c r="D29" s="44"/>
      <c r="E29" s="44"/>
      <c r="F29" s="44"/>
      <c r="G29" s="1" t="s">
        <v>3253</v>
      </c>
    </row>
    <row r="30" customFormat="false" ht="42" hidden="false" customHeight="true" outlineLevel="0" collapsed="false">
      <c r="A30" s="27" t="s">
        <v>3254</v>
      </c>
      <c r="B30" s="44" t="s">
        <v>3255</v>
      </c>
      <c r="C30" s="44"/>
      <c r="D30" s="44"/>
      <c r="E30" s="44"/>
      <c r="F30" s="44"/>
      <c r="G30" s="27" t="s">
        <v>3256</v>
      </c>
    </row>
    <row r="31" customFormat="false" ht="42" hidden="false" customHeight="true" outlineLevel="0" collapsed="false">
      <c r="A31" s="27" t="s">
        <v>3257</v>
      </c>
      <c r="B31" s="44" t="s">
        <v>3258</v>
      </c>
      <c r="C31" s="44"/>
      <c r="D31" s="44"/>
      <c r="E31" s="44"/>
      <c r="F31" s="44"/>
      <c r="G31" s="27" t="s">
        <v>3259</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4726</v>
      </c>
      <c r="B1" s="46"/>
      <c r="C1" s="46"/>
      <c r="D1" s="46"/>
      <c r="E1" s="46"/>
      <c r="F1" s="46"/>
      <c r="G1" s="46"/>
    </row>
    <row r="2" customFormat="false" ht="36" hidden="false" customHeight="true" outlineLevel="0" collapsed="false">
      <c r="A2" s="47" t="s">
        <v>3512</v>
      </c>
      <c r="B2" s="47" t="s">
        <v>4727</v>
      </c>
      <c r="C2" s="47" t="s">
        <v>4728</v>
      </c>
      <c r="D2" s="47" t="s">
        <v>4729</v>
      </c>
      <c r="E2" s="47" t="s">
        <v>4730</v>
      </c>
      <c r="F2" s="47" t="s">
        <v>4731</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4732</v>
      </c>
      <c r="B4" s="48" t="s">
        <v>4733</v>
      </c>
      <c r="C4" s="48" t="s">
        <v>4734</v>
      </c>
      <c r="D4" s="48" t="s">
        <v>4735</v>
      </c>
      <c r="E4" s="48" t="s">
        <v>4736</v>
      </c>
      <c r="F4" s="48" t="s">
        <v>4737</v>
      </c>
      <c r="G4" s="48" t="s">
        <v>4738</v>
      </c>
    </row>
    <row r="5" customFormat="false" ht="48" hidden="false" customHeight="true" outlineLevel="0" collapsed="false">
      <c r="A5" s="48" t="s">
        <v>4732</v>
      </c>
      <c r="B5" s="48" t="s">
        <v>4739</v>
      </c>
      <c r="C5" s="48" t="s">
        <v>4740</v>
      </c>
      <c r="D5" s="48" t="s">
        <v>4741</v>
      </c>
      <c r="E5" s="48" t="s">
        <v>4742</v>
      </c>
      <c r="F5" s="48" t="s">
        <v>4743</v>
      </c>
      <c r="G5" s="48" t="s">
        <v>4738</v>
      </c>
    </row>
    <row r="6" customFormat="false" ht="48" hidden="false" customHeight="true" outlineLevel="0" collapsed="false">
      <c r="A6" s="48" t="s">
        <v>4744</v>
      </c>
      <c r="B6" s="48" t="s">
        <v>4745</v>
      </c>
      <c r="C6" s="48" t="s">
        <v>4746</v>
      </c>
      <c r="D6" s="48" t="s">
        <v>4747</v>
      </c>
      <c r="E6" s="48" t="s">
        <v>4748</v>
      </c>
      <c r="F6" s="48" t="s">
        <v>4749</v>
      </c>
      <c r="G6" s="48" t="s">
        <v>4750</v>
      </c>
    </row>
    <row r="7" customFormat="false" ht="48" hidden="false" customHeight="true" outlineLevel="0" collapsed="false">
      <c r="A7" s="48" t="s">
        <v>4751</v>
      </c>
      <c r="B7" s="48" t="s">
        <v>4752</v>
      </c>
      <c r="C7" s="48" t="s">
        <v>4753</v>
      </c>
      <c r="D7" s="48" t="s">
        <v>4754</v>
      </c>
      <c r="E7" s="48" t="s">
        <v>4755</v>
      </c>
      <c r="F7" s="48" t="s">
        <v>4756</v>
      </c>
      <c r="G7" s="48" t="s">
        <v>4757</v>
      </c>
    </row>
    <row r="8" customFormat="false" ht="48" hidden="false" customHeight="true" outlineLevel="0" collapsed="false">
      <c r="A8" s="48" t="s">
        <v>4758</v>
      </c>
      <c r="B8" s="48" t="s">
        <v>4759</v>
      </c>
      <c r="C8" s="48" t="s">
        <v>4760</v>
      </c>
      <c r="D8" s="48" t="s">
        <v>4761</v>
      </c>
      <c r="E8" s="48" t="s">
        <v>4762</v>
      </c>
      <c r="F8" s="48" t="s">
        <v>4763</v>
      </c>
      <c r="G8" s="48" t="s">
        <v>4757</v>
      </c>
    </row>
    <row r="9" customFormat="false" ht="48" hidden="false" customHeight="true" outlineLevel="0" collapsed="false">
      <c r="A9" s="48" t="s">
        <v>4758</v>
      </c>
      <c r="B9" s="48" t="s">
        <v>4764</v>
      </c>
      <c r="C9" s="48" t="s">
        <v>4765</v>
      </c>
      <c r="D9" s="48" t="s">
        <v>4766</v>
      </c>
      <c r="E9" s="48" t="s">
        <v>4767</v>
      </c>
      <c r="F9" s="48" t="s">
        <v>4768</v>
      </c>
      <c r="G9" s="48" t="s">
        <v>4757</v>
      </c>
    </row>
    <row r="10" customFormat="false" ht="48" hidden="false" customHeight="true" outlineLevel="0" collapsed="false">
      <c r="A10" s="48" t="s">
        <v>92</v>
      </c>
      <c r="B10" s="48" t="s">
        <v>4769</v>
      </c>
      <c r="C10" s="48" t="s">
        <v>4770</v>
      </c>
      <c r="D10" s="48" t="s">
        <v>4771</v>
      </c>
      <c r="E10" s="48" t="s">
        <v>4772</v>
      </c>
      <c r="F10" s="48" t="s">
        <v>4773</v>
      </c>
      <c r="G10" s="48" t="s">
        <v>4774</v>
      </c>
    </row>
    <row r="11" customFormat="false" ht="48" hidden="false" customHeight="true" outlineLevel="0" collapsed="false">
      <c r="A11" s="48" t="s">
        <v>92</v>
      </c>
      <c r="B11" s="48" t="s">
        <v>4775</v>
      </c>
      <c r="C11" s="48" t="s">
        <v>4776</v>
      </c>
      <c r="D11" s="48" t="s">
        <v>4777</v>
      </c>
      <c r="E11" s="48" t="s">
        <v>4778</v>
      </c>
      <c r="F11" s="48" t="s">
        <v>4779</v>
      </c>
      <c r="G11" s="48" t="s">
        <v>4780</v>
      </c>
    </row>
    <row r="12" customFormat="false" ht="48" hidden="false" customHeight="true" outlineLevel="0" collapsed="false">
      <c r="A12" s="48" t="s">
        <v>193</v>
      </c>
      <c r="B12" s="48" t="s">
        <v>4781</v>
      </c>
      <c r="C12" s="48" t="s">
        <v>4782</v>
      </c>
      <c r="D12" s="48" t="s">
        <v>4783</v>
      </c>
      <c r="E12" s="48" t="s">
        <v>4784</v>
      </c>
      <c r="F12" s="48" t="s">
        <v>4785</v>
      </c>
      <c r="G12" s="48" t="s">
        <v>4786</v>
      </c>
    </row>
    <row r="13" customFormat="false" ht="48" hidden="false" customHeight="true" outlineLevel="0" collapsed="false">
      <c r="A13" s="48" t="s">
        <v>4787</v>
      </c>
      <c r="B13" s="48" t="s">
        <v>4788</v>
      </c>
      <c r="C13" s="48" t="s">
        <v>4789</v>
      </c>
      <c r="D13" s="48" t="s">
        <v>4790</v>
      </c>
      <c r="E13" s="48" t="s">
        <v>4791</v>
      </c>
      <c r="F13" s="48" t="s">
        <v>4792</v>
      </c>
      <c r="G13" s="48" t="s">
        <v>4793</v>
      </c>
    </row>
    <row r="14" customFormat="false" ht="48" hidden="false" customHeight="true" outlineLevel="0" collapsed="false">
      <c r="A14" s="48" t="s">
        <v>4787</v>
      </c>
      <c r="B14" s="48" t="s">
        <v>4794</v>
      </c>
      <c r="C14" s="48" t="s">
        <v>4795</v>
      </c>
      <c r="D14" s="48" t="s">
        <v>4796</v>
      </c>
      <c r="E14" s="48" t="s">
        <v>4797</v>
      </c>
      <c r="F14" s="48" t="s">
        <v>4798</v>
      </c>
      <c r="G14" s="48" t="s">
        <v>4799</v>
      </c>
    </row>
    <row r="15" customFormat="false" ht="48" hidden="false" customHeight="true" outlineLevel="0" collapsed="false">
      <c r="A15" s="48" t="s">
        <v>3915</v>
      </c>
      <c r="B15" s="48" t="s">
        <v>4800</v>
      </c>
      <c r="C15" s="48" t="s">
        <v>4801</v>
      </c>
      <c r="D15" s="48" t="s">
        <v>4802</v>
      </c>
      <c r="E15" s="48" t="s">
        <v>4803</v>
      </c>
      <c r="F15" s="48" t="s">
        <v>4804</v>
      </c>
      <c r="G15" s="48" t="s">
        <v>4786</v>
      </c>
    </row>
    <row r="16" customFormat="false" ht="48" hidden="false" customHeight="true" outlineLevel="0" collapsed="false">
      <c r="A16" s="48" t="s">
        <v>4805</v>
      </c>
      <c r="B16" s="48" t="s">
        <v>4806</v>
      </c>
      <c r="C16" s="48" t="s">
        <v>4807</v>
      </c>
      <c r="D16" s="48" t="s">
        <v>4808</v>
      </c>
      <c r="E16" s="48" t="s">
        <v>4809</v>
      </c>
      <c r="F16" s="48" t="s">
        <v>4810</v>
      </c>
      <c r="G16" s="48" t="s">
        <v>4811</v>
      </c>
    </row>
    <row r="17" customFormat="false" ht="48" hidden="false" customHeight="true" outlineLevel="0" collapsed="false">
      <c r="A17" s="48" t="s">
        <v>4812</v>
      </c>
      <c r="B17" s="48" t="s">
        <v>4813</v>
      </c>
      <c r="C17" s="48" t="s">
        <v>4814</v>
      </c>
      <c r="D17" s="48" t="s">
        <v>4815</v>
      </c>
      <c r="E17" s="48" t="s">
        <v>4816</v>
      </c>
      <c r="F17" s="48" t="s">
        <v>4817</v>
      </c>
      <c r="G17" s="48" t="s">
        <v>4818</v>
      </c>
    </row>
    <row r="18" customFormat="false" ht="48" hidden="false" customHeight="true" outlineLevel="0" collapsed="false">
      <c r="A18" s="48" t="s">
        <v>4819</v>
      </c>
      <c r="B18" s="48" t="s">
        <v>4820</v>
      </c>
      <c r="C18" s="48" t="s">
        <v>4821</v>
      </c>
      <c r="D18" s="48" t="s">
        <v>4822</v>
      </c>
      <c r="E18" s="48" t="s">
        <v>4823</v>
      </c>
      <c r="F18" s="48" t="s">
        <v>4824</v>
      </c>
      <c r="G18" s="48" t="s">
        <v>4825</v>
      </c>
    </row>
    <row r="19" customFormat="false" ht="48" hidden="false" customHeight="true" outlineLevel="0" collapsed="false">
      <c r="A19" s="48" t="s">
        <v>4525</v>
      </c>
      <c r="B19" s="48" t="s">
        <v>4714</v>
      </c>
      <c r="C19" s="48" t="s">
        <v>4826</v>
      </c>
      <c r="D19" s="48" t="s">
        <v>4827</v>
      </c>
      <c r="E19" s="48" t="s">
        <v>4828</v>
      </c>
      <c r="F19" s="48" t="s">
        <v>4829</v>
      </c>
      <c r="G19" s="48" t="s">
        <v>4830</v>
      </c>
    </row>
    <row r="20" customFormat="false" ht="43.5" hidden="false" customHeight="true" outlineLevel="0" collapsed="false">
      <c r="A20" s="27"/>
      <c r="B20" s="27"/>
      <c r="C20" s="27"/>
      <c r="D20" s="27"/>
      <c r="E20" s="27"/>
      <c r="F20" s="27"/>
      <c r="G20" s="27"/>
    </row>
    <row r="21" customFormat="false" ht="43.5" hidden="false" customHeight="true" outlineLevel="0" collapsed="false">
      <c r="A21" s="27"/>
      <c r="B21" s="27"/>
      <c r="C21" s="27"/>
      <c r="D21" s="27"/>
      <c r="E21" s="27"/>
      <c r="F21" s="27"/>
      <c r="G21" s="27"/>
    </row>
    <row r="22" customFormat="false" ht="25.5" hidden="false" customHeight="true" outlineLevel="0" collapsed="false">
      <c r="A22" s="49" t="s">
        <v>4831</v>
      </c>
      <c r="B22" s="49"/>
      <c r="C22" s="49"/>
      <c r="D22" s="49"/>
      <c r="E22" s="49"/>
      <c r="F22" s="49"/>
      <c r="G22" s="49"/>
      <c r="H22" s="49"/>
      <c r="I22" s="49"/>
      <c r="J22" s="49"/>
      <c r="K22" s="49"/>
      <c r="L22" s="49"/>
      <c r="M22" s="49"/>
      <c r="N22" s="49"/>
      <c r="O22" s="49"/>
      <c r="P22" s="49"/>
      <c r="Q22" s="49"/>
    </row>
    <row r="23" customFormat="false" ht="36" hidden="false" customHeight="true" outlineLevel="0" collapsed="false">
      <c r="A23" s="47" t="s">
        <v>4832</v>
      </c>
      <c r="B23" s="47" t="s">
        <v>34</v>
      </c>
      <c r="C23" s="47" t="s">
        <v>101</v>
      </c>
      <c r="D23" s="47" t="s">
        <v>95</v>
      </c>
      <c r="E23" s="47" t="s">
        <v>106</v>
      </c>
      <c r="F23" s="47" t="s">
        <v>4833</v>
      </c>
      <c r="G23" s="47" t="s">
        <v>170</v>
      </c>
      <c r="H23" s="47" t="s">
        <v>1261</v>
      </c>
      <c r="I23" s="47" t="s">
        <v>4834</v>
      </c>
      <c r="J23" s="47" t="s">
        <v>4835</v>
      </c>
      <c r="K23" s="47" t="s">
        <v>4836</v>
      </c>
      <c r="L23" s="47" t="s">
        <v>4837</v>
      </c>
      <c r="M23" s="47" t="s">
        <v>4838</v>
      </c>
      <c r="N23" s="47" t="s">
        <v>4839</v>
      </c>
      <c r="O23" s="47" t="s">
        <v>4840</v>
      </c>
      <c r="P23" s="47" t="s">
        <v>4841</v>
      </c>
      <c r="Q23" s="47" t="s">
        <v>2</v>
      </c>
    </row>
    <row r="24" customFormat="false" ht="42" hidden="false" customHeight="true" outlineLevel="0" collapsed="false">
      <c r="A24" s="48" t="s">
        <v>4842</v>
      </c>
      <c r="B24" s="48" t="n">
        <v>13</v>
      </c>
      <c r="C24" s="48" t="n">
        <v>5</v>
      </c>
      <c r="D24" s="48" t="n">
        <v>0</v>
      </c>
      <c r="E24" s="48" t="n">
        <v>3</v>
      </c>
      <c r="F24" s="48" t="n">
        <v>1</v>
      </c>
      <c r="G24" s="48" t="n">
        <v>0</v>
      </c>
      <c r="H24" s="48" t="n">
        <v>6</v>
      </c>
      <c r="I24" s="48" t="n">
        <v>3</v>
      </c>
      <c r="J24" s="48" t="n">
        <f aca="false">H24-I24</f>
        <v>3</v>
      </c>
      <c r="K24" s="48" t="n">
        <v>2</v>
      </c>
      <c r="L24" s="48" t="n">
        <v>3</v>
      </c>
      <c r="M24" s="48" t="s">
        <v>4843</v>
      </c>
      <c r="N24" s="48" t="s">
        <v>4844</v>
      </c>
      <c r="O24" s="48" t="s">
        <v>4845</v>
      </c>
      <c r="P24" s="50" t="n">
        <v>0.6021253241</v>
      </c>
      <c r="Q24" s="48" t="s">
        <v>3630</v>
      </c>
    </row>
    <row r="25" customFormat="false" ht="42" hidden="false" customHeight="true" outlineLevel="0" collapsed="false">
      <c r="A25" s="51" t="s">
        <v>4846</v>
      </c>
      <c r="B25" s="51" t="n">
        <v>14</v>
      </c>
      <c r="C25" s="51" t="n">
        <v>5</v>
      </c>
      <c r="D25" s="51" t="n">
        <v>0</v>
      </c>
      <c r="E25" s="51" t="n">
        <v>3</v>
      </c>
      <c r="F25" s="51" t="n">
        <v>1</v>
      </c>
      <c r="G25" s="51" t="n">
        <v>0</v>
      </c>
      <c r="H25" s="51" t="n">
        <v>6</v>
      </c>
      <c r="I25" s="51" t="n">
        <v>3</v>
      </c>
      <c r="J25" s="51" t="n">
        <f aca="false">H25-I25</f>
        <v>3</v>
      </c>
      <c r="K25" s="51" t="n">
        <v>2</v>
      </c>
      <c r="L25" s="51" t="n">
        <v>3</v>
      </c>
      <c r="M25" s="51" t="s">
        <v>4847</v>
      </c>
      <c r="N25" s="51" t="s">
        <v>4848</v>
      </c>
      <c r="O25" s="51" t="s">
        <v>4849</v>
      </c>
      <c r="P25" s="52" t="n">
        <v>0.666836312</v>
      </c>
      <c r="Q25" s="51" t="s">
        <v>4850</v>
      </c>
    </row>
    <row r="26" customFormat="false" ht="42" hidden="false" customHeight="true" outlineLevel="0" collapsed="false">
      <c r="A26" s="48" t="s">
        <v>4851</v>
      </c>
      <c r="B26" s="48" t="n">
        <v>14</v>
      </c>
      <c r="C26" s="48" t="n">
        <v>6</v>
      </c>
      <c r="D26" s="48" t="n">
        <v>0</v>
      </c>
      <c r="E26" s="48" t="n">
        <v>3</v>
      </c>
      <c r="F26" s="48" t="n">
        <v>1</v>
      </c>
      <c r="G26" s="48" t="n">
        <v>0</v>
      </c>
      <c r="H26" s="48" t="n">
        <v>6</v>
      </c>
      <c r="I26" s="48" t="n">
        <v>3</v>
      </c>
      <c r="J26" s="48" t="n">
        <f aca="false">H26-I26</f>
        <v>3</v>
      </c>
      <c r="K26" s="48" t="n">
        <v>2</v>
      </c>
      <c r="L26" s="48" t="n">
        <v>3</v>
      </c>
      <c r="M26" s="48" t="s">
        <v>4848</v>
      </c>
      <c r="N26" s="48" t="s">
        <v>4852</v>
      </c>
      <c r="O26" s="48" t="s">
        <v>4853</v>
      </c>
      <c r="P26" s="50" t="n">
        <v>0.6544162602</v>
      </c>
      <c r="Q26" s="48" t="s">
        <v>4854</v>
      </c>
    </row>
    <row r="27" customFormat="false" ht="42" hidden="false" customHeight="true" outlineLevel="0" collapsed="false">
      <c r="A27" s="27"/>
      <c r="B27" s="33"/>
      <c r="G27" s="27"/>
    </row>
    <row r="28" customFormat="false" ht="42" hidden="false" customHeight="true" outlineLevel="0" collapsed="false">
      <c r="A28" s="27"/>
      <c r="B28" s="33"/>
      <c r="G28" s="27"/>
    </row>
    <row r="29" customFormat="false" ht="25.5" hidden="false" customHeight="true" outlineLevel="0" collapsed="false">
      <c r="A29" s="49" t="s">
        <v>4855</v>
      </c>
      <c r="B29" s="49"/>
      <c r="C29" s="49"/>
      <c r="D29" s="49"/>
      <c r="E29" s="49"/>
      <c r="F29" s="49"/>
      <c r="G29" s="49"/>
      <c r="H29" s="49"/>
      <c r="I29" s="49"/>
      <c r="J29" s="49"/>
      <c r="K29" s="49"/>
      <c r="L29" s="49"/>
      <c r="M29" s="49"/>
      <c r="N29" s="49"/>
      <c r="O29" s="49"/>
      <c r="P29" s="49"/>
      <c r="Q29" s="49"/>
    </row>
    <row r="30" customFormat="false" ht="49.5" hidden="false" customHeight="true" outlineLevel="0" collapsed="false">
      <c r="A30" s="53" t="s">
        <v>3260</v>
      </c>
      <c r="B30" s="53" t="s">
        <v>3261</v>
      </c>
      <c r="C30" s="53"/>
      <c r="D30" s="53"/>
      <c r="E30" s="53"/>
      <c r="F30" s="53"/>
      <c r="G30" s="53"/>
      <c r="H30" s="53"/>
      <c r="I30" s="53"/>
      <c r="J30" s="53"/>
      <c r="K30" s="53"/>
      <c r="L30" s="53"/>
      <c r="M30" s="53"/>
      <c r="N30" s="53"/>
      <c r="O30" s="53"/>
      <c r="P30" s="53"/>
      <c r="Q30" s="53" t="s">
        <v>3262</v>
      </c>
    </row>
    <row r="31" customFormat="false" ht="49.5" hidden="false" customHeight="true" outlineLevel="0" collapsed="false">
      <c r="A31" s="53" t="s">
        <v>3263</v>
      </c>
      <c r="B31" s="53" t="s">
        <v>3264</v>
      </c>
      <c r="C31" s="53"/>
      <c r="D31" s="53"/>
      <c r="E31" s="53"/>
      <c r="F31" s="53"/>
      <c r="G31" s="53"/>
      <c r="H31" s="53"/>
      <c r="I31" s="53"/>
      <c r="J31" s="53"/>
      <c r="K31" s="53"/>
      <c r="L31" s="53"/>
      <c r="M31" s="53"/>
      <c r="N31" s="53"/>
      <c r="O31" s="53"/>
      <c r="P31" s="53"/>
      <c r="Q31" s="53" t="s">
        <v>3265</v>
      </c>
    </row>
    <row r="32" customFormat="false" ht="49.5" hidden="false" customHeight="true" outlineLevel="0" collapsed="false">
      <c r="A32" s="53" t="s">
        <v>3266</v>
      </c>
      <c r="B32" s="53" t="s">
        <v>3267</v>
      </c>
      <c r="C32" s="53"/>
      <c r="D32" s="53"/>
      <c r="E32" s="53"/>
      <c r="F32" s="53"/>
      <c r="G32" s="53"/>
      <c r="H32" s="53"/>
      <c r="I32" s="53"/>
      <c r="J32" s="53"/>
      <c r="K32" s="53"/>
      <c r="L32" s="53"/>
      <c r="M32" s="53"/>
      <c r="N32" s="53"/>
      <c r="O32" s="53"/>
      <c r="P32" s="53"/>
      <c r="Q32" s="53" t="s">
        <v>3268</v>
      </c>
    </row>
    <row r="33" customFormat="false" ht="49.5" hidden="false" customHeight="true" outlineLevel="0" collapsed="false">
      <c r="A33" s="53" t="s">
        <v>3269</v>
      </c>
      <c r="B33" s="53" t="s">
        <v>3270</v>
      </c>
      <c r="C33" s="53"/>
      <c r="D33" s="53"/>
      <c r="E33" s="53"/>
      <c r="F33" s="53"/>
      <c r="G33" s="53"/>
      <c r="H33" s="53"/>
      <c r="I33" s="53"/>
      <c r="J33" s="53"/>
      <c r="K33" s="53"/>
      <c r="L33" s="53"/>
      <c r="M33" s="53"/>
      <c r="N33" s="53"/>
      <c r="O33" s="53"/>
      <c r="P33" s="53"/>
      <c r="Q33" s="53" t="s">
        <v>3271</v>
      </c>
    </row>
    <row r="34" customFormat="false" ht="49.5" hidden="false" customHeight="true" outlineLevel="0" collapsed="false">
      <c r="A34" s="53" t="s">
        <v>3272</v>
      </c>
      <c r="B34" s="53" t="s">
        <v>3273</v>
      </c>
      <c r="C34" s="53"/>
      <c r="D34" s="53"/>
      <c r="E34" s="53"/>
      <c r="F34" s="53"/>
      <c r="G34" s="53"/>
      <c r="H34" s="53"/>
      <c r="I34" s="53"/>
      <c r="J34" s="53"/>
      <c r="K34" s="53"/>
      <c r="L34" s="53"/>
      <c r="M34" s="53"/>
      <c r="N34" s="53"/>
      <c r="O34" s="53"/>
      <c r="P34" s="53"/>
      <c r="Q34" s="53" t="s">
        <v>3274</v>
      </c>
    </row>
    <row r="35" customFormat="false" ht="49.5" hidden="false" customHeight="true" outlineLevel="0" collapsed="false">
      <c r="A35" s="53" t="s">
        <v>3275</v>
      </c>
      <c r="B35" s="53" t="s">
        <v>3276</v>
      </c>
      <c r="C35" s="53"/>
      <c r="D35" s="53"/>
      <c r="E35" s="53"/>
      <c r="F35" s="53"/>
      <c r="G35" s="53"/>
      <c r="H35" s="53"/>
      <c r="I35" s="53"/>
      <c r="J35" s="53"/>
      <c r="K35" s="53"/>
      <c r="L35" s="53"/>
      <c r="M35" s="53"/>
      <c r="N35" s="53"/>
      <c r="O35" s="53"/>
      <c r="P35" s="53"/>
      <c r="Q35" s="53" t="s">
        <v>3277</v>
      </c>
    </row>
    <row r="36" customFormat="false" ht="49.5" hidden="false" customHeight="true" outlineLevel="0" collapsed="false">
      <c r="A36" s="53" t="s">
        <v>3278</v>
      </c>
      <c r="B36" s="53" t="s">
        <v>3279</v>
      </c>
      <c r="C36" s="53"/>
      <c r="D36" s="53"/>
      <c r="E36" s="53"/>
      <c r="F36" s="53"/>
      <c r="G36" s="53"/>
      <c r="H36" s="53"/>
      <c r="I36" s="53"/>
      <c r="J36" s="53"/>
      <c r="K36" s="53"/>
      <c r="L36" s="53"/>
      <c r="M36" s="53"/>
      <c r="N36" s="53"/>
      <c r="O36" s="53"/>
      <c r="P36" s="53"/>
      <c r="Q36" s="53" t="s">
        <v>3280</v>
      </c>
    </row>
  </sheetData>
  <autoFilter ref="A2:G19"/>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4856</v>
      </c>
      <c r="B1" s="46"/>
      <c r="C1" s="46"/>
      <c r="D1" s="46"/>
      <c r="E1" s="46"/>
      <c r="F1" s="46"/>
      <c r="G1" s="46"/>
    </row>
    <row r="2" customFormat="false" ht="36" hidden="false" customHeight="true" outlineLevel="0" collapsed="false">
      <c r="A2" s="47" t="s">
        <v>3512</v>
      </c>
      <c r="B2" s="47" t="s">
        <v>4727</v>
      </c>
      <c r="C2" s="47" t="s">
        <v>4857</v>
      </c>
      <c r="D2" s="47" t="s">
        <v>4729</v>
      </c>
      <c r="E2" s="47" t="s">
        <v>4730</v>
      </c>
      <c r="F2" s="47" t="s">
        <v>4731</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4732</v>
      </c>
      <c r="B4" s="48" t="s">
        <v>4858</v>
      </c>
      <c r="C4" s="48" t="s">
        <v>4859</v>
      </c>
      <c r="D4" s="48" t="s">
        <v>4860</v>
      </c>
      <c r="E4" s="48" t="s">
        <v>4861</v>
      </c>
      <c r="F4" s="48" t="s">
        <v>4862</v>
      </c>
      <c r="G4" s="48" t="s">
        <v>4863</v>
      </c>
    </row>
    <row r="5" customFormat="false" ht="48" hidden="false" customHeight="true" outlineLevel="0" collapsed="false">
      <c r="A5" s="48" t="s">
        <v>4732</v>
      </c>
      <c r="B5" s="48" t="s">
        <v>4864</v>
      </c>
      <c r="C5" s="48" t="s">
        <v>4865</v>
      </c>
      <c r="D5" s="48" t="s">
        <v>4866</v>
      </c>
      <c r="E5" s="48" t="s">
        <v>4867</v>
      </c>
      <c r="F5" s="48" t="s">
        <v>4868</v>
      </c>
      <c r="G5" s="48" t="s">
        <v>4869</v>
      </c>
    </row>
    <row r="6" customFormat="false" ht="48" hidden="false" customHeight="true" outlineLevel="0" collapsed="false">
      <c r="A6" s="48" t="s">
        <v>4732</v>
      </c>
      <c r="B6" s="48" t="s">
        <v>4739</v>
      </c>
      <c r="C6" s="48" t="s">
        <v>4740</v>
      </c>
      <c r="D6" s="48" t="s">
        <v>4870</v>
      </c>
      <c r="E6" s="48" t="s">
        <v>4871</v>
      </c>
      <c r="F6" s="48" t="s">
        <v>4872</v>
      </c>
      <c r="G6" s="48" t="s">
        <v>4738</v>
      </c>
    </row>
    <row r="7" customFormat="false" ht="48" hidden="false" customHeight="true" outlineLevel="0" collapsed="false">
      <c r="A7" s="48" t="s">
        <v>1228</v>
      </c>
      <c r="B7" s="48" t="s">
        <v>4873</v>
      </c>
      <c r="C7" s="48" t="s">
        <v>4874</v>
      </c>
      <c r="D7" s="48" t="s">
        <v>4875</v>
      </c>
      <c r="E7" s="48" t="s">
        <v>4876</v>
      </c>
      <c r="F7" s="48" t="s">
        <v>4877</v>
      </c>
      <c r="G7" s="48" t="s">
        <v>4878</v>
      </c>
    </row>
    <row r="8" customFormat="false" ht="48" hidden="false" customHeight="true" outlineLevel="0" collapsed="false">
      <c r="A8" s="48" t="s">
        <v>1228</v>
      </c>
      <c r="B8" s="48" t="s">
        <v>4879</v>
      </c>
      <c r="C8" s="48" t="s">
        <v>4880</v>
      </c>
      <c r="D8" s="48" t="s">
        <v>4881</v>
      </c>
      <c r="E8" s="48" t="s">
        <v>4882</v>
      </c>
      <c r="F8" s="48" t="s">
        <v>4792</v>
      </c>
      <c r="G8" s="48" t="s">
        <v>4883</v>
      </c>
    </row>
    <row r="9" customFormat="false" ht="48" hidden="false" customHeight="true" outlineLevel="0" collapsed="false">
      <c r="A9" s="48" t="s">
        <v>3915</v>
      </c>
      <c r="B9" s="48" t="s">
        <v>4800</v>
      </c>
      <c r="C9" s="48" t="s">
        <v>4884</v>
      </c>
      <c r="D9" s="48" t="s">
        <v>4885</v>
      </c>
      <c r="E9" s="48" t="s">
        <v>4886</v>
      </c>
      <c r="F9" s="48" t="s">
        <v>4887</v>
      </c>
      <c r="G9" s="48" t="s">
        <v>4786</v>
      </c>
    </row>
    <row r="10" customFormat="false" ht="48" hidden="false" customHeight="true" outlineLevel="0" collapsed="false">
      <c r="A10" s="48" t="s">
        <v>4751</v>
      </c>
      <c r="B10" s="48" t="s">
        <v>4752</v>
      </c>
      <c r="C10" s="48" t="s">
        <v>4888</v>
      </c>
      <c r="D10" s="48" t="s">
        <v>4889</v>
      </c>
      <c r="E10" s="48" t="s">
        <v>4890</v>
      </c>
      <c r="F10" s="48" t="s">
        <v>4891</v>
      </c>
      <c r="G10" s="48" t="s">
        <v>4757</v>
      </c>
    </row>
    <row r="11" customFormat="false" ht="48" hidden="false" customHeight="true" outlineLevel="0" collapsed="false">
      <c r="A11" s="48" t="s">
        <v>4787</v>
      </c>
      <c r="B11" s="48" t="s">
        <v>4892</v>
      </c>
      <c r="C11" s="48" t="s">
        <v>4893</v>
      </c>
      <c r="D11" s="48" t="s">
        <v>4894</v>
      </c>
      <c r="E11" s="48" t="s">
        <v>4895</v>
      </c>
      <c r="F11" s="48" t="s">
        <v>4896</v>
      </c>
      <c r="G11" s="48" t="s">
        <v>4897</v>
      </c>
    </row>
    <row r="12" customFormat="false" ht="48" hidden="false" customHeight="true" outlineLevel="0" collapsed="false">
      <c r="A12" s="48" t="s">
        <v>4805</v>
      </c>
      <c r="B12" s="48" t="s">
        <v>4898</v>
      </c>
      <c r="C12" s="48" t="s">
        <v>4899</v>
      </c>
      <c r="D12" s="48" t="s">
        <v>4900</v>
      </c>
      <c r="E12" s="48" t="s">
        <v>4901</v>
      </c>
      <c r="F12" s="48" t="s">
        <v>4902</v>
      </c>
      <c r="G12" s="48" t="s">
        <v>4903</v>
      </c>
    </row>
    <row r="13" customFormat="false" ht="48" hidden="false" customHeight="true" outlineLevel="0" collapsed="false">
      <c r="A13" s="48" t="s">
        <v>4805</v>
      </c>
      <c r="B13" s="48" t="s">
        <v>4904</v>
      </c>
      <c r="C13" s="48" t="s">
        <v>4905</v>
      </c>
      <c r="D13" s="48" t="s">
        <v>4906</v>
      </c>
      <c r="E13" s="48" t="s">
        <v>4907</v>
      </c>
      <c r="F13" s="48" t="s">
        <v>4908</v>
      </c>
      <c r="G13" s="48" t="s">
        <v>4897</v>
      </c>
    </row>
    <row r="14" customFormat="false" ht="48" hidden="false" customHeight="true" outlineLevel="0" collapsed="false">
      <c r="A14" s="48" t="s">
        <v>4909</v>
      </c>
      <c r="B14" s="48" t="s">
        <v>4910</v>
      </c>
      <c r="C14" s="48" t="s">
        <v>4911</v>
      </c>
      <c r="D14" s="48" t="s">
        <v>4912</v>
      </c>
      <c r="E14" s="48" t="s">
        <v>4913</v>
      </c>
      <c r="F14" s="48" t="s">
        <v>4914</v>
      </c>
      <c r="G14" s="48" t="s">
        <v>4811</v>
      </c>
    </row>
    <row r="15" customFormat="false" ht="48" hidden="false" customHeight="true" outlineLevel="0" collapsed="false">
      <c r="A15" s="48" t="s">
        <v>4915</v>
      </c>
      <c r="B15" s="48" t="s">
        <v>4916</v>
      </c>
      <c r="C15" s="48" t="s">
        <v>4917</v>
      </c>
      <c r="D15" s="48" t="s">
        <v>4918</v>
      </c>
      <c r="E15" s="48" t="s">
        <v>4919</v>
      </c>
      <c r="F15" s="48" t="s">
        <v>4920</v>
      </c>
      <c r="G15" s="48" t="s">
        <v>4921</v>
      </c>
    </row>
    <row r="16" customFormat="false" ht="48" hidden="false" customHeight="true" outlineLevel="0" collapsed="false">
      <c r="A16" s="48" t="s">
        <v>4812</v>
      </c>
      <c r="B16" s="48" t="s">
        <v>4813</v>
      </c>
      <c r="C16" s="48" t="s">
        <v>4922</v>
      </c>
      <c r="D16" s="48" t="s">
        <v>4923</v>
      </c>
      <c r="E16" s="48" t="s">
        <v>4924</v>
      </c>
      <c r="F16" s="48" t="s">
        <v>4925</v>
      </c>
      <c r="G16" s="48" t="s">
        <v>4926</v>
      </c>
    </row>
    <row r="17" customFormat="false" ht="48" hidden="false" customHeight="true" outlineLevel="0" collapsed="false">
      <c r="A17" s="48" t="s">
        <v>4525</v>
      </c>
      <c r="B17" s="48" t="s">
        <v>4714</v>
      </c>
      <c r="C17" s="48" t="s">
        <v>4927</v>
      </c>
      <c r="D17" s="48" t="s">
        <v>4928</v>
      </c>
      <c r="E17" s="48" t="s">
        <v>4929</v>
      </c>
      <c r="F17" s="48" t="s">
        <v>4930</v>
      </c>
      <c r="G17" s="48" t="s">
        <v>4719</v>
      </c>
    </row>
    <row r="18" customFormat="false" ht="48" hidden="false" customHeight="true" outlineLevel="0" collapsed="false">
      <c r="A18" s="48"/>
      <c r="B18" s="48"/>
      <c r="C18" s="48"/>
      <c r="D18" s="48"/>
      <c r="E18" s="48"/>
      <c r="F18" s="48"/>
      <c r="G18" s="48"/>
    </row>
    <row r="19" customFormat="false" ht="48" hidden="false" customHeight="true" outlineLevel="0" collapsed="false">
      <c r="A19" s="48"/>
      <c r="B19" s="48"/>
      <c r="C19" s="48"/>
      <c r="D19" s="48"/>
      <c r="E19" s="48"/>
      <c r="F19" s="48"/>
      <c r="G19" s="48"/>
    </row>
    <row r="20" customFormat="false" ht="25.5" hidden="false" customHeight="true" outlineLevel="0" collapsed="false">
      <c r="A20" s="49" t="s">
        <v>4931</v>
      </c>
      <c r="B20" s="49"/>
      <c r="C20" s="49"/>
      <c r="D20" s="49"/>
      <c r="E20" s="49"/>
      <c r="F20" s="49"/>
      <c r="G20" s="49"/>
      <c r="H20" s="49"/>
      <c r="I20" s="49"/>
      <c r="J20" s="49"/>
      <c r="K20" s="49"/>
      <c r="L20" s="49"/>
      <c r="M20" s="49"/>
      <c r="N20" s="49"/>
      <c r="O20" s="49"/>
      <c r="P20" s="49"/>
      <c r="Q20" s="49"/>
    </row>
    <row r="21" customFormat="false" ht="36" hidden="false" customHeight="true" outlineLevel="0" collapsed="false">
      <c r="A21" s="47" t="s">
        <v>4832</v>
      </c>
      <c r="B21" s="47" t="s">
        <v>34</v>
      </c>
      <c r="C21" s="47" t="s">
        <v>101</v>
      </c>
      <c r="D21" s="47" t="s">
        <v>95</v>
      </c>
      <c r="E21" s="47" t="s">
        <v>106</v>
      </c>
      <c r="F21" s="47" t="s">
        <v>4833</v>
      </c>
      <c r="G21" s="47" t="s">
        <v>170</v>
      </c>
      <c r="H21" s="47" t="s">
        <v>1261</v>
      </c>
      <c r="I21" s="47" t="s">
        <v>4834</v>
      </c>
      <c r="J21" s="47" t="s">
        <v>4835</v>
      </c>
      <c r="K21" s="47" t="s">
        <v>4836</v>
      </c>
      <c r="L21" s="47" t="s">
        <v>4837</v>
      </c>
      <c r="M21" s="47" t="s">
        <v>4838</v>
      </c>
      <c r="N21" s="47" t="s">
        <v>4839</v>
      </c>
      <c r="O21" s="47" t="s">
        <v>4840</v>
      </c>
      <c r="P21" s="47" t="s">
        <v>4932</v>
      </c>
      <c r="Q21" s="47" t="s">
        <v>2</v>
      </c>
    </row>
    <row r="22" customFormat="false" ht="42" hidden="false" customHeight="true" outlineLevel="0" collapsed="false">
      <c r="A22" s="51" t="s">
        <v>4933</v>
      </c>
      <c r="B22" s="51" t="n">
        <v>13</v>
      </c>
      <c r="C22" s="51" t="n">
        <v>5</v>
      </c>
      <c r="D22" s="51" t="n">
        <v>0</v>
      </c>
      <c r="E22" s="51" t="n">
        <v>3</v>
      </c>
      <c r="F22" s="51" t="n">
        <v>1</v>
      </c>
      <c r="G22" s="51" t="n">
        <v>0</v>
      </c>
      <c r="H22" s="51" t="n">
        <v>6</v>
      </c>
      <c r="I22" s="51" t="n">
        <v>3</v>
      </c>
      <c r="J22" s="51" t="n">
        <f aca="false">H22-I22</f>
        <v>3</v>
      </c>
      <c r="K22" s="51" t="n">
        <v>2</v>
      </c>
      <c r="L22" s="51" t="n">
        <v>3</v>
      </c>
      <c r="M22" s="51" t="s">
        <v>4843</v>
      </c>
      <c r="N22" s="51" t="s">
        <v>4844</v>
      </c>
      <c r="O22" s="51" t="s">
        <v>4845</v>
      </c>
      <c r="P22" s="52" t="n">
        <v>0.58389</v>
      </c>
      <c r="Q22" s="51" t="s">
        <v>4850</v>
      </c>
    </row>
    <row r="23" customFormat="false" ht="42" hidden="false" customHeight="true" outlineLevel="0" collapsed="false">
      <c r="A23" s="54" t="s">
        <v>4934</v>
      </c>
      <c r="B23" s="54" t="n">
        <v>14</v>
      </c>
      <c r="C23" s="54" t="n">
        <v>5</v>
      </c>
      <c r="D23" s="54" t="n">
        <v>0</v>
      </c>
      <c r="E23" s="54" t="n">
        <v>3</v>
      </c>
      <c r="F23" s="54" t="n">
        <v>1</v>
      </c>
      <c r="G23" s="54" t="n">
        <v>0</v>
      </c>
      <c r="H23" s="54" t="n">
        <v>6</v>
      </c>
      <c r="I23" s="54" t="n">
        <v>3</v>
      </c>
      <c r="J23" s="54" t="n">
        <f aca="false">H23-I23</f>
        <v>3</v>
      </c>
      <c r="K23" s="54" t="n">
        <v>2</v>
      </c>
      <c r="L23" s="54" t="n">
        <v>3</v>
      </c>
      <c r="M23" s="54" t="s">
        <v>4847</v>
      </c>
      <c r="N23" s="54" t="s">
        <v>4848</v>
      </c>
      <c r="O23" s="54" t="s">
        <v>4849</v>
      </c>
      <c r="P23" s="55" t="n">
        <v>0.64579</v>
      </c>
      <c r="Q23" s="54" t="s">
        <v>4935</v>
      </c>
    </row>
    <row r="24" customFormat="false" ht="42" hidden="false" customHeight="true" outlineLevel="0" collapsed="false">
      <c r="A24" s="56" t="s">
        <v>4851</v>
      </c>
      <c r="B24" s="56" t="n">
        <v>14</v>
      </c>
      <c r="C24" s="56" t="n">
        <v>6</v>
      </c>
      <c r="D24" s="56" t="n">
        <v>0</v>
      </c>
      <c r="E24" s="56" t="n">
        <v>3</v>
      </c>
      <c r="F24" s="56" t="n">
        <v>1</v>
      </c>
      <c r="G24" s="56" t="n">
        <v>0</v>
      </c>
      <c r="H24" s="56" t="n">
        <v>6</v>
      </c>
      <c r="I24" s="56" t="n">
        <v>3</v>
      </c>
      <c r="J24" s="56" t="n">
        <f aca="false">H24-I24</f>
        <v>3</v>
      </c>
      <c r="K24" s="56" t="n">
        <v>2</v>
      </c>
      <c r="L24" s="56" t="n">
        <v>3</v>
      </c>
      <c r="M24" s="56" t="s">
        <v>4848</v>
      </c>
      <c r="N24" s="56" t="s">
        <v>4852</v>
      </c>
      <c r="O24" s="56" t="s">
        <v>4853</v>
      </c>
      <c r="P24" s="57" t="n">
        <v>0.63666</v>
      </c>
      <c r="Q24" s="56" t="s">
        <v>4904</v>
      </c>
    </row>
    <row r="25" customFormat="false" ht="42" hidden="false" customHeight="true" outlineLevel="0" collapsed="false">
      <c r="A25" s="51"/>
      <c r="B25" s="51"/>
      <c r="C25" s="51"/>
      <c r="D25" s="51"/>
      <c r="E25" s="51"/>
      <c r="F25" s="51"/>
      <c r="G25" s="51"/>
      <c r="H25" s="51"/>
      <c r="I25" s="51"/>
      <c r="J25" s="51"/>
      <c r="K25" s="51"/>
      <c r="L25" s="51"/>
      <c r="M25" s="51"/>
      <c r="N25" s="51"/>
      <c r="O25" s="51"/>
      <c r="P25" s="52"/>
      <c r="Q25" s="51"/>
    </row>
    <row r="26" customFormat="false" ht="25.5" hidden="false" customHeight="true" outlineLevel="0" collapsed="false">
      <c r="A26" s="49" t="s">
        <v>4936</v>
      </c>
      <c r="B26" s="49"/>
      <c r="C26" s="49"/>
      <c r="D26" s="49"/>
      <c r="E26" s="49"/>
      <c r="F26" s="49"/>
      <c r="G26" s="49"/>
      <c r="H26" s="49"/>
      <c r="I26" s="49"/>
      <c r="J26" s="49"/>
      <c r="K26" s="49"/>
      <c r="L26" s="49"/>
      <c r="M26" s="49"/>
      <c r="N26" s="49"/>
      <c r="O26" s="49"/>
      <c r="P26" s="49"/>
      <c r="Q26" s="49"/>
    </row>
    <row r="27" customFormat="false" ht="36" hidden="false" customHeight="true" outlineLevel="0" collapsed="false">
      <c r="A27" s="47" t="s">
        <v>3909</v>
      </c>
      <c r="B27" s="47" t="s">
        <v>4937</v>
      </c>
      <c r="C27" s="47" t="s">
        <v>4938</v>
      </c>
      <c r="D27" s="47" t="s">
        <v>4939</v>
      </c>
      <c r="E27" s="47" t="s">
        <v>4940</v>
      </c>
      <c r="F27" s="47" t="s">
        <v>4941</v>
      </c>
      <c r="G27" s="47" t="s">
        <v>4942</v>
      </c>
    </row>
    <row r="28" customFormat="false" ht="42" hidden="false" customHeight="true" outlineLevel="0" collapsed="false">
      <c r="A28" s="48" t="s">
        <v>4943</v>
      </c>
      <c r="B28" s="48" t="s">
        <v>4944</v>
      </c>
      <c r="C28" s="48" t="s">
        <v>4945</v>
      </c>
      <c r="D28" s="48" t="s">
        <v>4946</v>
      </c>
      <c r="E28" s="48" t="s">
        <v>4947</v>
      </c>
      <c r="F28" s="48" t="n">
        <v>12</v>
      </c>
      <c r="G28" s="48" t="s">
        <v>4948</v>
      </c>
    </row>
    <row r="29" customFormat="false" ht="42" hidden="false" customHeight="true" outlineLevel="0" collapsed="false">
      <c r="A29" s="48" t="s">
        <v>4949</v>
      </c>
      <c r="B29" s="48" t="s">
        <v>4944</v>
      </c>
      <c r="C29" s="48" t="s">
        <v>4950</v>
      </c>
      <c r="D29" s="48" t="s">
        <v>4946</v>
      </c>
      <c r="E29" s="48" t="s">
        <v>4947</v>
      </c>
      <c r="F29" s="48" t="n">
        <v>36</v>
      </c>
      <c r="G29" s="48" t="s">
        <v>4951</v>
      </c>
    </row>
    <row r="30" customFormat="false" ht="42" hidden="false" customHeight="true" outlineLevel="0" collapsed="false">
      <c r="A30" s="48" t="s">
        <v>4952</v>
      </c>
      <c r="B30" s="48" t="s">
        <v>4953</v>
      </c>
      <c r="C30" s="48" t="s">
        <v>4950</v>
      </c>
      <c r="D30" s="48" t="s">
        <v>4946</v>
      </c>
      <c r="E30" s="48" t="s">
        <v>4954</v>
      </c>
      <c r="F30" s="48" t="n">
        <v>324</v>
      </c>
      <c r="G30" s="48" t="s">
        <v>4955</v>
      </c>
      <c r="Q30" s="53"/>
    </row>
    <row r="31" customFormat="false" ht="49.5" hidden="false" customHeight="true" outlineLevel="0" collapsed="false">
      <c r="A31" s="53"/>
      <c r="B31" s="53"/>
      <c r="Q31" s="53"/>
    </row>
    <row r="32" customFormat="false" ht="25.5" hidden="false" customHeight="true" outlineLevel="0" collapsed="false">
      <c r="A32" s="49" t="s">
        <v>4956</v>
      </c>
      <c r="B32" s="49"/>
      <c r="C32" s="49"/>
      <c r="D32" s="49"/>
      <c r="E32" s="49"/>
      <c r="F32" s="49"/>
      <c r="G32" s="49"/>
      <c r="H32" s="49"/>
      <c r="I32" s="49"/>
      <c r="J32" s="49"/>
      <c r="K32" s="49"/>
      <c r="L32" s="49"/>
      <c r="M32" s="49"/>
      <c r="N32" s="49"/>
      <c r="O32" s="49"/>
      <c r="P32" s="49"/>
      <c r="Q32" s="49"/>
    </row>
    <row r="33" customFormat="false" ht="51.75" hidden="false" customHeight="true" outlineLevel="0" collapsed="false">
      <c r="A33" s="53" t="s">
        <v>3281</v>
      </c>
      <c r="B33" s="53" t="s">
        <v>3282</v>
      </c>
      <c r="C33" s="53"/>
      <c r="D33" s="53"/>
      <c r="E33" s="53"/>
      <c r="F33" s="53"/>
      <c r="G33" s="53"/>
      <c r="H33" s="53"/>
      <c r="I33" s="53"/>
      <c r="J33" s="53"/>
      <c r="K33" s="53"/>
      <c r="L33" s="53"/>
      <c r="M33" s="53"/>
      <c r="N33" s="53"/>
      <c r="O33" s="53"/>
      <c r="P33" s="53"/>
      <c r="Q33" s="53" t="s">
        <v>3283</v>
      </c>
    </row>
    <row r="34" customFormat="false" ht="51.75" hidden="false" customHeight="true" outlineLevel="0" collapsed="false">
      <c r="A34" s="53" t="s">
        <v>3284</v>
      </c>
      <c r="B34" s="53" t="s">
        <v>3285</v>
      </c>
      <c r="C34" s="53"/>
      <c r="D34" s="53"/>
      <c r="E34" s="53"/>
      <c r="F34" s="53"/>
      <c r="G34" s="53"/>
      <c r="H34" s="53"/>
      <c r="I34" s="53"/>
      <c r="J34" s="53"/>
      <c r="K34" s="53"/>
      <c r="L34" s="53"/>
      <c r="M34" s="53"/>
      <c r="N34" s="53"/>
      <c r="O34" s="53"/>
      <c r="P34" s="53"/>
      <c r="Q34" s="53" t="s">
        <v>3286</v>
      </c>
    </row>
    <row r="35" customFormat="false" ht="51.75" hidden="false" customHeight="true" outlineLevel="0" collapsed="false">
      <c r="A35" s="53" t="s">
        <v>3287</v>
      </c>
      <c r="B35" s="53" t="s">
        <v>3288</v>
      </c>
      <c r="C35" s="53"/>
      <c r="D35" s="53"/>
      <c r="E35" s="53"/>
      <c r="F35" s="53"/>
      <c r="G35" s="53"/>
      <c r="H35" s="53"/>
      <c r="I35" s="53"/>
      <c r="J35" s="53"/>
      <c r="K35" s="53"/>
      <c r="L35" s="53"/>
      <c r="M35" s="53"/>
      <c r="N35" s="53"/>
      <c r="O35" s="53"/>
      <c r="P35" s="53"/>
      <c r="Q35" s="53" t="s">
        <v>3289</v>
      </c>
    </row>
    <row r="36" customFormat="false" ht="51.75" hidden="false" customHeight="true" outlineLevel="0" collapsed="false">
      <c r="A36" s="53" t="s">
        <v>3290</v>
      </c>
      <c r="B36" s="53" t="s">
        <v>3291</v>
      </c>
      <c r="C36" s="53"/>
      <c r="D36" s="53"/>
      <c r="E36" s="53"/>
      <c r="F36" s="53"/>
      <c r="G36" s="53"/>
      <c r="H36" s="53"/>
      <c r="I36" s="53"/>
      <c r="J36" s="53"/>
      <c r="K36" s="53"/>
      <c r="L36" s="53"/>
      <c r="M36" s="53"/>
      <c r="N36" s="53"/>
      <c r="O36" s="53"/>
      <c r="P36" s="53"/>
      <c r="Q36" s="53" t="s">
        <v>3292</v>
      </c>
    </row>
    <row r="37" customFormat="false" ht="51.75" hidden="false" customHeight="true" outlineLevel="0" collapsed="false">
      <c r="A37" s="53" t="s">
        <v>3293</v>
      </c>
      <c r="B37" s="53" t="s">
        <v>3294</v>
      </c>
      <c r="C37" s="53"/>
      <c r="D37" s="53"/>
      <c r="E37" s="53"/>
      <c r="F37" s="53"/>
      <c r="G37" s="53"/>
      <c r="H37" s="53"/>
      <c r="I37" s="53"/>
      <c r="J37" s="53"/>
      <c r="K37" s="53"/>
      <c r="L37" s="53"/>
      <c r="M37" s="53"/>
      <c r="N37" s="53"/>
      <c r="O37" s="53"/>
      <c r="P37" s="53"/>
      <c r="Q37" s="53" t="s">
        <v>3295</v>
      </c>
    </row>
    <row r="38" customFormat="false" ht="51.75" hidden="false" customHeight="true" outlineLevel="0" collapsed="false">
      <c r="A38" s="53" t="s">
        <v>3296</v>
      </c>
      <c r="B38" s="53" t="s">
        <v>3297</v>
      </c>
      <c r="C38" s="53"/>
      <c r="D38" s="53"/>
      <c r="E38" s="53"/>
      <c r="F38" s="53"/>
      <c r="G38" s="53"/>
      <c r="H38" s="53"/>
      <c r="I38" s="53"/>
      <c r="J38" s="53"/>
      <c r="K38" s="53"/>
      <c r="L38" s="53"/>
      <c r="M38" s="53"/>
      <c r="N38" s="53"/>
      <c r="O38" s="53"/>
      <c r="P38" s="53"/>
      <c r="Q38" s="53" t="s">
        <v>3298</v>
      </c>
    </row>
    <row r="39" customFormat="false" ht="51.75" hidden="false" customHeight="true" outlineLevel="0" collapsed="false">
      <c r="A39" s="53" t="s">
        <v>3299</v>
      </c>
      <c r="B39" s="53" t="s">
        <v>3300</v>
      </c>
      <c r="C39" s="53"/>
      <c r="D39" s="53"/>
      <c r="E39" s="53"/>
      <c r="F39" s="53"/>
      <c r="G39" s="53"/>
      <c r="H39" s="53"/>
      <c r="I39" s="53"/>
      <c r="J39" s="53"/>
      <c r="K39" s="53"/>
      <c r="L39" s="53"/>
      <c r="M39" s="53"/>
      <c r="N39" s="53"/>
      <c r="O39" s="53"/>
      <c r="P39" s="53"/>
      <c r="Q39" s="53" t="s">
        <v>3301</v>
      </c>
    </row>
    <row r="40" customFormat="false" ht="51.75" hidden="false" customHeight="true" outlineLevel="0" collapsed="false">
      <c r="A40" s="53" t="s">
        <v>3302</v>
      </c>
      <c r="B40" s="53" t="s">
        <v>3303</v>
      </c>
      <c r="C40" s="53"/>
      <c r="D40" s="53"/>
      <c r="E40" s="53"/>
      <c r="F40" s="53"/>
      <c r="G40" s="53"/>
      <c r="H40" s="53"/>
      <c r="I40" s="53"/>
      <c r="J40" s="53"/>
      <c r="K40" s="53"/>
      <c r="L40" s="53"/>
      <c r="M40" s="53"/>
      <c r="N40" s="53"/>
      <c r="O40" s="53"/>
      <c r="P40" s="53"/>
      <c r="Q40" s="53" t="s">
        <v>3304</v>
      </c>
    </row>
  </sheetData>
  <autoFilter ref="A2:G17"/>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4957</v>
      </c>
      <c r="B1" s="8"/>
      <c r="C1" s="8"/>
      <c r="D1" s="8"/>
      <c r="E1" s="8"/>
      <c r="F1" s="8"/>
      <c r="G1" s="8"/>
      <c r="H1" s="8"/>
      <c r="I1" s="8"/>
      <c r="J1" s="8"/>
      <c r="K1" s="8"/>
      <c r="L1" s="8"/>
      <c r="M1" s="8"/>
      <c r="N1" s="8"/>
      <c r="O1" s="8"/>
      <c r="P1" s="8"/>
      <c r="Q1" s="8"/>
      <c r="R1" s="8"/>
      <c r="S1" s="8"/>
      <c r="T1" s="8"/>
      <c r="U1" s="8"/>
    </row>
    <row r="2" customFormat="false" ht="33.75" hidden="false" customHeight="true" outlineLevel="0" collapsed="false">
      <c r="A2" s="19" t="s">
        <v>4958</v>
      </c>
      <c r="B2" s="19"/>
      <c r="C2" s="19"/>
      <c r="D2" s="19"/>
      <c r="E2" s="19"/>
      <c r="F2" s="19"/>
      <c r="G2" s="19"/>
      <c r="H2" s="19"/>
      <c r="I2" s="19"/>
      <c r="J2" s="19"/>
      <c r="K2" s="19"/>
      <c r="L2" s="19"/>
      <c r="M2" s="19"/>
      <c r="N2" s="19"/>
      <c r="O2" s="19"/>
      <c r="P2" s="19"/>
      <c r="Q2" s="19"/>
      <c r="R2" s="19"/>
      <c r="S2" s="19"/>
      <c r="T2" s="19"/>
      <c r="U2" s="19"/>
    </row>
    <row r="4" customFormat="false" ht="33.75" hidden="false" customHeight="true" outlineLevel="0" collapsed="false">
      <c r="A4" s="10" t="s">
        <v>4959</v>
      </c>
      <c r="B4" s="10" t="s">
        <v>24</v>
      </c>
      <c r="C4" s="10" t="s">
        <v>3355</v>
      </c>
      <c r="D4" s="10" t="s">
        <v>4960</v>
      </c>
      <c r="E4" s="10" t="s">
        <v>4961</v>
      </c>
      <c r="F4" s="10" t="s">
        <v>4962</v>
      </c>
      <c r="G4" s="10" t="s">
        <v>4963</v>
      </c>
      <c r="H4" s="10" t="s">
        <v>4964</v>
      </c>
      <c r="I4" s="10" t="s">
        <v>4965</v>
      </c>
      <c r="J4" s="10" t="s">
        <v>4966</v>
      </c>
      <c r="K4" s="10" t="s">
        <v>4967</v>
      </c>
      <c r="L4" s="10" t="s">
        <v>4968</v>
      </c>
      <c r="M4" s="10" t="s">
        <v>4969</v>
      </c>
      <c r="N4" s="10" t="s">
        <v>4970</v>
      </c>
      <c r="O4" s="10" t="s">
        <v>4971</v>
      </c>
      <c r="P4" s="10" t="s">
        <v>4972</v>
      </c>
      <c r="Q4" s="10" t="s">
        <v>4973</v>
      </c>
      <c r="R4" s="10" t="s">
        <v>4974</v>
      </c>
      <c r="S4" s="10" t="s">
        <v>4975</v>
      </c>
      <c r="T4" s="10" t="s">
        <v>4976</v>
      </c>
      <c r="U4" s="10" t="s">
        <v>2154</v>
      </c>
    </row>
    <row r="5" customFormat="false" ht="72" hidden="false" customHeight="true" outlineLevel="0" collapsed="false">
      <c r="A5" s="58" t="s">
        <v>4977</v>
      </c>
      <c r="B5" s="58" t="s">
        <v>4978</v>
      </c>
      <c r="C5" s="58" t="s">
        <v>4979</v>
      </c>
      <c r="D5" s="58" t="s">
        <v>4980</v>
      </c>
      <c r="E5" s="59" t="n">
        <v>1</v>
      </c>
      <c r="F5" s="58" t="s">
        <v>1856</v>
      </c>
      <c r="G5" s="59" t="n">
        <v>1</v>
      </c>
      <c r="H5" s="58" t="s">
        <v>4981</v>
      </c>
      <c r="I5" s="59" t="n">
        <v>1</v>
      </c>
      <c r="J5" s="59" t="n">
        <v>1</v>
      </c>
      <c r="K5" s="58" t="s">
        <v>4982</v>
      </c>
      <c r="L5" s="59" t="s">
        <v>4983</v>
      </c>
      <c r="M5" s="60" t="b">
        <f aca="false">TRUE()</f>
        <v>1</v>
      </c>
      <c r="N5" s="59" t="n">
        <v>1</v>
      </c>
      <c r="O5" s="58" t="s">
        <v>4984</v>
      </c>
      <c r="P5" s="59" t="s">
        <v>4985</v>
      </c>
      <c r="Q5" s="59" t="s">
        <v>4986</v>
      </c>
      <c r="R5" s="59" t="s">
        <v>4987</v>
      </c>
      <c r="S5" s="59" t="s">
        <v>4988</v>
      </c>
      <c r="T5" s="58" t="s">
        <v>4989</v>
      </c>
      <c r="U5" s="61" t="s">
        <v>4990</v>
      </c>
    </row>
    <row r="6" customFormat="false" ht="72" hidden="false" customHeight="true" outlineLevel="0" collapsed="false">
      <c r="A6" s="28" t="s">
        <v>4991</v>
      </c>
      <c r="B6" s="28" t="s">
        <v>4992</v>
      </c>
      <c r="C6" s="28" t="s">
        <v>4993</v>
      </c>
      <c r="D6" s="28" t="s">
        <v>4980</v>
      </c>
      <c r="E6" s="29" t="n">
        <v>1</v>
      </c>
      <c r="F6" s="28" t="s">
        <v>1954</v>
      </c>
      <c r="G6" s="29" t="n">
        <v>1</v>
      </c>
      <c r="H6" s="28" t="s">
        <v>4981</v>
      </c>
      <c r="I6" s="29" t="n">
        <v>1</v>
      </c>
      <c r="J6" s="29" t="n">
        <v>1</v>
      </c>
      <c r="K6" s="28" t="s">
        <v>4982</v>
      </c>
      <c r="L6" s="29" t="s">
        <v>4983</v>
      </c>
      <c r="M6" s="62" t="b">
        <f aca="false">TRUE()</f>
        <v>1</v>
      </c>
      <c r="N6" s="29" t="n">
        <v>1</v>
      </c>
      <c r="O6" s="28" t="s">
        <v>4994</v>
      </c>
      <c r="P6" s="29" t="s">
        <v>4985</v>
      </c>
      <c r="Q6" s="29" t="s">
        <v>4995</v>
      </c>
      <c r="R6" s="29" t="s">
        <v>4996</v>
      </c>
      <c r="S6" s="29" t="s">
        <v>4988</v>
      </c>
      <c r="T6" s="28" t="s">
        <v>4989</v>
      </c>
      <c r="U6" s="63" t="s">
        <v>4997</v>
      </c>
    </row>
    <row r="7" customFormat="false" ht="72" hidden="false" customHeight="true" outlineLevel="0" collapsed="false">
      <c r="A7" s="58" t="s">
        <v>4998</v>
      </c>
      <c r="B7" s="58" t="s">
        <v>4999</v>
      </c>
      <c r="C7" s="58" t="s">
        <v>5000</v>
      </c>
      <c r="D7" s="58" t="s">
        <v>4980</v>
      </c>
      <c r="E7" s="59" t="n">
        <v>2</v>
      </c>
      <c r="F7" s="58" t="s">
        <v>1903</v>
      </c>
      <c r="G7" s="59" t="n">
        <v>2</v>
      </c>
      <c r="H7" s="58" t="s">
        <v>5001</v>
      </c>
      <c r="I7" s="59" t="n">
        <v>2</v>
      </c>
      <c r="J7" s="59" t="n">
        <v>1</v>
      </c>
      <c r="K7" s="58" t="s">
        <v>5002</v>
      </c>
      <c r="L7" s="59" t="s">
        <v>4983</v>
      </c>
      <c r="M7" s="60" t="b">
        <f aca="false">TRUE()</f>
        <v>1</v>
      </c>
      <c r="N7" s="59" t="n">
        <v>1</v>
      </c>
      <c r="O7" s="58" t="s">
        <v>5003</v>
      </c>
      <c r="P7" s="59" t="s">
        <v>1456</v>
      </c>
      <c r="Q7" s="59" t="s">
        <v>5004</v>
      </c>
      <c r="R7" s="59" t="s">
        <v>5005</v>
      </c>
      <c r="S7" s="59" t="s">
        <v>4988</v>
      </c>
      <c r="T7" s="58" t="s">
        <v>4989</v>
      </c>
      <c r="U7" s="61" t="s">
        <v>5006</v>
      </c>
    </row>
    <row r="8" customFormat="false" ht="72" hidden="false" customHeight="true" outlineLevel="0" collapsed="false">
      <c r="A8" s="28" t="s">
        <v>5007</v>
      </c>
      <c r="B8" s="28" t="s">
        <v>3732</v>
      </c>
      <c r="C8" s="28" t="s">
        <v>5008</v>
      </c>
      <c r="D8" s="28" t="s">
        <v>4980</v>
      </c>
      <c r="E8" s="29" t="n">
        <v>2</v>
      </c>
      <c r="F8" s="28" t="s">
        <v>1621</v>
      </c>
      <c r="G8" s="29" t="n">
        <v>2</v>
      </c>
      <c r="H8" s="28" t="s">
        <v>5009</v>
      </c>
      <c r="I8" s="29" t="n">
        <v>2</v>
      </c>
      <c r="J8" s="29" t="n">
        <v>2</v>
      </c>
      <c r="K8" s="28" t="s">
        <v>5010</v>
      </c>
      <c r="L8" s="29" t="s">
        <v>5011</v>
      </c>
      <c r="M8" s="62" t="b">
        <f aca="false">TRUE()</f>
        <v>1</v>
      </c>
      <c r="N8" s="29" t="n">
        <v>1</v>
      </c>
      <c r="O8" s="28" t="s">
        <v>5012</v>
      </c>
      <c r="P8" s="29" t="s">
        <v>1456</v>
      </c>
      <c r="Q8" s="29" t="s">
        <v>5013</v>
      </c>
      <c r="R8" s="29" t="s">
        <v>5014</v>
      </c>
      <c r="S8" s="29" t="s">
        <v>4988</v>
      </c>
      <c r="T8" s="28" t="s">
        <v>4989</v>
      </c>
      <c r="U8" s="63" t="s">
        <v>5015</v>
      </c>
    </row>
    <row r="9" customFormat="false" ht="72" hidden="false" customHeight="true" outlineLevel="0" collapsed="false">
      <c r="A9" s="58" t="s">
        <v>5016</v>
      </c>
      <c r="B9" s="58" t="s">
        <v>5017</v>
      </c>
      <c r="C9" s="58" t="s">
        <v>5018</v>
      </c>
      <c r="D9" s="58" t="s">
        <v>4980</v>
      </c>
      <c r="E9" s="59" t="n">
        <v>1</v>
      </c>
      <c r="F9" s="58" t="s">
        <v>1621</v>
      </c>
      <c r="G9" s="59" t="n">
        <v>1</v>
      </c>
      <c r="H9" s="58" t="s">
        <v>5019</v>
      </c>
      <c r="I9" s="59" t="n">
        <v>1</v>
      </c>
      <c r="J9" s="59" t="n">
        <v>1</v>
      </c>
      <c r="K9" s="58" t="s">
        <v>5020</v>
      </c>
      <c r="L9" s="59" t="s">
        <v>5021</v>
      </c>
      <c r="M9" s="60" t="b">
        <f aca="false">TRUE()</f>
        <v>1</v>
      </c>
      <c r="N9" s="59" t="n">
        <v>1</v>
      </c>
      <c r="O9" s="58" t="s">
        <v>5022</v>
      </c>
      <c r="P9" s="59" t="s">
        <v>2315</v>
      </c>
      <c r="Q9" s="59" t="s">
        <v>5023</v>
      </c>
      <c r="R9" s="59" t="s">
        <v>5024</v>
      </c>
      <c r="S9" s="59" t="s">
        <v>4988</v>
      </c>
      <c r="T9" s="58" t="s">
        <v>4989</v>
      </c>
      <c r="U9" s="61" t="s">
        <v>5025</v>
      </c>
    </row>
    <row r="10" customFormat="false" ht="72" hidden="false" customHeight="true" outlineLevel="0" collapsed="false">
      <c r="A10" s="28" t="s">
        <v>5026</v>
      </c>
      <c r="B10" s="28" t="s">
        <v>3738</v>
      </c>
      <c r="C10" s="28" t="s">
        <v>5027</v>
      </c>
      <c r="D10" s="28" t="s">
        <v>4980</v>
      </c>
      <c r="E10" s="29" t="n">
        <v>1</v>
      </c>
      <c r="F10" s="28" t="s">
        <v>1621</v>
      </c>
      <c r="G10" s="29" t="n">
        <v>1</v>
      </c>
      <c r="H10" s="28" t="s">
        <v>5019</v>
      </c>
      <c r="I10" s="29" t="n">
        <v>1</v>
      </c>
      <c r="J10" s="29" t="n">
        <v>1</v>
      </c>
      <c r="K10" s="28" t="s">
        <v>5028</v>
      </c>
      <c r="L10" s="29" t="s">
        <v>5029</v>
      </c>
      <c r="M10" s="62" t="b">
        <f aca="false">TRUE()</f>
        <v>1</v>
      </c>
      <c r="N10" s="29" t="n">
        <v>1</v>
      </c>
      <c r="O10" s="28" t="s">
        <v>5030</v>
      </c>
      <c r="P10" s="29" t="s">
        <v>4985</v>
      </c>
      <c r="Q10" s="29" t="s">
        <v>5031</v>
      </c>
      <c r="R10" s="29" t="s">
        <v>5032</v>
      </c>
      <c r="S10" s="29" t="s">
        <v>4988</v>
      </c>
      <c r="T10" s="28" t="s">
        <v>4989</v>
      </c>
      <c r="U10" s="63" t="s">
        <v>5033</v>
      </c>
    </row>
    <row r="11" customFormat="false" ht="72" hidden="false" customHeight="true" outlineLevel="0" collapsed="false">
      <c r="A11" s="58" t="s">
        <v>5034</v>
      </c>
      <c r="B11" s="58" t="s">
        <v>5035</v>
      </c>
      <c r="C11" s="58" t="s">
        <v>5036</v>
      </c>
      <c r="D11" s="58" t="s">
        <v>4980</v>
      </c>
      <c r="E11" s="59" t="n">
        <v>2</v>
      </c>
      <c r="F11" s="58" t="s">
        <v>1621</v>
      </c>
      <c r="G11" s="59" t="n">
        <v>2</v>
      </c>
      <c r="H11" s="58" t="s">
        <v>4981</v>
      </c>
      <c r="I11" s="59" t="n">
        <v>2</v>
      </c>
      <c r="J11" s="59" t="n">
        <v>1</v>
      </c>
      <c r="K11" s="58" t="s">
        <v>5037</v>
      </c>
      <c r="L11" s="59" t="s">
        <v>5038</v>
      </c>
      <c r="M11" s="60" t="b">
        <f aca="false">TRUE()</f>
        <v>1</v>
      </c>
      <c r="N11" s="59" t="n">
        <v>1</v>
      </c>
      <c r="O11" s="58" t="s">
        <v>5039</v>
      </c>
      <c r="P11" s="59" t="s">
        <v>1456</v>
      </c>
      <c r="Q11" s="59" t="s">
        <v>5040</v>
      </c>
      <c r="R11" s="59" t="s">
        <v>5041</v>
      </c>
      <c r="S11" s="59" t="s">
        <v>4988</v>
      </c>
      <c r="T11" s="58" t="s">
        <v>4989</v>
      </c>
      <c r="U11" s="61" t="s">
        <v>5042</v>
      </c>
    </row>
    <row r="12" customFormat="false" ht="72" hidden="false" customHeight="true" outlineLevel="0" collapsed="false">
      <c r="A12" s="28" t="s">
        <v>5043</v>
      </c>
      <c r="B12" s="28" t="s">
        <v>3686</v>
      </c>
      <c r="C12" s="28" t="s">
        <v>5044</v>
      </c>
      <c r="D12" s="28" t="s">
        <v>4980</v>
      </c>
      <c r="E12" s="29" t="n">
        <v>1</v>
      </c>
      <c r="F12" s="28" t="s">
        <v>1570</v>
      </c>
      <c r="G12" s="29" t="n">
        <v>1</v>
      </c>
      <c r="H12" s="28" t="s">
        <v>5045</v>
      </c>
      <c r="I12" s="29" t="n">
        <v>1</v>
      </c>
      <c r="J12" s="29" t="n">
        <v>1</v>
      </c>
      <c r="K12" s="28" t="s">
        <v>5046</v>
      </c>
      <c r="L12" s="29" t="s">
        <v>5029</v>
      </c>
      <c r="M12" s="62" t="b">
        <f aca="false">TRUE()</f>
        <v>1</v>
      </c>
      <c r="N12" s="29" t="n">
        <v>1</v>
      </c>
      <c r="O12" s="28" t="s">
        <v>5047</v>
      </c>
      <c r="P12" s="29" t="s">
        <v>4985</v>
      </c>
      <c r="Q12" s="29" t="s">
        <v>5048</v>
      </c>
      <c r="R12" s="29" t="s">
        <v>5049</v>
      </c>
      <c r="S12" s="29" t="s">
        <v>4988</v>
      </c>
      <c r="T12" s="28" t="s">
        <v>4989</v>
      </c>
      <c r="U12" s="63" t="s">
        <v>5050</v>
      </c>
    </row>
    <row r="13" customFormat="false" ht="72" hidden="false" customHeight="true" outlineLevel="0" collapsed="false">
      <c r="A13" s="58" t="s">
        <v>5051</v>
      </c>
      <c r="B13" s="58" t="s">
        <v>5052</v>
      </c>
      <c r="C13" s="58" t="s">
        <v>5053</v>
      </c>
      <c r="D13" s="58" t="s">
        <v>4980</v>
      </c>
      <c r="E13" s="59" t="n">
        <v>2</v>
      </c>
      <c r="F13" s="58" t="s">
        <v>1570</v>
      </c>
      <c r="G13" s="59" t="n">
        <v>2</v>
      </c>
      <c r="H13" s="58" t="s">
        <v>5054</v>
      </c>
      <c r="I13" s="59" t="n">
        <v>2</v>
      </c>
      <c r="J13" s="59" t="n">
        <v>1</v>
      </c>
      <c r="K13" s="58" t="s">
        <v>5055</v>
      </c>
      <c r="L13" s="59" t="s">
        <v>5056</v>
      </c>
      <c r="M13" s="60" t="b">
        <f aca="false">TRUE()</f>
        <v>1</v>
      </c>
      <c r="N13" s="59" t="n">
        <v>1</v>
      </c>
      <c r="O13" s="58" t="s">
        <v>5057</v>
      </c>
      <c r="P13" s="59" t="s">
        <v>1456</v>
      </c>
      <c r="Q13" s="59" t="s">
        <v>5058</v>
      </c>
      <c r="R13" s="59" t="s">
        <v>5059</v>
      </c>
      <c r="S13" s="59" t="s">
        <v>4988</v>
      </c>
      <c r="T13" s="58" t="s">
        <v>4989</v>
      </c>
      <c r="U13" s="61" t="s">
        <v>5060</v>
      </c>
    </row>
    <row r="14" customFormat="false" ht="72" hidden="false" customHeight="true" outlineLevel="0" collapsed="false">
      <c r="A14" s="28" t="s">
        <v>5061</v>
      </c>
      <c r="B14" s="28" t="s">
        <v>5062</v>
      </c>
      <c r="C14" s="28" t="s">
        <v>5063</v>
      </c>
      <c r="D14" s="28" t="s">
        <v>4980</v>
      </c>
      <c r="E14" s="29" t="n">
        <v>2</v>
      </c>
      <c r="F14" s="28" t="s">
        <v>1621</v>
      </c>
      <c r="G14" s="29" t="n">
        <v>2</v>
      </c>
      <c r="H14" s="28" t="s">
        <v>5064</v>
      </c>
      <c r="I14" s="29" t="n">
        <v>2</v>
      </c>
      <c r="J14" s="29" t="n">
        <v>1</v>
      </c>
      <c r="K14" s="28" t="s">
        <v>5065</v>
      </c>
      <c r="L14" s="29" t="s">
        <v>5066</v>
      </c>
      <c r="M14" s="62" t="b">
        <f aca="false">TRUE()</f>
        <v>1</v>
      </c>
      <c r="N14" s="29" t="n">
        <v>1</v>
      </c>
      <c r="O14" s="28" t="s">
        <v>5067</v>
      </c>
      <c r="P14" s="29" t="s">
        <v>4985</v>
      </c>
      <c r="Q14" s="29" t="s">
        <v>5068</v>
      </c>
      <c r="R14" s="29" t="s">
        <v>5069</v>
      </c>
      <c r="S14" s="29" t="s">
        <v>4988</v>
      </c>
      <c r="T14" s="28" t="s">
        <v>4989</v>
      </c>
      <c r="U14" s="63" t="s">
        <v>5070</v>
      </c>
    </row>
    <row r="15" customFormat="false" ht="72" hidden="false" customHeight="true" outlineLevel="0" collapsed="false">
      <c r="A15" s="58" t="s">
        <v>5071</v>
      </c>
      <c r="B15" s="58" t="s">
        <v>3677</v>
      </c>
      <c r="C15" s="58" t="s">
        <v>5072</v>
      </c>
      <c r="D15" s="58" t="s">
        <v>4980</v>
      </c>
      <c r="E15" s="59" t="n">
        <v>3</v>
      </c>
      <c r="F15" s="58" t="s">
        <v>1570</v>
      </c>
      <c r="G15" s="59" t="n">
        <v>3</v>
      </c>
      <c r="H15" s="58" t="s">
        <v>5073</v>
      </c>
      <c r="I15" s="59" t="n">
        <v>3</v>
      </c>
      <c r="J15" s="59" t="n">
        <v>1</v>
      </c>
      <c r="K15" s="58" t="s">
        <v>5074</v>
      </c>
      <c r="L15" s="59" t="s">
        <v>5075</v>
      </c>
      <c r="M15" s="60" t="b">
        <f aca="false">TRUE()</f>
        <v>1</v>
      </c>
      <c r="N15" s="59" t="n">
        <v>1</v>
      </c>
      <c r="O15" s="58" t="s">
        <v>5076</v>
      </c>
      <c r="P15" s="59" t="s">
        <v>1456</v>
      </c>
      <c r="Q15" s="59" t="s">
        <v>5077</v>
      </c>
      <c r="R15" s="59" t="s">
        <v>5078</v>
      </c>
      <c r="S15" s="59" t="s">
        <v>4988</v>
      </c>
      <c r="T15" s="58" t="s">
        <v>4989</v>
      </c>
      <c r="U15" s="61" t="s">
        <v>5079</v>
      </c>
    </row>
    <row r="16" customFormat="false" ht="72" hidden="false" customHeight="true" outlineLevel="0" collapsed="false">
      <c r="A16" s="28" t="s">
        <v>5080</v>
      </c>
      <c r="B16" s="28" t="s">
        <v>5081</v>
      </c>
      <c r="C16" s="28" t="s">
        <v>5082</v>
      </c>
      <c r="D16" s="28" t="s">
        <v>4980</v>
      </c>
      <c r="E16" s="29" t="n">
        <v>1</v>
      </c>
      <c r="F16" s="28" t="s">
        <v>1515</v>
      </c>
      <c r="G16" s="29" t="n">
        <v>1</v>
      </c>
      <c r="H16" s="28" t="s">
        <v>5019</v>
      </c>
      <c r="I16" s="29" t="n">
        <v>1</v>
      </c>
      <c r="J16" s="29" t="n">
        <v>1</v>
      </c>
      <c r="K16" s="28" t="s">
        <v>5083</v>
      </c>
      <c r="L16" s="29" t="s">
        <v>5084</v>
      </c>
      <c r="M16" s="62" t="b">
        <f aca="false">FALSE()</f>
        <v>0</v>
      </c>
      <c r="N16" s="29" t="n">
        <v>0</v>
      </c>
      <c r="O16" s="28" t="s">
        <v>5085</v>
      </c>
      <c r="P16" s="29" t="s">
        <v>4985</v>
      </c>
      <c r="Q16" s="29" t="s">
        <v>5086</v>
      </c>
      <c r="R16" s="29" t="s">
        <v>5087</v>
      </c>
      <c r="S16" s="29" t="s">
        <v>4988</v>
      </c>
      <c r="T16" s="28" t="s">
        <v>4989</v>
      </c>
      <c r="U16" s="63" t="s">
        <v>5088</v>
      </c>
    </row>
    <row r="17" customFormat="false" ht="72" hidden="false" customHeight="true" outlineLevel="0" collapsed="false">
      <c r="A17" s="58" t="s">
        <v>5089</v>
      </c>
      <c r="B17" s="58" t="s">
        <v>5090</v>
      </c>
      <c r="C17" s="58" t="s">
        <v>5091</v>
      </c>
      <c r="D17" s="58" t="s">
        <v>4980</v>
      </c>
      <c r="E17" s="59" t="n">
        <v>3</v>
      </c>
      <c r="F17" s="58" t="s">
        <v>1515</v>
      </c>
      <c r="G17" s="59" t="n">
        <v>3</v>
      </c>
      <c r="H17" s="58" t="s">
        <v>5073</v>
      </c>
      <c r="I17" s="59" t="n">
        <v>3</v>
      </c>
      <c r="J17" s="59" t="n">
        <v>1</v>
      </c>
      <c r="K17" s="58" t="s">
        <v>5092</v>
      </c>
      <c r="L17" s="59" t="s">
        <v>5093</v>
      </c>
      <c r="M17" s="60" t="b">
        <f aca="false">TRUE()</f>
        <v>1</v>
      </c>
      <c r="N17" s="59" t="n">
        <v>1</v>
      </c>
      <c r="O17" s="58" t="s">
        <v>5094</v>
      </c>
      <c r="P17" s="59" t="s">
        <v>1456</v>
      </c>
      <c r="Q17" s="59" t="s">
        <v>5077</v>
      </c>
      <c r="R17" s="59" t="s">
        <v>5095</v>
      </c>
      <c r="S17" s="59" t="s">
        <v>4988</v>
      </c>
      <c r="T17" s="58" t="s">
        <v>4989</v>
      </c>
      <c r="U17" s="61" t="s">
        <v>5096</v>
      </c>
    </row>
    <row r="18" customFormat="false" ht="72" hidden="false" customHeight="true" outlineLevel="0" collapsed="false">
      <c r="A18" s="28" t="s">
        <v>5097</v>
      </c>
      <c r="B18" s="28" t="s">
        <v>5098</v>
      </c>
      <c r="C18" s="28" t="s">
        <v>5099</v>
      </c>
      <c r="D18" s="28" t="s">
        <v>4980</v>
      </c>
      <c r="E18" s="29" t="n">
        <v>2</v>
      </c>
      <c r="F18" s="28" t="s">
        <v>1670</v>
      </c>
      <c r="G18" s="29" t="n">
        <v>2</v>
      </c>
      <c r="H18" s="28" t="s">
        <v>5100</v>
      </c>
      <c r="I18" s="29" t="n">
        <v>2</v>
      </c>
      <c r="J18" s="29" t="n">
        <v>1</v>
      </c>
      <c r="K18" s="28" t="s">
        <v>5101</v>
      </c>
      <c r="L18" s="29" t="s">
        <v>5102</v>
      </c>
      <c r="M18" s="62" t="b">
        <f aca="false">TRUE()</f>
        <v>1</v>
      </c>
      <c r="N18" s="29" t="n">
        <v>1</v>
      </c>
      <c r="O18" s="28" t="s">
        <v>5103</v>
      </c>
      <c r="P18" s="29" t="s">
        <v>1456</v>
      </c>
      <c r="Q18" s="29" t="s">
        <v>5104</v>
      </c>
      <c r="R18" s="29" t="s">
        <v>5105</v>
      </c>
      <c r="S18" s="29" t="s">
        <v>4988</v>
      </c>
      <c r="T18" s="28" t="s">
        <v>4989</v>
      </c>
      <c r="U18" s="63" t="s">
        <v>5106</v>
      </c>
    </row>
    <row r="19" customFormat="false" ht="72" hidden="false" customHeight="true" outlineLevel="0" collapsed="false">
      <c r="A19" s="58" t="s">
        <v>5107</v>
      </c>
      <c r="B19" s="58" t="s">
        <v>5108</v>
      </c>
      <c r="C19" s="58" t="s">
        <v>5109</v>
      </c>
      <c r="D19" s="58" t="s">
        <v>4980</v>
      </c>
      <c r="E19" s="59" t="n">
        <v>1</v>
      </c>
      <c r="F19" s="58" t="s">
        <v>1756</v>
      </c>
      <c r="G19" s="59" t="n">
        <v>1</v>
      </c>
      <c r="H19" s="58" t="s">
        <v>5045</v>
      </c>
      <c r="I19" s="59" t="n">
        <v>1</v>
      </c>
      <c r="J19" s="59" t="n">
        <v>1</v>
      </c>
      <c r="K19" s="58" t="s">
        <v>5110</v>
      </c>
      <c r="L19" s="59" t="s">
        <v>5111</v>
      </c>
      <c r="M19" s="60" t="b">
        <f aca="false">TRUE()</f>
        <v>1</v>
      </c>
      <c r="N19" s="59" t="n">
        <v>1</v>
      </c>
      <c r="O19" s="58" t="s">
        <v>5112</v>
      </c>
      <c r="P19" s="59" t="s">
        <v>4985</v>
      </c>
      <c r="Q19" s="59" t="s">
        <v>5113</v>
      </c>
      <c r="R19" s="59" t="s">
        <v>5114</v>
      </c>
      <c r="S19" s="59" t="s">
        <v>4988</v>
      </c>
      <c r="T19" s="58" t="s">
        <v>4989</v>
      </c>
      <c r="U19" s="61" t="s">
        <v>5115</v>
      </c>
    </row>
    <row r="20" customFormat="false" ht="72" hidden="false" customHeight="true" outlineLevel="0" collapsed="false">
      <c r="A20" s="28" t="s">
        <v>5116</v>
      </c>
      <c r="B20" s="28" t="s">
        <v>5117</v>
      </c>
      <c r="C20" s="28" t="s">
        <v>5118</v>
      </c>
      <c r="D20" s="28" t="s">
        <v>4980</v>
      </c>
      <c r="E20" s="29" t="n">
        <v>2</v>
      </c>
      <c r="F20" s="28" t="s">
        <v>1756</v>
      </c>
      <c r="G20" s="29" t="n">
        <v>2</v>
      </c>
      <c r="H20" s="28" t="s">
        <v>5001</v>
      </c>
      <c r="I20" s="29" t="n">
        <v>2</v>
      </c>
      <c r="J20" s="29" t="n">
        <v>1</v>
      </c>
      <c r="K20" s="28" t="s">
        <v>5119</v>
      </c>
      <c r="L20" s="29" t="s">
        <v>5120</v>
      </c>
      <c r="M20" s="62" t="b">
        <f aca="false">TRUE()</f>
        <v>1</v>
      </c>
      <c r="N20" s="29" t="n">
        <v>1</v>
      </c>
      <c r="O20" s="28" t="s">
        <v>5121</v>
      </c>
      <c r="P20" s="29" t="s">
        <v>1456</v>
      </c>
      <c r="Q20" s="29" t="s">
        <v>5122</v>
      </c>
      <c r="R20" s="29" t="s">
        <v>5123</v>
      </c>
      <c r="S20" s="29" t="s">
        <v>4988</v>
      </c>
      <c r="T20" s="28" t="s">
        <v>4989</v>
      </c>
      <c r="U20" s="63" t="s">
        <v>5124</v>
      </c>
    </row>
    <row r="21" customFormat="false" ht="72" hidden="false" customHeight="true" outlineLevel="0" collapsed="false">
      <c r="A21" s="58" t="s">
        <v>5125</v>
      </c>
      <c r="B21" s="58" t="s">
        <v>5126</v>
      </c>
      <c r="C21" s="58" t="s">
        <v>5127</v>
      </c>
      <c r="D21" s="58" t="s">
        <v>4980</v>
      </c>
      <c r="E21" s="59" t="n">
        <v>2</v>
      </c>
      <c r="F21" s="58" t="s">
        <v>1756</v>
      </c>
      <c r="G21" s="59" t="n">
        <v>2</v>
      </c>
      <c r="H21" s="58" t="s">
        <v>5128</v>
      </c>
      <c r="I21" s="59" t="n">
        <v>2</v>
      </c>
      <c r="J21" s="59" t="n">
        <v>1</v>
      </c>
      <c r="K21" s="58" t="s">
        <v>5129</v>
      </c>
      <c r="L21" s="59" t="s">
        <v>5130</v>
      </c>
      <c r="M21" s="60" t="b">
        <f aca="false">TRUE()</f>
        <v>1</v>
      </c>
      <c r="N21" s="59" t="n">
        <v>1</v>
      </c>
      <c r="O21" s="58" t="s">
        <v>5131</v>
      </c>
      <c r="P21" s="59" t="s">
        <v>1456</v>
      </c>
      <c r="Q21" s="59" t="s">
        <v>5132</v>
      </c>
      <c r="R21" s="59" t="s">
        <v>5133</v>
      </c>
      <c r="S21" s="59" t="s">
        <v>4988</v>
      </c>
      <c r="T21" s="58" t="s">
        <v>4989</v>
      </c>
      <c r="U21" s="61" t="s">
        <v>5134</v>
      </c>
    </row>
    <row r="22" customFormat="false" ht="72" hidden="false" customHeight="true" outlineLevel="0" collapsed="false">
      <c r="A22" s="28" t="s">
        <v>5135</v>
      </c>
      <c r="B22" s="28" t="s">
        <v>5136</v>
      </c>
      <c r="C22" s="28" t="s">
        <v>5137</v>
      </c>
      <c r="D22" s="28" t="s">
        <v>4980</v>
      </c>
      <c r="E22" s="29" t="n">
        <v>3</v>
      </c>
      <c r="F22" s="28" t="s">
        <v>1670</v>
      </c>
      <c r="G22" s="29" t="n">
        <v>3</v>
      </c>
      <c r="H22" s="28" t="s">
        <v>5138</v>
      </c>
      <c r="I22" s="29" t="n">
        <v>3</v>
      </c>
      <c r="J22" s="29" t="n">
        <v>2</v>
      </c>
      <c r="K22" s="28" t="s">
        <v>5139</v>
      </c>
      <c r="L22" s="29" t="s">
        <v>5140</v>
      </c>
      <c r="M22" s="62" t="b">
        <f aca="false">TRUE()</f>
        <v>1</v>
      </c>
      <c r="N22" s="29" t="n">
        <v>1</v>
      </c>
      <c r="O22" s="28" t="s">
        <v>5141</v>
      </c>
      <c r="P22" s="29" t="s">
        <v>1456</v>
      </c>
      <c r="Q22" s="29" t="s">
        <v>5142</v>
      </c>
      <c r="R22" s="29" t="s">
        <v>5143</v>
      </c>
      <c r="S22" s="29" t="s">
        <v>4988</v>
      </c>
      <c r="T22" s="28" t="s">
        <v>4989</v>
      </c>
      <c r="U22" s="63" t="s">
        <v>5144</v>
      </c>
    </row>
    <row r="23" customFormat="false" ht="72" hidden="false" customHeight="true" outlineLevel="0" collapsed="false">
      <c r="A23" s="58" t="s">
        <v>5145</v>
      </c>
      <c r="B23" s="58" t="s">
        <v>5146</v>
      </c>
      <c r="C23" s="58" t="s">
        <v>5147</v>
      </c>
      <c r="D23" s="58" t="s">
        <v>4980</v>
      </c>
      <c r="E23" s="59" t="n">
        <v>2</v>
      </c>
      <c r="F23" s="58" t="s">
        <v>1806</v>
      </c>
      <c r="G23" s="59" t="n">
        <v>2</v>
      </c>
      <c r="H23" s="58" t="s">
        <v>5009</v>
      </c>
      <c r="I23" s="59" t="n">
        <v>2</v>
      </c>
      <c r="J23" s="59" t="n">
        <v>1</v>
      </c>
      <c r="K23" s="58" t="s">
        <v>5148</v>
      </c>
      <c r="L23" s="59" t="s">
        <v>5149</v>
      </c>
      <c r="M23" s="60" t="b">
        <f aca="false">TRUE()</f>
        <v>1</v>
      </c>
      <c r="N23" s="59" t="n">
        <v>1</v>
      </c>
      <c r="O23" s="58" t="s">
        <v>5150</v>
      </c>
      <c r="P23" s="59" t="s">
        <v>1456</v>
      </c>
      <c r="Q23" s="59" t="s">
        <v>5151</v>
      </c>
      <c r="R23" s="59" t="s">
        <v>5152</v>
      </c>
      <c r="S23" s="59" t="s">
        <v>4988</v>
      </c>
      <c r="T23" s="58" t="s">
        <v>4989</v>
      </c>
      <c r="U23" s="61" t="s">
        <v>5153</v>
      </c>
    </row>
    <row r="24" customFormat="false" ht="72" hidden="false" customHeight="true" outlineLevel="0" collapsed="false">
      <c r="A24" s="28" t="s">
        <v>5154</v>
      </c>
      <c r="B24" s="28" t="s">
        <v>5155</v>
      </c>
      <c r="C24" s="28" t="s">
        <v>5156</v>
      </c>
      <c r="D24" s="28" t="s">
        <v>4980</v>
      </c>
      <c r="E24" s="29" t="n">
        <v>3</v>
      </c>
      <c r="F24" s="28" t="s">
        <v>1447</v>
      </c>
      <c r="G24" s="29" t="n">
        <v>3</v>
      </c>
      <c r="H24" s="28" t="s">
        <v>4981</v>
      </c>
      <c r="I24" s="29" t="n">
        <v>3</v>
      </c>
      <c r="J24" s="29" t="n">
        <v>2</v>
      </c>
      <c r="K24" s="28" t="s">
        <v>5157</v>
      </c>
      <c r="L24" s="29" t="s">
        <v>5158</v>
      </c>
      <c r="M24" s="62" t="b">
        <f aca="false">TRUE()</f>
        <v>1</v>
      </c>
      <c r="N24" s="29" t="n">
        <v>1</v>
      </c>
      <c r="O24" s="28" t="s">
        <v>5159</v>
      </c>
      <c r="P24" s="29" t="s">
        <v>1456</v>
      </c>
      <c r="Q24" s="29" t="s">
        <v>5160</v>
      </c>
      <c r="R24" s="29" t="s">
        <v>5161</v>
      </c>
      <c r="S24" s="29" t="s">
        <v>4988</v>
      </c>
      <c r="T24" s="28" t="s">
        <v>4989</v>
      </c>
      <c r="U24" s="63" t="s">
        <v>5162</v>
      </c>
    </row>
    <row r="25" customFormat="false" ht="72" hidden="false" customHeight="true" outlineLevel="0" collapsed="false">
      <c r="A25" s="58" t="s">
        <v>5163</v>
      </c>
      <c r="B25" s="58" t="s">
        <v>5164</v>
      </c>
      <c r="C25" s="58" t="s">
        <v>5165</v>
      </c>
      <c r="D25" s="58" t="s">
        <v>4980</v>
      </c>
      <c r="E25" s="59" t="n">
        <v>1</v>
      </c>
      <c r="F25" s="58" t="s">
        <v>1756</v>
      </c>
      <c r="G25" s="59" t="n">
        <v>1</v>
      </c>
      <c r="H25" s="58" t="s">
        <v>4981</v>
      </c>
      <c r="I25" s="59" t="n">
        <v>1</v>
      </c>
      <c r="J25" s="59" t="n">
        <v>1</v>
      </c>
      <c r="K25" s="58" t="s">
        <v>5166</v>
      </c>
      <c r="L25" s="59" t="s">
        <v>5167</v>
      </c>
      <c r="M25" s="60" t="b">
        <f aca="false">TRUE()</f>
        <v>1</v>
      </c>
      <c r="N25" s="59" t="n">
        <v>1</v>
      </c>
      <c r="O25" s="58" t="s">
        <v>5168</v>
      </c>
      <c r="P25" s="59" t="s">
        <v>4985</v>
      </c>
      <c r="Q25" s="59" t="s">
        <v>5169</v>
      </c>
      <c r="R25" s="59" t="s">
        <v>5170</v>
      </c>
      <c r="S25" s="59" t="s">
        <v>4988</v>
      </c>
      <c r="T25" s="58" t="s">
        <v>4989</v>
      </c>
      <c r="U25" s="61" t="s">
        <v>5171</v>
      </c>
    </row>
    <row r="26" customFormat="false" ht="72" hidden="false" customHeight="true" outlineLevel="0" collapsed="false">
      <c r="A26" s="28" t="s">
        <v>5172</v>
      </c>
      <c r="B26" s="28" t="s">
        <v>5173</v>
      </c>
      <c r="C26" s="28" t="s">
        <v>5174</v>
      </c>
      <c r="D26" s="28" t="s">
        <v>4980</v>
      </c>
      <c r="E26" s="29" t="n">
        <v>1</v>
      </c>
      <c r="F26" s="28" t="s">
        <v>1447</v>
      </c>
      <c r="G26" s="29" t="n">
        <v>1</v>
      </c>
      <c r="H26" s="28" t="s">
        <v>5045</v>
      </c>
      <c r="I26" s="29" t="n">
        <v>1</v>
      </c>
      <c r="J26" s="29" t="n">
        <v>1</v>
      </c>
      <c r="K26" s="28" t="s">
        <v>5175</v>
      </c>
      <c r="L26" s="29" t="s">
        <v>5176</v>
      </c>
      <c r="M26" s="62" t="b">
        <f aca="false">TRUE()</f>
        <v>1</v>
      </c>
      <c r="N26" s="29" t="n">
        <v>1</v>
      </c>
      <c r="O26" s="28" t="s">
        <v>5177</v>
      </c>
      <c r="P26" s="29" t="s">
        <v>4985</v>
      </c>
      <c r="Q26" s="29" t="s">
        <v>5178</v>
      </c>
      <c r="R26" s="29" t="s">
        <v>5179</v>
      </c>
      <c r="S26" s="29" t="s">
        <v>4988</v>
      </c>
      <c r="T26" s="28" t="s">
        <v>4989</v>
      </c>
      <c r="U26" s="63" t="s">
        <v>5180</v>
      </c>
    </row>
    <row r="27" customFormat="false" ht="72" hidden="false" customHeight="true" outlineLevel="0" collapsed="false">
      <c r="A27" s="58" t="s">
        <v>5181</v>
      </c>
      <c r="B27" s="58" t="s">
        <v>5182</v>
      </c>
      <c r="C27" s="58" t="s">
        <v>5183</v>
      </c>
      <c r="D27" s="58" t="s">
        <v>4980</v>
      </c>
      <c r="E27" s="59" t="n">
        <v>2</v>
      </c>
      <c r="F27" s="58" t="s">
        <v>1447</v>
      </c>
      <c r="G27" s="59" t="n">
        <v>2</v>
      </c>
      <c r="H27" s="58" t="s">
        <v>5001</v>
      </c>
      <c r="I27" s="59" t="n">
        <v>2</v>
      </c>
      <c r="J27" s="59" t="n">
        <v>2</v>
      </c>
      <c r="K27" s="58" t="s">
        <v>5184</v>
      </c>
      <c r="L27" s="59" t="s">
        <v>5185</v>
      </c>
      <c r="M27" s="60" t="b">
        <f aca="false">TRUE()</f>
        <v>1</v>
      </c>
      <c r="N27" s="59" t="n">
        <v>1</v>
      </c>
      <c r="O27" s="58" t="s">
        <v>5186</v>
      </c>
      <c r="P27" s="59" t="s">
        <v>1456</v>
      </c>
      <c r="Q27" s="59" t="s">
        <v>5187</v>
      </c>
      <c r="R27" s="59" t="s">
        <v>5188</v>
      </c>
      <c r="S27" s="59" t="s">
        <v>4988</v>
      </c>
      <c r="T27" s="58" t="s">
        <v>4989</v>
      </c>
      <c r="U27" s="61" t="s">
        <v>5189</v>
      </c>
    </row>
    <row r="28" customFormat="false" ht="72" hidden="false" customHeight="true" outlineLevel="0" collapsed="false">
      <c r="A28" s="28" t="s">
        <v>5190</v>
      </c>
      <c r="B28" s="28" t="s">
        <v>5191</v>
      </c>
      <c r="C28" s="28" t="s">
        <v>5192</v>
      </c>
      <c r="D28" s="28" t="s">
        <v>4980</v>
      </c>
      <c r="E28" s="29" t="n">
        <v>1</v>
      </c>
      <c r="F28" s="28" t="s">
        <v>1447</v>
      </c>
      <c r="G28" s="29" t="n">
        <v>1</v>
      </c>
      <c r="H28" s="28" t="s">
        <v>697</v>
      </c>
      <c r="I28" s="29" t="n">
        <v>1</v>
      </c>
      <c r="J28" s="29" t="n">
        <v>1</v>
      </c>
      <c r="K28" s="28" t="s">
        <v>5193</v>
      </c>
      <c r="L28" s="29" t="s">
        <v>5194</v>
      </c>
      <c r="M28" s="62" t="b">
        <f aca="false">TRUE()</f>
        <v>1</v>
      </c>
      <c r="N28" s="29" t="n">
        <v>1</v>
      </c>
      <c r="O28" s="28" t="s">
        <v>5195</v>
      </c>
      <c r="P28" s="29" t="s">
        <v>2315</v>
      </c>
      <c r="Q28" s="29" t="s">
        <v>5196</v>
      </c>
      <c r="R28" s="29" t="s">
        <v>5197</v>
      </c>
      <c r="S28" s="29" t="s">
        <v>4988</v>
      </c>
      <c r="T28" s="28" t="s">
        <v>4989</v>
      </c>
      <c r="U28" s="63" t="s">
        <v>5198</v>
      </c>
    </row>
    <row r="29" customFormat="false" ht="72" hidden="false" customHeight="true" outlineLevel="0" collapsed="false">
      <c r="A29" s="58" t="s">
        <v>5199</v>
      </c>
      <c r="B29" s="58" t="s">
        <v>5200</v>
      </c>
      <c r="C29" s="58" t="s">
        <v>5201</v>
      </c>
      <c r="D29" s="58" t="s">
        <v>4980</v>
      </c>
      <c r="E29" s="59" t="n">
        <v>1</v>
      </c>
      <c r="F29" s="58" t="s">
        <v>1856</v>
      </c>
      <c r="G29" s="59" t="n">
        <v>1</v>
      </c>
      <c r="H29" s="58" t="s">
        <v>5019</v>
      </c>
      <c r="I29" s="59" t="n">
        <v>1</v>
      </c>
      <c r="J29" s="59" t="n">
        <v>1</v>
      </c>
      <c r="K29" s="58" t="s">
        <v>5202</v>
      </c>
      <c r="L29" s="59" t="s">
        <v>5203</v>
      </c>
      <c r="M29" s="60" t="b">
        <f aca="false">TRUE()</f>
        <v>1</v>
      </c>
      <c r="N29" s="59" t="n">
        <v>1</v>
      </c>
      <c r="O29" s="58" t="s">
        <v>5204</v>
      </c>
      <c r="P29" s="59" t="s">
        <v>4985</v>
      </c>
      <c r="Q29" s="59" t="s">
        <v>5205</v>
      </c>
      <c r="R29" s="59" t="s">
        <v>5206</v>
      </c>
      <c r="S29" s="59" t="s">
        <v>4988</v>
      </c>
      <c r="T29" s="58" t="s">
        <v>4989</v>
      </c>
      <c r="U29" s="61" t="s">
        <v>5207</v>
      </c>
    </row>
    <row r="30" customFormat="false" ht="72" hidden="false" customHeight="true" outlineLevel="0" collapsed="false">
      <c r="A30" s="28" t="s">
        <v>5208</v>
      </c>
      <c r="B30" s="28" t="s">
        <v>5209</v>
      </c>
      <c r="C30" s="28" t="s">
        <v>5210</v>
      </c>
      <c r="D30" s="28" t="s">
        <v>4980</v>
      </c>
      <c r="E30" s="29" t="n">
        <v>1</v>
      </c>
      <c r="F30" s="28" t="s">
        <v>1954</v>
      </c>
      <c r="G30" s="29" t="n">
        <v>1</v>
      </c>
      <c r="H30" s="28" t="s">
        <v>5019</v>
      </c>
      <c r="I30" s="29" t="n">
        <v>1</v>
      </c>
      <c r="J30" s="29" t="n">
        <v>1</v>
      </c>
      <c r="K30" s="28" t="s">
        <v>5202</v>
      </c>
      <c r="L30" s="29" t="s">
        <v>5211</v>
      </c>
      <c r="M30" s="62" t="b">
        <f aca="false">TRUE()</f>
        <v>1</v>
      </c>
      <c r="N30" s="29" t="n">
        <v>1</v>
      </c>
      <c r="O30" s="28" t="s">
        <v>5212</v>
      </c>
      <c r="P30" s="29" t="s">
        <v>4985</v>
      </c>
      <c r="Q30" s="29" t="s">
        <v>5205</v>
      </c>
      <c r="R30" s="29" t="s">
        <v>5213</v>
      </c>
      <c r="S30" s="29" t="s">
        <v>4988</v>
      </c>
      <c r="T30" s="28" t="s">
        <v>4989</v>
      </c>
      <c r="U30" s="63" t="s">
        <v>5214</v>
      </c>
    </row>
    <row r="31" customFormat="false" ht="72" hidden="false" customHeight="true" outlineLevel="0" collapsed="false">
      <c r="A31" s="58" t="s">
        <v>5215</v>
      </c>
      <c r="B31" s="58" t="s">
        <v>5216</v>
      </c>
      <c r="C31" s="58" t="s">
        <v>5217</v>
      </c>
      <c r="D31" s="58" t="s">
        <v>4980</v>
      </c>
      <c r="E31" s="59" t="n">
        <v>2</v>
      </c>
      <c r="F31" s="58" t="s">
        <v>1756</v>
      </c>
      <c r="G31" s="59" t="n">
        <v>2</v>
      </c>
      <c r="H31" s="58" t="s">
        <v>5100</v>
      </c>
      <c r="I31" s="59" t="n">
        <v>2</v>
      </c>
      <c r="J31" s="59" t="n">
        <v>1</v>
      </c>
      <c r="K31" s="58" t="s">
        <v>5218</v>
      </c>
      <c r="L31" s="59" t="s">
        <v>5219</v>
      </c>
      <c r="M31" s="60" t="b">
        <f aca="false">TRUE()</f>
        <v>1</v>
      </c>
      <c r="N31" s="59" t="n">
        <v>1</v>
      </c>
      <c r="O31" s="58" t="s">
        <v>5220</v>
      </c>
      <c r="P31" s="59" t="s">
        <v>1456</v>
      </c>
      <c r="Q31" s="59" t="s">
        <v>5221</v>
      </c>
      <c r="R31" s="59" t="s">
        <v>5222</v>
      </c>
      <c r="S31" s="59" t="s">
        <v>4988</v>
      </c>
      <c r="T31" s="58" t="s">
        <v>4989</v>
      </c>
      <c r="U31" s="61" t="s">
        <v>5223</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U31"/>
  <mergeCells count="2">
    <mergeCell ref="A1:U1"/>
    <mergeCell ref="A2:U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6" t="s">
        <v>5224</v>
      </c>
      <c r="B1" s="46"/>
      <c r="C1" s="46"/>
      <c r="D1" s="46"/>
      <c r="E1" s="46"/>
      <c r="F1" s="46"/>
      <c r="G1" s="46"/>
    </row>
    <row r="2" customFormat="false" ht="36" hidden="false" customHeight="true" outlineLevel="0" collapsed="false">
      <c r="A2" s="47" t="s">
        <v>3512</v>
      </c>
      <c r="B2" s="47" t="s">
        <v>4727</v>
      </c>
      <c r="C2" s="47" t="s">
        <v>5225</v>
      </c>
      <c r="D2" s="47" t="s">
        <v>5226</v>
      </c>
      <c r="E2" s="47" t="s">
        <v>4730</v>
      </c>
      <c r="F2" s="47" t="s">
        <v>4731</v>
      </c>
      <c r="G2" s="47" t="s">
        <v>2</v>
      </c>
    </row>
    <row r="3" customFormat="false" ht="39.75" hidden="false" customHeight="true" outlineLevel="0" collapsed="false">
      <c r="A3" s="27"/>
      <c r="B3" s="27"/>
      <c r="C3" s="27"/>
      <c r="D3" s="27"/>
      <c r="E3" s="27"/>
      <c r="F3" s="27"/>
      <c r="G3" s="27"/>
    </row>
    <row r="4" customFormat="false" ht="48" hidden="false" customHeight="true" outlineLevel="0" collapsed="false">
      <c r="A4" s="48" t="s">
        <v>5227</v>
      </c>
      <c r="B4" s="48" t="s">
        <v>5228</v>
      </c>
      <c r="C4" s="48" t="s">
        <v>5229</v>
      </c>
      <c r="D4" s="48" t="s">
        <v>5230</v>
      </c>
      <c r="E4" s="48" t="s">
        <v>5231</v>
      </c>
      <c r="F4" s="48" t="s">
        <v>5232</v>
      </c>
      <c r="G4" s="48" t="s">
        <v>5233</v>
      </c>
    </row>
    <row r="5" customFormat="false" ht="48" hidden="false" customHeight="true" outlineLevel="0" collapsed="false">
      <c r="A5" s="48" t="s">
        <v>5227</v>
      </c>
      <c r="B5" s="48" t="s">
        <v>5234</v>
      </c>
      <c r="C5" s="48" t="s">
        <v>5235</v>
      </c>
      <c r="D5" s="48" t="s">
        <v>5236</v>
      </c>
      <c r="E5" s="48" t="s">
        <v>5237</v>
      </c>
      <c r="F5" s="48" t="s">
        <v>5232</v>
      </c>
      <c r="G5" s="48" t="s">
        <v>5233</v>
      </c>
    </row>
    <row r="6" customFormat="false" ht="48" hidden="false" customHeight="true" outlineLevel="0" collapsed="false">
      <c r="A6" s="48" t="s">
        <v>5227</v>
      </c>
      <c r="B6" s="48" t="s">
        <v>5238</v>
      </c>
      <c r="C6" s="48" t="s">
        <v>5239</v>
      </c>
      <c r="D6" s="48" t="s">
        <v>5240</v>
      </c>
      <c r="E6" s="48" t="s">
        <v>5241</v>
      </c>
      <c r="F6" s="48" t="s">
        <v>5242</v>
      </c>
      <c r="G6" s="48" t="s">
        <v>5233</v>
      </c>
    </row>
    <row r="7" customFormat="false" ht="48" hidden="false" customHeight="true" outlineLevel="0" collapsed="false">
      <c r="A7" s="48" t="s">
        <v>5243</v>
      </c>
      <c r="B7" s="48" t="s">
        <v>5244</v>
      </c>
      <c r="C7" s="48" t="s">
        <v>5245</v>
      </c>
      <c r="D7" s="48" t="s">
        <v>5246</v>
      </c>
      <c r="E7" s="48" t="s">
        <v>5247</v>
      </c>
      <c r="F7" s="48" t="s">
        <v>5248</v>
      </c>
      <c r="G7" s="48" t="s">
        <v>5249</v>
      </c>
    </row>
    <row r="8" customFormat="false" ht="48" hidden="false" customHeight="true" outlineLevel="0" collapsed="false">
      <c r="A8" s="48" t="s">
        <v>5250</v>
      </c>
      <c r="B8" s="48" t="s">
        <v>5251</v>
      </c>
      <c r="C8" s="48" t="s">
        <v>5252</v>
      </c>
      <c r="D8" s="48" t="s">
        <v>5253</v>
      </c>
      <c r="E8" s="48" t="s">
        <v>5254</v>
      </c>
      <c r="F8" s="48" t="s">
        <v>5255</v>
      </c>
      <c r="G8" s="48" t="s">
        <v>4750</v>
      </c>
    </row>
    <row r="9" customFormat="false" ht="48" hidden="false" customHeight="true" outlineLevel="0" collapsed="false">
      <c r="A9" s="48" t="s">
        <v>5256</v>
      </c>
      <c r="B9" s="48" t="s">
        <v>5257</v>
      </c>
      <c r="C9" s="48" t="s">
        <v>5258</v>
      </c>
      <c r="D9" s="48" t="s">
        <v>5259</v>
      </c>
      <c r="E9" s="48" t="s">
        <v>5260</v>
      </c>
      <c r="F9" s="48" t="s">
        <v>5261</v>
      </c>
      <c r="G9" s="48" t="s">
        <v>5262</v>
      </c>
    </row>
    <row r="10" customFormat="false" ht="48" hidden="false" customHeight="true" outlineLevel="0" collapsed="false">
      <c r="A10" s="48" t="s">
        <v>5263</v>
      </c>
      <c r="B10" s="48" t="s">
        <v>5264</v>
      </c>
      <c r="C10" s="48" t="s">
        <v>5265</v>
      </c>
      <c r="D10" s="48" t="s">
        <v>5266</v>
      </c>
      <c r="E10" s="48" t="s">
        <v>5267</v>
      </c>
      <c r="F10" s="48" t="s">
        <v>5268</v>
      </c>
      <c r="G10" s="48" t="s">
        <v>4738</v>
      </c>
    </row>
    <row r="11" customFormat="false" ht="48" hidden="false" customHeight="true" outlineLevel="0" collapsed="false">
      <c r="A11" s="48" t="s">
        <v>5269</v>
      </c>
      <c r="B11" s="48" t="s">
        <v>5270</v>
      </c>
      <c r="C11" s="48" t="s">
        <v>5271</v>
      </c>
      <c r="D11" s="48" t="s">
        <v>5272</v>
      </c>
      <c r="E11" s="48" t="s">
        <v>5273</v>
      </c>
      <c r="F11" s="48" t="s">
        <v>5274</v>
      </c>
      <c r="G11" s="48" t="s">
        <v>5249</v>
      </c>
    </row>
    <row r="12" customFormat="false" ht="48" hidden="false" customHeight="true" outlineLevel="0" collapsed="false">
      <c r="A12" s="48" t="s">
        <v>4659</v>
      </c>
      <c r="B12" s="48" t="s">
        <v>5275</v>
      </c>
      <c r="C12" s="48" t="s">
        <v>5276</v>
      </c>
      <c r="D12" s="48" t="s">
        <v>5277</v>
      </c>
      <c r="E12" s="48" t="s">
        <v>5278</v>
      </c>
      <c r="F12" s="48" t="s">
        <v>4976</v>
      </c>
      <c r="G12" s="48" t="s">
        <v>5279</v>
      </c>
    </row>
    <row r="13" customFormat="false" ht="48" hidden="false" customHeight="true" outlineLevel="0" collapsed="false">
      <c r="A13" s="48" t="s">
        <v>4659</v>
      </c>
      <c r="B13" s="48" t="s">
        <v>5280</v>
      </c>
      <c r="C13" s="48" t="s">
        <v>5281</v>
      </c>
      <c r="D13" s="48" t="s">
        <v>5282</v>
      </c>
      <c r="E13" s="48" t="s">
        <v>5283</v>
      </c>
      <c r="F13" s="48" t="s">
        <v>5248</v>
      </c>
      <c r="G13" s="48" t="s">
        <v>5249</v>
      </c>
    </row>
    <row r="14" customFormat="false" ht="48" hidden="false" customHeight="true" outlineLevel="0" collapsed="false">
      <c r="A14" s="48" t="s">
        <v>5284</v>
      </c>
      <c r="B14" s="48" t="s">
        <v>5285</v>
      </c>
      <c r="C14" s="48" t="s">
        <v>5286</v>
      </c>
      <c r="D14" s="48" t="s">
        <v>5287</v>
      </c>
      <c r="E14" s="48" t="s">
        <v>5288</v>
      </c>
      <c r="F14" s="48" t="s">
        <v>5255</v>
      </c>
      <c r="G14" s="48" t="s">
        <v>5289</v>
      </c>
    </row>
    <row r="15" customFormat="false" ht="48" hidden="false" customHeight="true" outlineLevel="0" collapsed="false">
      <c r="A15" s="48" t="s">
        <v>5284</v>
      </c>
      <c r="B15" s="48" t="s">
        <v>5290</v>
      </c>
      <c r="C15" s="48" t="s">
        <v>5291</v>
      </c>
      <c r="D15" s="48" t="s">
        <v>5292</v>
      </c>
      <c r="E15" s="48" t="s">
        <v>5293</v>
      </c>
      <c r="F15" s="48" t="s">
        <v>5242</v>
      </c>
      <c r="G15" s="48" t="s">
        <v>5249</v>
      </c>
    </row>
    <row r="16" customFormat="false" ht="48" hidden="false" customHeight="true" outlineLevel="0" collapsed="false">
      <c r="A16" s="48"/>
      <c r="B16" s="48"/>
      <c r="C16" s="48"/>
      <c r="D16" s="48"/>
      <c r="E16" s="48"/>
      <c r="F16" s="48"/>
      <c r="G16" s="48"/>
    </row>
    <row r="17" customFormat="false" ht="48" hidden="false" customHeight="true" outlineLevel="0" collapsed="false">
      <c r="A17" s="48"/>
      <c r="B17" s="48"/>
      <c r="C17" s="48"/>
      <c r="D17" s="48"/>
      <c r="E17" s="48"/>
      <c r="F17" s="48"/>
      <c r="G17" s="48"/>
    </row>
    <row r="18" customFormat="false" ht="48" hidden="false" customHeight="true" outlineLevel="0" collapsed="false">
      <c r="A18" s="48"/>
      <c r="B18" s="48"/>
      <c r="C18" s="48"/>
      <c r="D18" s="48"/>
      <c r="E18" s="48"/>
      <c r="F18" s="48"/>
      <c r="G18" s="48"/>
    </row>
    <row r="19" customFormat="false" ht="48" hidden="false" customHeight="true" outlineLevel="0" collapsed="false">
      <c r="A19" s="48"/>
      <c r="B19" s="48"/>
      <c r="C19" s="48"/>
      <c r="D19" s="48"/>
      <c r="E19" s="48"/>
      <c r="F19" s="48"/>
      <c r="G19" s="48"/>
    </row>
    <row r="20" customFormat="false" ht="25.5" hidden="false" customHeight="true" outlineLevel="0" collapsed="false">
      <c r="A20" s="49" t="s">
        <v>5294</v>
      </c>
      <c r="B20" s="49"/>
      <c r="C20" s="49"/>
      <c r="D20" s="49"/>
      <c r="E20" s="49"/>
      <c r="F20" s="49"/>
      <c r="G20" s="49"/>
      <c r="H20" s="49"/>
      <c r="I20" s="49"/>
      <c r="J20" s="49"/>
      <c r="K20" s="49"/>
      <c r="L20" s="49"/>
      <c r="M20" s="49"/>
      <c r="N20" s="49"/>
      <c r="O20" s="49"/>
      <c r="P20" s="49"/>
      <c r="Q20" s="49"/>
    </row>
    <row r="21" customFormat="false" ht="36" hidden="false" customHeight="true" outlineLevel="0" collapsed="false">
      <c r="A21" s="47" t="s">
        <v>5295</v>
      </c>
      <c r="B21" s="47" t="s">
        <v>5296</v>
      </c>
      <c r="C21" s="47" t="s">
        <v>5297</v>
      </c>
      <c r="D21" s="47" t="s">
        <v>5298</v>
      </c>
      <c r="E21" s="47" t="s">
        <v>5299</v>
      </c>
      <c r="F21" s="47" t="s">
        <v>5300</v>
      </c>
      <c r="G21" s="47" t="s">
        <v>2</v>
      </c>
      <c r="H21" s="47"/>
      <c r="I21" s="47"/>
      <c r="J21" s="47"/>
      <c r="K21" s="47"/>
      <c r="L21" s="47"/>
      <c r="M21" s="47"/>
      <c r="N21" s="47"/>
      <c r="O21" s="47"/>
      <c r="P21" s="47"/>
      <c r="Q21" s="47"/>
    </row>
    <row r="22" customFormat="false" ht="42" hidden="false" customHeight="true" outlineLevel="0" collapsed="false">
      <c r="A22" s="51" t="s">
        <v>5301</v>
      </c>
      <c r="B22" s="51" t="s">
        <v>5302</v>
      </c>
      <c r="C22" s="51" t="s">
        <v>5303</v>
      </c>
      <c r="D22" s="51" t="s">
        <v>5304</v>
      </c>
      <c r="E22" s="51" t="s">
        <v>5305</v>
      </c>
      <c r="F22" s="51" t="s">
        <v>5306</v>
      </c>
      <c r="G22" s="51" t="s">
        <v>4811</v>
      </c>
      <c r="H22" s="51"/>
      <c r="I22" s="51"/>
      <c r="J22" s="51"/>
      <c r="K22" s="51"/>
      <c r="L22" s="51"/>
      <c r="M22" s="51"/>
      <c r="N22" s="51"/>
      <c r="O22" s="51"/>
      <c r="P22" s="52"/>
      <c r="Q22" s="51"/>
    </row>
    <row r="23" customFormat="false" ht="42" hidden="false" customHeight="true" outlineLevel="0" collapsed="false">
      <c r="A23" s="54" t="s">
        <v>5307</v>
      </c>
      <c r="B23" s="54" t="s">
        <v>5308</v>
      </c>
      <c r="C23" s="54" t="s">
        <v>5309</v>
      </c>
      <c r="D23" s="54" t="s">
        <v>5310</v>
      </c>
      <c r="E23" s="54" t="s">
        <v>5311</v>
      </c>
      <c r="F23" s="54" t="s">
        <v>5312</v>
      </c>
      <c r="G23" s="54" t="s">
        <v>5313</v>
      </c>
      <c r="H23" s="54"/>
      <c r="I23" s="54"/>
      <c r="J23" s="54"/>
      <c r="K23" s="54"/>
      <c r="L23" s="54"/>
      <c r="M23" s="54"/>
      <c r="N23" s="54"/>
      <c r="O23" s="54"/>
      <c r="P23" s="55"/>
      <c r="Q23" s="54"/>
    </row>
    <row r="24" customFormat="false" ht="42" hidden="false" customHeight="true" outlineLevel="0" collapsed="false">
      <c r="A24" s="56" t="s">
        <v>5314</v>
      </c>
      <c r="B24" s="56" t="s">
        <v>5315</v>
      </c>
      <c r="C24" s="56" t="s">
        <v>5309</v>
      </c>
      <c r="D24" s="56" t="s">
        <v>5316</v>
      </c>
      <c r="E24" s="56" t="s">
        <v>5317</v>
      </c>
      <c r="F24" s="56" t="s">
        <v>5312</v>
      </c>
      <c r="G24" s="56" t="s">
        <v>5313</v>
      </c>
      <c r="H24" s="56"/>
      <c r="I24" s="56"/>
      <c r="J24" s="56"/>
      <c r="K24" s="56"/>
      <c r="L24" s="56"/>
      <c r="M24" s="56"/>
      <c r="N24" s="56"/>
      <c r="O24" s="56"/>
      <c r="P24" s="57"/>
      <c r="Q24" s="56"/>
    </row>
    <row r="25" customFormat="false" ht="42" hidden="false" customHeight="true" outlineLevel="0" collapsed="false">
      <c r="A25" s="51" t="s">
        <v>5318</v>
      </c>
      <c r="B25" s="51" t="s">
        <v>5319</v>
      </c>
      <c r="C25" s="51" t="s">
        <v>5309</v>
      </c>
      <c r="D25" s="51" t="s">
        <v>5320</v>
      </c>
      <c r="E25" s="51" t="s">
        <v>5321</v>
      </c>
      <c r="F25" s="51" t="s">
        <v>5312</v>
      </c>
      <c r="G25" s="51" t="s">
        <v>5313</v>
      </c>
      <c r="H25" s="51"/>
      <c r="I25" s="51"/>
      <c r="J25" s="51"/>
      <c r="K25" s="51"/>
      <c r="L25" s="51"/>
      <c r="M25" s="51"/>
      <c r="N25" s="51"/>
      <c r="O25" s="51"/>
      <c r="P25" s="52"/>
      <c r="Q25" s="51"/>
    </row>
    <row r="26" customFormat="false" ht="25.5" hidden="false" customHeight="true" outlineLevel="0" collapsed="false">
      <c r="A26" s="49" t="s">
        <v>5322</v>
      </c>
      <c r="B26" s="49"/>
      <c r="C26" s="49"/>
      <c r="D26" s="49"/>
      <c r="E26" s="49"/>
      <c r="F26" s="49"/>
      <c r="G26" s="49"/>
      <c r="H26" s="49"/>
      <c r="I26" s="49"/>
      <c r="J26" s="49"/>
      <c r="K26" s="49"/>
      <c r="L26" s="49"/>
      <c r="M26" s="49"/>
      <c r="N26" s="49"/>
      <c r="O26" s="49"/>
      <c r="P26" s="49"/>
      <c r="Q26" s="49"/>
    </row>
    <row r="27" customFormat="false" ht="36" hidden="false" customHeight="true" outlineLevel="0" collapsed="false">
      <c r="A27" s="47" t="s">
        <v>5323</v>
      </c>
      <c r="B27" s="47" t="s">
        <v>5324</v>
      </c>
      <c r="C27" s="47" t="s">
        <v>5325</v>
      </c>
      <c r="D27" s="47" t="s">
        <v>5326</v>
      </c>
      <c r="E27" s="47" t="s">
        <v>5327</v>
      </c>
      <c r="F27" s="47" t="s">
        <v>5312</v>
      </c>
      <c r="G27" s="47" t="s">
        <v>5313</v>
      </c>
    </row>
    <row r="28" customFormat="false" ht="42" hidden="false" customHeight="true" outlineLevel="0" collapsed="false">
      <c r="A28" s="48" t="s">
        <v>5328</v>
      </c>
      <c r="B28" s="48" t="s">
        <v>5329</v>
      </c>
      <c r="C28" s="48" t="s">
        <v>5330</v>
      </c>
      <c r="D28" s="48" t="s">
        <v>5331</v>
      </c>
      <c r="E28" s="48" t="s">
        <v>5332</v>
      </c>
      <c r="F28" s="48" t="s">
        <v>5333</v>
      </c>
      <c r="G28" s="48" t="s">
        <v>5334</v>
      </c>
    </row>
    <row r="29" customFormat="false" ht="42" hidden="false" customHeight="true" outlineLevel="0" collapsed="false">
      <c r="A29" s="48"/>
      <c r="B29" s="48"/>
      <c r="C29" s="48"/>
      <c r="D29" s="48"/>
      <c r="E29" s="48"/>
      <c r="F29" s="48"/>
      <c r="G29" s="48"/>
    </row>
    <row r="30" customFormat="false" ht="42" hidden="false" customHeight="true" outlineLevel="0" collapsed="false">
      <c r="A30" s="48" t="s">
        <v>5335</v>
      </c>
      <c r="B30" s="48"/>
      <c r="C30" s="48"/>
      <c r="D30" s="48"/>
      <c r="E30" s="48"/>
      <c r="F30" s="48"/>
      <c r="G30" s="48"/>
      <c r="Q30" s="53"/>
    </row>
    <row r="31" customFormat="false" ht="51.75" hidden="false" customHeight="true" outlineLevel="0" collapsed="false">
      <c r="A31" s="53" t="s">
        <v>3305</v>
      </c>
      <c r="B31" s="53" t="s">
        <v>3306</v>
      </c>
      <c r="C31" s="53"/>
      <c r="D31" s="53"/>
      <c r="E31" s="53"/>
      <c r="F31" s="53"/>
      <c r="G31" s="53"/>
      <c r="H31" s="53"/>
      <c r="I31" s="53"/>
      <c r="J31" s="53"/>
      <c r="K31" s="53"/>
      <c r="L31" s="53"/>
      <c r="M31" s="53"/>
      <c r="N31" s="53"/>
      <c r="O31" s="53"/>
      <c r="P31" s="53"/>
      <c r="Q31" s="53" t="s">
        <v>5336</v>
      </c>
    </row>
    <row r="32" customFormat="false" ht="51.75" hidden="false" customHeight="true" outlineLevel="0" collapsed="false">
      <c r="A32" s="53" t="s">
        <v>3308</v>
      </c>
      <c r="B32" s="53" t="s">
        <v>3309</v>
      </c>
      <c r="C32" s="53"/>
      <c r="D32" s="53"/>
      <c r="E32" s="53"/>
      <c r="F32" s="53"/>
      <c r="G32" s="53"/>
      <c r="H32" s="53"/>
      <c r="I32" s="53"/>
      <c r="J32" s="53"/>
      <c r="K32" s="53"/>
      <c r="L32" s="53"/>
      <c r="M32" s="53"/>
      <c r="N32" s="53"/>
      <c r="O32" s="53"/>
      <c r="P32" s="53"/>
      <c r="Q32" s="53" t="s">
        <v>5336</v>
      </c>
    </row>
    <row r="33" customFormat="false" ht="51.75" hidden="false" customHeight="true" outlineLevel="0" collapsed="false">
      <c r="A33" s="53" t="s">
        <v>3310</v>
      </c>
      <c r="B33" s="53" t="s">
        <v>3311</v>
      </c>
      <c r="C33" s="53"/>
      <c r="D33" s="53"/>
      <c r="E33" s="53"/>
      <c r="F33" s="53"/>
      <c r="G33" s="53"/>
      <c r="H33" s="53"/>
      <c r="I33" s="53"/>
      <c r="J33" s="53"/>
      <c r="K33" s="53"/>
      <c r="L33" s="53"/>
      <c r="M33" s="53"/>
      <c r="N33" s="53"/>
      <c r="O33" s="53"/>
      <c r="P33" s="53"/>
      <c r="Q33" s="53" t="s">
        <v>5336</v>
      </c>
    </row>
    <row r="34" customFormat="false" ht="51.75" hidden="false" customHeight="true" outlineLevel="0" collapsed="false">
      <c r="A34" s="53" t="s">
        <v>3312</v>
      </c>
      <c r="B34" s="53" t="s">
        <v>3313</v>
      </c>
      <c r="C34" s="53"/>
      <c r="D34" s="53"/>
      <c r="E34" s="53"/>
      <c r="F34" s="53"/>
      <c r="G34" s="53"/>
      <c r="H34" s="53"/>
      <c r="I34" s="53"/>
      <c r="J34" s="53"/>
      <c r="K34" s="53"/>
      <c r="L34" s="53"/>
      <c r="M34" s="53"/>
      <c r="N34" s="53"/>
      <c r="O34" s="53"/>
      <c r="P34" s="53"/>
      <c r="Q34" s="53" t="s">
        <v>5336</v>
      </c>
    </row>
    <row r="35" customFormat="false" ht="51.75" hidden="false" customHeight="true" outlineLevel="0" collapsed="false">
      <c r="A35" s="53" t="s">
        <v>3314</v>
      </c>
      <c r="B35" s="53" t="s">
        <v>3315</v>
      </c>
      <c r="C35" s="53"/>
      <c r="D35" s="53"/>
      <c r="E35" s="53"/>
      <c r="F35" s="53"/>
      <c r="G35" s="53"/>
      <c r="H35" s="53"/>
      <c r="I35" s="53"/>
      <c r="J35" s="53"/>
      <c r="K35" s="53"/>
      <c r="L35" s="53"/>
      <c r="M35" s="53"/>
      <c r="N35" s="53"/>
      <c r="O35" s="53"/>
      <c r="P35" s="53"/>
      <c r="Q35" s="53" t="s">
        <v>5336</v>
      </c>
    </row>
    <row r="36" customFormat="false" ht="51.75" hidden="false" customHeight="true" outlineLevel="0" collapsed="false">
      <c r="A36" s="53" t="s">
        <v>3316</v>
      </c>
      <c r="B36" s="53" t="s">
        <v>3317</v>
      </c>
      <c r="C36" s="53"/>
      <c r="D36" s="53"/>
      <c r="E36" s="53"/>
      <c r="F36" s="53"/>
      <c r="G36" s="53"/>
      <c r="H36" s="53"/>
      <c r="I36" s="53"/>
      <c r="J36" s="53"/>
      <c r="K36" s="53"/>
      <c r="L36" s="53"/>
      <c r="M36" s="53"/>
      <c r="N36" s="53"/>
      <c r="O36" s="53"/>
      <c r="P36" s="53"/>
      <c r="Q36" s="53" t="s">
        <v>5336</v>
      </c>
    </row>
    <row r="37" customFormat="false" ht="51.75" hidden="false" customHeight="true" outlineLevel="0" collapsed="false">
      <c r="A37" s="53" t="s">
        <v>3318</v>
      </c>
      <c r="B37" s="53" t="s">
        <v>3319</v>
      </c>
      <c r="C37" s="53"/>
      <c r="D37" s="53"/>
      <c r="E37" s="53"/>
      <c r="F37" s="53"/>
      <c r="G37" s="53"/>
      <c r="H37" s="53"/>
      <c r="I37" s="53"/>
      <c r="J37" s="53"/>
      <c r="K37" s="53"/>
      <c r="L37" s="53"/>
      <c r="M37" s="53"/>
      <c r="N37" s="53"/>
      <c r="O37" s="53"/>
      <c r="P37" s="53"/>
      <c r="Q37" s="53" t="s">
        <v>5336</v>
      </c>
    </row>
    <row r="38" customFormat="false" ht="51.75" hidden="false" customHeight="true" outlineLevel="0" collapsed="false">
      <c r="A38" s="53" t="s">
        <v>3320</v>
      </c>
      <c r="B38" s="53" t="s">
        <v>3321</v>
      </c>
      <c r="C38" s="53"/>
      <c r="D38" s="53"/>
      <c r="E38" s="53"/>
      <c r="F38" s="53"/>
      <c r="G38" s="53"/>
      <c r="H38" s="53"/>
      <c r="I38" s="53"/>
      <c r="J38" s="53"/>
      <c r="K38" s="53"/>
      <c r="L38" s="53"/>
      <c r="M38" s="53"/>
      <c r="N38" s="53"/>
      <c r="O38" s="53"/>
      <c r="P38" s="53"/>
      <c r="Q38" s="53" t="s">
        <v>5336</v>
      </c>
    </row>
    <row r="39" customFormat="false" ht="51.75" hidden="false" customHeight="true" outlineLevel="0" collapsed="false">
      <c r="A39" s="53" t="s">
        <v>3322</v>
      </c>
      <c r="B39" s="53" t="s">
        <v>3323</v>
      </c>
      <c r="C39" s="53"/>
      <c r="D39" s="53"/>
      <c r="E39" s="53"/>
      <c r="F39" s="53"/>
      <c r="G39" s="53"/>
      <c r="H39" s="53"/>
      <c r="I39" s="53"/>
      <c r="J39" s="53"/>
      <c r="K39" s="53"/>
      <c r="L39" s="53"/>
      <c r="M39" s="53"/>
      <c r="N39" s="53"/>
      <c r="O39" s="53"/>
      <c r="P39" s="53"/>
      <c r="Q39" s="53" t="s">
        <v>5336</v>
      </c>
    </row>
    <row r="40" customFormat="false" ht="51.75" hidden="false" customHeight="true" outlineLevel="0" collapsed="false">
      <c r="A40" s="53" t="s">
        <v>3324</v>
      </c>
      <c r="B40" s="53" t="s">
        <v>3325</v>
      </c>
      <c r="C40" s="53"/>
      <c r="D40" s="53"/>
      <c r="E40" s="53"/>
      <c r="F40" s="53"/>
      <c r="G40" s="53"/>
      <c r="H40" s="53"/>
      <c r="I40" s="53"/>
      <c r="J40" s="53"/>
      <c r="K40" s="53"/>
      <c r="L40" s="53"/>
      <c r="M40" s="53"/>
      <c r="N40" s="53"/>
      <c r="O40" s="53"/>
      <c r="P40" s="53"/>
      <c r="Q40" s="53" t="s">
        <v>5336</v>
      </c>
    </row>
    <row r="41" customFormat="false" ht="51.75" hidden="false" customHeight="true" outlineLevel="0" collapsed="false">
      <c r="A41" s="53" t="s">
        <v>3326</v>
      </c>
      <c r="B41" s="53" t="s">
        <v>3327</v>
      </c>
      <c r="C41" s="53"/>
      <c r="D41" s="53"/>
      <c r="E41" s="53"/>
      <c r="F41" s="53"/>
      <c r="G41" s="53"/>
      <c r="H41" s="53"/>
      <c r="I41" s="53"/>
      <c r="J41" s="53"/>
      <c r="K41" s="53"/>
      <c r="L41" s="53"/>
      <c r="M41" s="53"/>
      <c r="N41" s="53"/>
      <c r="O41" s="53"/>
      <c r="P41" s="53"/>
      <c r="Q41" s="53" t="s">
        <v>5336</v>
      </c>
    </row>
    <row r="42" customFormat="false" ht="51.75" hidden="false" customHeight="true" outlineLevel="0" collapsed="false">
      <c r="A42" s="53" t="s">
        <v>3328</v>
      </c>
      <c r="B42" s="53" t="s">
        <v>3329</v>
      </c>
      <c r="C42" s="53"/>
      <c r="D42" s="53"/>
      <c r="E42" s="53"/>
      <c r="F42" s="53"/>
      <c r="G42" s="53"/>
      <c r="H42" s="53"/>
      <c r="I42" s="53"/>
      <c r="J42" s="53"/>
      <c r="K42" s="53"/>
      <c r="L42" s="53"/>
      <c r="M42" s="53"/>
      <c r="N42" s="53"/>
      <c r="O42" s="53"/>
      <c r="P42" s="53"/>
      <c r="Q42" s="53" t="s">
        <v>5336</v>
      </c>
    </row>
  </sheetData>
  <autoFilter ref="A2:G15"/>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18"/>
    <col collapsed="false" customWidth="true" hidden="false" outlineLevel="0" max="6" min="5" style="1" width="15"/>
    <col collapsed="false" customWidth="true" hidden="false" outlineLevel="0" max="7" min="7" style="1" width="10"/>
    <col collapsed="false" customWidth="true" hidden="false" outlineLevel="0" max="8" min="8" style="1" width="11"/>
    <col collapsed="false" customWidth="true" hidden="false" outlineLevel="0" max="9" min="9" style="1" width="12"/>
    <col collapsed="false" customWidth="true" hidden="false" outlineLevel="0" max="10" min="10" style="1" width="10"/>
    <col collapsed="false" customWidth="true" hidden="false" outlineLevel="0" max="11" min="11" style="1" width="9"/>
    <col collapsed="false" customWidth="true" hidden="false" outlineLevel="0" max="12" min="12" style="1" width="16"/>
    <col collapsed="false" customWidth="true" hidden="false" outlineLevel="0" max="14" min="13" style="1" width="27"/>
    <col collapsed="false" customWidth="true" hidden="false" outlineLevel="0" max="15" min="15" style="1" width="28"/>
    <col collapsed="false" customWidth="true" hidden="false" outlineLevel="0" max="16" min="16" style="1" width="15"/>
    <col collapsed="false" customWidth="true" hidden="false" outlineLevel="0" max="17" min="17" style="1" width="16"/>
    <col collapsed="false" customWidth="true" hidden="false" outlineLevel="0" max="18" min="18" style="1" width="12"/>
    <col collapsed="false" customWidth="true" hidden="false" outlineLevel="0" max="19" min="19" style="1" width="16"/>
  </cols>
  <sheetData>
    <row r="1" customFormat="false" ht="24" hidden="false" customHeight="true" outlineLevel="0" collapsed="false">
      <c r="A1" s="64" t="s">
        <v>5337</v>
      </c>
      <c r="B1" s="64"/>
      <c r="C1" s="64"/>
      <c r="D1" s="64"/>
      <c r="E1" s="64"/>
      <c r="F1" s="64"/>
      <c r="G1" s="64"/>
      <c r="H1" s="64"/>
      <c r="I1" s="64"/>
      <c r="J1" s="64"/>
      <c r="K1" s="64"/>
      <c r="L1" s="64"/>
      <c r="M1" s="64"/>
      <c r="N1" s="64"/>
      <c r="O1" s="64"/>
      <c r="P1" s="64"/>
      <c r="Q1" s="64"/>
      <c r="R1" s="64"/>
      <c r="S1" s="64"/>
    </row>
    <row r="2" customFormat="false" ht="15" hidden="false" customHeight="true" outlineLevel="0" collapsed="false">
      <c r="A2" s="65" t="s">
        <v>5338</v>
      </c>
      <c r="B2" s="65"/>
      <c r="C2" s="65"/>
      <c r="D2" s="65"/>
      <c r="E2" s="65"/>
      <c r="F2" s="65"/>
      <c r="G2" s="65"/>
      <c r="H2" s="65"/>
      <c r="I2" s="65"/>
      <c r="J2" s="65"/>
      <c r="K2" s="65"/>
      <c r="L2" s="65"/>
      <c r="M2" s="65"/>
      <c r="N2" s="65"/>
      <c r="O2" s="65"/>
      <c r="P2" s="65"/>
      <c r="Q2" s="65"/>
      <c r="R2" s="65"/>
      <c r="S2" s="65"/>
    </row>
    <row r="3" customFormat="false" ht="37.5" hidden="false" customHeight="true" outlineLevel="0" collapsed="false">
      <c r="A3" s="66" t="s">
        <v>5339</v>
      </c>
      <c r="B3" s="66" t="s">
        <v>5340</v>
      </c>
      <c r="C3" s="66" t="s">
        <v>3517</v>
      </c>
      <c r="D3" s="66" t="s">
        <v>5341</v>
      </c>
      <c r="E3" s="66" t="s">
        <v>5342</v>
      </c>
      <c r="F3" s="66" t="s">
        <v>5343</v>
      </c>
      <c r="G3" s="66" t="s">
        <v>1261</v>
      </c>
      <c r="H3" s="66" t="s">
        <v>4834</v>
      </c>
      <c r="I3" s="66" t="s">
        <v>5344</v>
      </c>
      <c r="J3" s="66" t="s">
        <v>5345</v>
      </c>
      <c r="K3" s="66" t="s">
        <v>512</v>
      </c>
      <c r="L3" s="66" t="s">
        <v>5346</v>
      </c>
      <c r="M3" s="66" t="s">
        <v>5347</v>
      </c>
      <c r="N3" s="66" t="s">
        <v>5348</v>
      </c>
      <c r="O3" s="66" t="s">
        <v>5349</v>
      </c>
      <c r="P3" s="66" t="s">
        <v>5350</v>
      </c>
      <c r="Q3" s="66" t="s">
        <v>5351</v>
      </c>
      <c r="R3" s="66" t="s">
        <v>5352</v>
      </c>
      <c r="S3" s="66" t="s">
        <v>5353</v>
      </c>
    </row>
    <row r="4" customFormat="false" ht="37.5" hidden="false" customHeight="true" outlineLevel="0" collapsed="false">
      <c r="A4" s="67" t="s">
        <v>5354</v>
      </c>
      <c r="B4" s="67" t="s">
        <v>5355</v>
      </c>
      <c r="C4" s="68" t="s">
        <v>5356</v>
      </c>
      <c r="D4" s="68" t="s">
        <v>3585</v>
      </c>
      <c r="E4" s="68" t="s">
        <v>5357</v>
      </c>
      <c r="F4" s="68" t="s">
        <v>5358</v>
      </c>
      <c r="G4" s="68" t="n">
        <v>5</v>
      </c>
      <c r="H4" s="68" t="n">
        <v>2</v>
      </c>
      <c r="I4" s="68" t="n">
        <f aca="false">G4-H4</f>
        <v>3</v>
      </c>
      <c r="J4" s="68" t="n">
        <v>10</v>
      </c>
      <c r="K4" s="68" t="n">
        <v>45</v>
      </c>
      <c r="L4" s="68" t="s">
        <v>5359</v>
      </c>
      <c r="M4" s="68" t="s">
        <v>5360</v>
      </c>
      <c r="N4" s="68" t="s">
        <v>5361</v>
      </c>
      <c r="O4" s="68" t="s">
        <v>5362</v>
      </c>
      <c r="P4" s="68" t="n">
        <v>72</v>
      </c>
      <c r="Q4" s="68" t="n">
        <f aca="false">IF(OR(A4="tl2-attr-null-control",A4="tl2-attr-add-propulsion",A4="tl2-attr-remove-propulsion",A4="tl2-identity-preserving-refinement",LEFT(A4,11)="tl2-refine-"),36,0)</f>
        <v>36</v>
      </c>
      <c r="R4" s="68" t="n">
        <f aca="false">IF(OR(A4="tl2-identity-preserving-refinement",LEFT(A4,11)="tl2-refine-"),36,0)</f>
        <v>0</v>
      </c>
      <c r="S4" s="68" t="s">
        <v>5363</v>
      </c>
    </row>
    <row r="5" customFormat="false" ht="37.5" hidden="false" customHeight="true" outlineLevel="0" collapsed="false">
      <c r="A5" s="67" t="s">
        <v>5364</v>
      </c>
      <c r="B5" s="67" t="s">
        <v>5365</v>
      </c>
      <c r="C5" s="68" t="s">
        <v>5366</v>
      </c>
      <c r="D5" s="68" t="s">
        <v>5367</v>
      </c>
      <c r="E5" s="68" t="s">
        <v>5368</v>
      </c>
      <c r="F5" s="68" t="s">
        <v>5358</v>
      </c>
      <c r="G5" s="68" t="n">
        <v>5</v>
      </c>
      <c r="H5" s="68" t="n">
        <v>2</v>
      </c>
      <c r="I5" s="68" t="n">
        <f aca="false">G5-H5</f>
        <v>3</v>
      </c>
      <c r="J5" s="68" t="n">
        <v>10</v>
      </c>
      <c r="K5" s="68" t="n">
        <v>45</v>
      </c>
      <c r="L5" s="68" t="s">
        <v>5359</v>
      </c>
      <c r="M5" s="68" t="s">
        <v>5360</v>
      </c>
      <c r="N5" s="68" t="s">
        <v>5361</v>
      </c>
      <c r="O5" s="68" t="s">
        <v>5362</v>
      </c>
      <c r="P5" s="68" t="n">
        <v>72</v>
      </c>
      <c r="Q5" s="68" t="n">
        <f aca="false">IF(OR(A5="tl2-attr-null-control",A5="tl2-attr-add-propulsion",A5="tl2-attr-remove-propulsion",A5="tl2-identity-preserving-refinement",LEFT(A5,11)="tl2-refine-"),36,0)</f>
        <v>0</v>
      </c>
      <c r="R5" s="68" t="n">
        <f aca="false">IF(OR(A5="tl2-identity-preserving-refinement",LEFT(A5,11)="tl2-refine-"),36,0)</f>
        <v>0</v>
      </c>
      <c r="S5" s="68" t="s">
        <v>5363</v>
      </c>
    </row>
    <row r="6" customFormat="false" ht="37.5" hidden="false" customHeight="true" outlineLevel="0" collapsed="false">
      <c r="A6" s="69" t="s">
        <v>5369</v>
      </c>
      <c r="B6" s="69" t="s">
        <v>5370</v>
      </c>
      <c r="C6" s="70" t="s">
        <v>5371</v>
      </c>
      <c r="D6" s="70" t="s">
        <v>5367</v>
      </c>
      <c r="E6" s="70" t="s">
        <v>5357</v>
      </c>
      <c r="F6" s="70" t="s">
        <v>5372</v>
      </c>
      <c r="G6" s="70" t="n">
        <v>6</v>
      </c>
      <c r="H6" s="70" t="n">
        <v>3</v>
      </c>
      <c r="I6" s="70" t="n">
        <f aca="false">G6-H6</f>
        <v>3</v>
      </c>
      <c r="J6" s="70" t="n">
        <v>15</v>
      </c>
      <c r="K6" s="70" t="n">
        <v>48</v>
      </c>
      <c r="L6" s="70" t="s">
        <v>5373</v>
      </c>
      <c r="M6" s="70" t="s">
        <v>5374</v>
      </c>
      <c r="N6" s="70" t="s">
        <v>5375</v>
      </c>
      <c r="O6" s="70" t="s">
        <v>5376</v>
      </c>
      <c r="P6" s="70" t="n">
        <v>72</v>
      </c>
      <c r="Q6" s="70" t="n">
        <f aca="false">IF(OR(A6="tl2-attr-null-control",A6="tl2-attr-add-propulsion",A6="tl2-attr-remove-propulsion",A6="tl2-identity-preserving-refinement",LEFT(A6,11)="tl2-refine-"),36,0)</f>
        <v>0</v>
      </c>
      <c r="R6" s="70" t="n">
        <f aca="false">IF(OR(A6="tl2-identity-preserving-refinement",LEFT(A6,11)="tl2-refine-"),36,0)</f>
        <v>0</v>
      </c>
      <c r="S6" s="70" t="s">
        <v>5363</v>
      </c>
    </row>
    <row r="7" customFormat="false" ht="37.5" hidden="false" customHeight="true" outlineLevel="0" collapsed="false">
      <c r="A7" s="67" t="s">
        <v>5377</v>
      </c>
      <c r="B7" s="67" t="s">
        <v>5378</v>
      </c>
      <c r="C7" s="68" t="s">
        <v>5366</v>
      </c>
      <c r="D7" s="68" t="s">
        <v>1570</v>
      </c>
      <c r="E7" s="68" t="s">
        <v>5357</v>
      </c>
      <c r="F7" s="68" t="s">
        <v>5372</v>
      </c>
      <c r="G7" s="68" t="n">
        <v>5</v>
      </c>
      <c r="H7" s="68" t="n">
        <v>2</v>
      </c>
      <c r="I7" s="68" t="n">
        <f aca="false">G7-H7</f>
        <v>3</v>
      </c>
      <c r="J7" s="68" t="n">
        <v>10</v>
      </c>
      <c r="K7" s="68" t="n">
        <v>45</v>
      </c>
      <c r="L7" s="68" t="s">
        <v>5359</v>
      </c>
      <c r="M7" s="68" t="s">
        <v>5360</v>
      </c>
      <c r="N7" s="68" t="s">
        <v>5361</v>
      </c>
      <c r="O7" s="68" t="s">
        <v>5362</v>
      </c>
      <c r="P7" s="68" t="n">
        <v>72</v>
      </c>
      <c r="Q7" s="68" t="n">
        <f aca="false">IF(OR(A7="tl2-attr-null-control",A7="tl2-attr-add-propulsion",A7="tl2-attr-remove-propulsion",A7="tl2-identity-preserving-refinement",LEFT(A7,11)="tl2-refine-"),36,0)</f>
        <v>0</v>
      </c>
      <c r="R7" s="68" t="n">
        <f aca="false">IF(OR(A7="tl2-identity-preserving-refinement",LEFT(A7,11)="tl2-refine-"),36,0)</f>
        <v>0</v>
      </c>
      <c r="S7" s="68" t="s">
        <v>5363</v>
      </c>
    </row>
    <row r="8" customFormat="false" ht="37.5" hidden="false" customHeight="true" outlineLevel="0" collapsed="false">
      <c r="A8" s="69" t="s">
        <v>5379</v>
      </c>
      <c r="B8" s="69" t="s">
        <v>5380</v>
      </c>
      <c r="C8" s="70" t="s">
        <v>5371</v>
      </c>
      <c r="D8" s="70" t="s">
        <v>1570</v>
      </c>
      <c r="E8" s="70" t="s">
        <v>5368</v>
      </c>
      <c r="F8" s="70" t="s">
        <v>5358</v>
      </c>
      <c r="G8" s="70" t="n">
        <v>6</v>
      </c>
      <c r="H8" s="70" t="n">
        <v>3</v>
      </c>
      <c r="I8" s="70" t="n">
        <f aca="false">G8-H8</f>
        <v>3</v>
      </c>
      <c r="J8" s="70" t="n">
        <v>15</v>
      </c>
      <c r="K8" s="70" t="n">
        <v>48</v>
      </c>
      <c r="L8" s="70" t="s">
        <v>5373</v>
      </c>
      <c r="M8" s="70" t="s">
        <v>5374</v>
      </c>
      <c r="N8" s="70" t="s">
        <v>5375</v>
      </c>
      <c r="O8" s="70" t="s">
        <v>5376</v>
      </c>
      <c r="P8" s="70" t="n">
        <v>72</v>
      </c>
      <c r="Q8" s="70" t="n">
        <f aca="false">IF(OR(A8="tl2-attr-null-control",A8="tl2-attr-add-propulsion",A8="tl2-attr-remove-propulsion",A8="tl2-identity-preserving-refinement",LEFT(A8,11)="tl2-refine-"),36,0)</f>
        <v>0</v>
      </c>
      <c r="R8" s="70" t="n">
        <f aca="false">IF(OR(A8="tl2-identity-preserving-refinement",LEFT(A8,11)="tl2-refine-"),36,0)</f>
        <v>0</v>
      </c>
      <c r="S8" s="70" t="s">
        <v>5363</v>
      </c>
    </row>
    <row r="9" customFormat="false" ht="37.5" hidden="false" customHeight="true" outlineLevel="0" collapsed="false">
      <c r="A9" s="67" t="s">
        <v>5381</v>
      </c>
      <c r="B9" s="67" t="s">
        <v>5382</v>
      </c>
      <c r="C9" s="68" t="s">
        <v>5366</v>
      </c>
      <c r="D9" s="68" t="s">
        <v>5383</v>
      </c>
      <c r="E9" s="68" t="s">
        <v>5357</v>
      </c>
      <c r="F9" s="68" t="s">
        <v>5358</v>
      </c>
      <c r="G9" s="68" t="n">
        <v>5</v>
      </c>
      <c r="H9" s="68" t="n">
        <v>2</v>
      </c>
      <c r="I9" s="68" t="n">
        <f aca="false">G9-H9</f>
        <v>3</v>
      </c>
      <c r="J9" s="68" t="n">
        <v>15</v>
      </c>
      <c r="K9" s="68" t="n">
        <v>48</v>
      </c>
      <c r="L9" s="68" t="s">
        <v>5359</v>
      </c>
      <c r="M9" s="68" t="s">
        <v>5360</v>
      </c>
      <c r="N9" s="68" t="s">
        <v>5361</v>
      </c>
      <c r="O9" s="68" t="s">
        <v>5362</v>
      </c>
      <c r="P9" s="68" t="n">
        <v>72</v>
      </c>
      <c r="Q9" s="68" t="n">
        <f aca="false">IF(OR(A9="tl2-attr-null-control",A9="tl2-attr-add-propulsion",A9="tl2-attr-remove-propulsion",A9="tl2-identity-preserving-refinement",LEFT(A9,11)="tl2-refine-"),36,0)</f>
        <v>0</v>
      </c>
      <c r="R9" s="68" t="n">
        <f aca="false">IF(OR(A9="tl2-identity-preserving-refinement",LEFT(A9,11)="tl2-refine-"),36,0)</f>
        <v>0</v>
      </c>
      <c r="S9" s="68" t="s">
        <v>5363</v>
      </c>
    </row>
    <row r="10" customFormat="false" ht="37.5" hidden="false" customHeight="true" outlineLevel="0" collapsed="false">
      <c r="A10" s="69" t="s">
        <v>5384</v>
      </c>
      <c r="B10" s="69" t="s">
        <v>5385</v>
      </c>
      <c r="C10" s="70" t="s">
        <v>5371</v>
      </c>
      <c r="D10" s="70" t="s">
        <v>5383</v>
      </c>
      <c r="E10" s="70" t="s">
        <v>5368</v>
      </c>
      <c r="F10" s="70" t="s">
        <v>5372</v>
      </c>
      <c r="G10" s="70" t="n">
        <v>6</v>
      </c>
      <c r="H10" s="70" t="n">
        <v>3</v>
      </c>
      <c r="I10" s="70" t="n">
        <f aca="false">G10-H10</f>
        <v>3</v>
      </c>
      <c r="J10" s="70" t="n">
        <v>10</v>
      </c>
      <c r="K10" s="70" t="n">
        <v>45</v>
      </c>
      <c r="L10" s="70" t="s">
        <v>5373</v>
      </c>
      <c r="M10" s="70" t="s">
        <v>5374</v>
      </c>
      <c r="N10" s="70" t="s">
        <v>5375</v>
      </c>
      <c r="O10" s="70" t="s">
        <v>5376</v>
      </c>
      <c r="P10" s="70" t="n">
        <v>72</v>
      </c>
      <c r="Q10" s="70" t="n">
        <f aca="false">IF(OR(A10="tl2-attr-null-control",A10="tl2-attr-add-propulsion",A10="tl2-attr-remove-propulsion",A10="tl2-identity-preserving-refinement",LEFT(A10,11)="tl2-refine-"),36,0)</f>
        <v>0</v>
      </c>
      <c r="R10" s="70" t="n">
        <f aca="false">IF(OR(A10="tl2-identity-preserving-refinement",LEFT(A10,11)="tl2-refine-"),36,0)</f>
        <v>0</v>
      </c>
      <c r="S10" s="70" t="s">
        <v>5363</v>
      </c>
    </row>
    <row r="11" customFormat="false" ht="37.5" hidden="false" customHeight="true" outlineLevel="0" collapsed="false">
      <c r="A11" s="67" t="s">
        <v>5386</v>
      </c>
      <c r="B11" s="67" t="s">
        <v>5387</v>
      </c>
      <c r="C11" s="68" t="s">
        <v>5366</v>
      </c>
      <c r="D11" s="68" t="s">
        <v>1670</v>
      </c>
      <c r="E11" s="68" t="s">
        <v>5357</v>
      </c>
      <c r="F11" s="68" t="s">
        <v>5358</v>
      </c>
      <c r="G11" s="68" t="n">
        <v>5</v>
      </c>
      <c r="H11" s="68" t="n">
        <v>2</v>
      </c>
      <c r="I11" s="68" t="n">
        <f aca="false">G11-H11</f>
        <v>3</v>
      </c>
      <c r="J11" s="68" t="n">
        <v>10</v>
      </c>
      <c r="K11" s="68" t="n">
        <v>45</v>
      </c>
      <c r="L11" s="68" t="s">
        <v>5373</v>
      </c>
      <c r="M11" s="68" t="s">
        <v>5360</v>
      </c>
      <c r="N11" s="68" t="s">
        <v>5361</v>
      </c>
      <c r="O11" s="68" t="s">
        <v>5362</v>
      </c>
      <c r="P11" s="68" t="n">
        <v>72</v>
      </c>
      <c r="Q11" s="68" t="n">
        <f aca="false">IF(OR(A11="tl2-attr-null-control",A11="tl2-attr-add-propulsion",A11="tl2-attr-remove-propulsion",A11="tl2-identity-preserving-refinement",LEFT(A11,11)="tl2-refine-"),36,0)</f>
        <v>36</v>
      </c>
      <c r="R11" s="68" t="n">
        <f aca="false">IF(OR(A11="tl2-identity-preserving-refinement",LEFT(A11,11)="tl2-refine-"),36,0)</f>
        <v>0</v>
      </c>
      <c r="S11" s="68" t="s">
        <v>5363</v>
      </c>
    </row>
    <row r="12" customFormat="false" ht="37.5" hidden="false" customHeight="true" outlineLevel="0" collapsed="false">
      <c r="A12" s="69" t="s">
        <v>5388</v>
      </c>
      <c r="B12" s="69" t="s">
        <v>5389</v>
      </c>
      <c r="C12" s="70" t="s">
        <v>5371</v>
      </c>
      <c r="D12" s="70" t="s">
        <v>1670</v>
      </c>
      <c r="E12" s="70" t="s">
        <v>5368</v>
      </c>
      <c r="F12" s="70" t="s">
        <v>5372</v>
      </c>
      <c r="G12" s="70" t="n">
        <v>6</v>
      </c>
      <c r="H12" s="70" t="n">
        <v>3</v>
      </c>
      <c r="I12" s="70" t="n">
        <f aca="false">G12-H12</f>
        <v>3</v>
      </c>
      <c r="J12" s="70" t="n">
        <v>15</v>
      </c>
      <c r="K12" s="70" t="n">
        <v>48</v>
      </c>
      <c r="L12" s="70" t="s">
        <v>5359</v>
      </c>
      <c r="M12" s="70" t="s">
        <v>5374</v>
      </c>
      <c r="N12" s="70" t="s">
        <v>5375</v>
      </c>
      <c r="O12" s="70" t="s">
        <v>5376</v>
      </c>
      <c r="P12" s="70" t="n">
        <v>72</v>
      </c>
      <c r="Q12" s="70" t="n">
        <f aca="false">IF(OR(A12="tl2-attr-null-control",A12="tl2-attr-add-propulsion",A12="tl2-attr-remove-propulsion",A12="tl2-identity-preserving-refinement",LEFT(A12,11)="tl2-refine-"),36,0)</f>
        <v>36</v>
      </c>
      <c r="R12" s="70" t="n">
        <f aca="false">IF(OR(A12="tl2-identity-preserving-refinement",LEFT(A12,11)="tl2-refine-"),36,0)</f>
        <v>0</v>
      </c>
      <c r="S12" s="70" t="s">
        <v>5363</v>
      </c>
    </row>
    <row r="13" customFormat="false" ht="37.5" hidden="false" customHeight="true" outlineLevel="0" collapsed="false">
      <c r="A13" s="67" t="s">
        <v>5390</v>
      </c>
      <c r="B13" s="67" t="s">
        <v>5391</v>
      </c>
      <c r="C13" s="68" t="s">
        <v>5366</v>
      </c>
      <c r="D13" s="68" t="s">
        <v>5392</v>
      </c>
      <c r="E13" s="68" t="s">
        <v>5357</v>
      </c>
      <c r="F13" s="68" t="s">
        <v>5358</v>
      </c>
      <c r="G13" s="68" t="n">
        <v>5</v>
      </c>
      <c r="H13" s="68" t="n">
        <v>2</v>
      </c>
      <c r="I13" s="68" t="n">
        <f aca="false">G13-H13</f>
        <v>3</v>
      </c>
      <c r="J13" s="68" t="n">
        <v>10</v>
      </c>
      <c r="K13" s="68" t="n">
        <v>45</v>
      </c>
      <c r="L13" s="68" t="s">
        <v>5359</v>
      </c>
      <c r="M13" s="68" t="s">
        <v>5374</v>
      </c>
      <c r="N13" s="68" t="s">
        <v>5375</v>
      </c>
      <c r="O13" s="68" t="s">
        <v>5362</v>
      </c>
      <c r="P13" s="68" t="n">
        <v>72</v>
      </c>
      <c r="Q13" s="68" t="n">
        <f aca="false">IF(OR(A13="tl2-attr-null-control",A13="tl2-attr-add-propulsion",A13="tl2-attr-remove-propulsion",A13="tl2-identity-preserving-refinement",LEFT(A13,11)="tl2-refine-"),36,0)</f>
        <v>0</v>
      </c>
      <c r="R13" s="68" t="n">
        <f aca="false">IF(OR(A13="tl2-identity-preserving-refinement",LEFT(A13,11)="tl2-refine-"),36,0)</f>
        <v>0</v>
      </c>
      <c r="S13" s="68" t="s">
        <v>5363</v>
      </c>
    </row>
    <row r="14" customFormat="false" ht="37.5" hidden="false" customHeight="true" outlineLevel="0" collapsed="false">
      <c r="A14" s="69" t="s">
        <v>5393</v>
      </c>
      <c r="B14" s="69" t="s">
        <v>5394</v>
      </c>
      <c r="C14" s="70" t="s">
        <v>5371</v>
      </c>
      <c r="D14" s="70" t="s">
        <v>5392</v>
      </c>
      <c r="E14" s="70" t="s">
        <v>5368</v>
      </c>
      <c r="F14" s="70" t="s">
        <v>5372</v>
      </c>
      <c r="G14" s="70" t="n">
        <v>6</v>
      </c>
      <c r="H14" s="70" t="n">
        <v>3</v>
      </c>
      <c r="I14" s="70" t="n">
        <f aca="false">G14-H14</f>
        <v>3</v>
      </c>
      <c r="J14" s="70" t="n">
        <v>15</v>
      </c>
      <c r="K14" s="70" t="n">
        <v>48</v>
      </c>
      <c r="L14" s="70" t="s">
        <v>5373</v>
      </c>
      <c r="M14" s="70" t="s">
        <v>5360</v>
      </c>
      <c r="N14" s="70" t="s">
        <v>5361</v>
      </c>
      <c r="O14" s="70" t="s">
        <v>5376</v>
      </c>
      <c r="P14" s="70" t="n">
        <v>72</v>
      </c>
      <c r="Q14" s="70" t="n">
        <f aca="false">IF(OR(A14="tl2-attr-null-control",A14="tl2-attr-add-propulsion",A14="tl2-attr-remove-propulsion",A14="tl2-identity-preserving-refinement",LEFT(A14,11)="tl2-refine-"),36,0)</f>
        <v>0</v>
      </c>
      <c r="R14" s="70" t="n">
        <f aca="false">IF(OR(A14="tl2-identity-preserving-refinement",LEFT(A14,11)="tl2-refine-"),36,0)</f>
        <v>0</v>
      </c>
      <c r="S14" s="70" t="s">
        <v>5363</v>
      </c>
    </row>
    <row r="15" customFormat="false" ht="37.5" hidden="false" customHeight="true" outlineLevel="0" collapsed="false">
      <c r="A15" s="67" t="s">
        <v>5395</v>
      </c>
      <c r="B15" s="67" t="s">
        <v>5396</v>
      </c>
      <c r="C15" s="68" t="s">
        <v>5366</v>
      </c>
      <c r="D15" s="68" t="s">
        <v>5397</v>
      </c>
      <c r="E15" s="68" t="s">
        <v>5357</v>
      </c>
      <c r="F15" s="68" t="s">
        <v>5358</v>
      </c>
      <c r="G15" s="68" t="n">
        <v>5</v>
      </c>
      <c r="H15" s="68" t="n">
        <v>2</v>
      </c>
      <c r="I15" s="68" t="n">
        <f aca="false">G15-H15</f>
        <v>3</v>
      </c>
      <c r="J15" s="68" t="n">
        <v>10</v>
      </c>
      <c r="K15" s="68" t="n">
        <v>45</v>
      </c>
      <c r="L15" s="68" t="s">
        <v>5359</v>
      </c>
      <c r="M15" s="68" t="s">
        <v>5360</v>
      </c>
      <c r="N15" s="68" t="s">
        <v>5361</v>
      </c>
      <c r="O15" s="68" t="s">
        <v>5376</v>
      </c>
      <c r="P15" s="68" t="n">
        <v>72</v>
      </c>
      <c r="Q15" s="68" t="n">
        <f aca="false">IF(OR(A15="tl2-attr-null-control",A15="tl2-attr-add-propulsion",A15="tl2-attr-remove-propulsion",A15="tl2-identity-preserving-refinement",LEFT(A15,11)="tl2-refine-"),36,0)</f>
        <v>0</v>
      </c>
      <c r="R15" s="68" t="n">
        <f aca="false">IF(OR(A15="tl2-identity-preserving-refinement",LEFT(A15,11)="tl2-refine-"),36,0)</f>
        <v>0</v>
      </c>
      <c r="S15" s="68" t="s">
        <v>5363</v>
      </c>
    </row>
    <row r="16" customFormat="false" ht="37.5" hidden="false" customHeight="true" outlineLevel="0" collapsed="false">
      <c r="A16" s="69" t="s">
        <v>5398</v>
      </c>
      <c r="B16" s="69" t="s">
        <v>5399</v>
      </c>
      <c r="C16" s="70" t="s">
        <v>5371</v>
      </c>
      <c r="D16" s="70" t="s">
        <v>5397</v>
      </c>
      <c r="E16" s="70" t="s">
        <v>5368</v>
      </c>
      <c r="F16" s="70" t="s">
        <v>5372</v>
      </c>
      <c r="G16" s="70" t="n">
        <v>6</v>
      </c>
      <c r="H16" s="70" t="n">
        <v>3</v>
      </c>
      <c r="I16" s="70" t="n">
        <f aca="false">G16-H16</f>
        <v>3</v>
      </c>
      <c r="J16" s="70" t="n">
        <v>15</v>
      </c>
      <c r="K16" s="70" t="n">
        <v>48</v>
      </c>
      <c r="L16" s="70" t="s">
        <v>5373</v>
      </c>
      <c r="M16" s="70" t="s">
        <v>5374</v>
      </c>
      <c r="N16" s="70" t="s">
        <v>5375</v>
      </c>
      <c r="O16" s="70" t="s">
        <v>5362</v>
      </c>
      <c r="P16" s="70" t="n">
        <v>72</v>
      </c>
      <c r="Q16" s="70" t="n">
        <f aca="false">IF(OR(A16="tl2-attr-null-control",A16="tl2-attr-add-propulsion",A16="tl2-attr-remove-propulsion",A16="tl2-identity-preserving-refinement",LEFT(A16,11)="tl2-refine-"),36,0)</f>
        <v>0</v>
      </c>
      <c r="R16" s="70" t="n">
        <f aca="false">IF(OR(A16="tl2-identity-preserving-refinement",LEFT(A16,11)="tl2-refine-"),36,0)</f>
        <v>0</v>
      </c>
      <c r="S16" s="70" t="s">
        <v>5363</v>
      </c>
    </row>
    <row r="17" customFormat="false" ht="37.5" hidden="false" customHeight="true" outlineLevel="0" collapsed="false">
      <c r="A17" s="67" t="s">
        <v>5400</v>
      </c>
      <c r="B17" s="67" t="s">
        <v>5401</v>
      </c>
      <c r="C17" s="68" t="s">
        <v>5366</v>
      </c>
      <c r="D17" s="68" t="s">
        <v>5402</v>
      </c>
      <c r="E17" s="68" t="s">
        <v>5357</v>
      </c>
      <c r="F17" s="68" t="s">
        <v>5358</v>
      </c>
      <c r="G17" s="68" t="n">
        <v>6</v>
      </c>
      <c r="H17" s="68" t="n">
        <v>3</v>
      </c>
      <c r="I17" s="68" t="n">
        <f aca="false">G17-H17</f>
        <v>3</v>
      </c>
      <c r="J17" s="68" t="n">
        <v>10</v>
      </c>
      <c r="K17" s="68" t="n">
        <v>45</v>
      </c>
      <c r="L17" s="68" t="s">
        <v>5359</v>
      </c>
      <c r="M17" s="68" t="s">
        <v>5360</v>
      </c>
      <c r="N17" s="68" t="s">
        <v>5361</v>
      </c>
      <c r="O17" s="68" t="s">
        <v>5362</v>
      </c>
      <c r="P17" s="68" t="n">
        <v>72</v>
      </c>
      <c r="Q17" s="68" t="n">
        <f aca="false">IF(OR(A17="tl2-attr-null-control",A17="tl2-attr-add-propulsion",A17="tl2-attr-remove-propulsion",A17="tl2-identity-preserving-refinement",LEFT(A17,11)="tl2-refine-"),36,0)</f>
        <v>0</v>
      </c>
      <c r="R17" s="68" t="n">
        <f aca="false">IF(OR(A17="tl2-identity-preserving-refinement",LEFT(A17,11)="tl2-refine-"),36,0)</f>
        <v>0</v>
      </c>
      <c r="S17" s="68" t="s">
        <v>5363</v>
      </c>
    </row>
    <row r="18" customFormat="false" ht="37.5" hidden="false" customHeight="true" outlineLevel="0" collapsed="false">
      <c r="A18" s="69" t="s">
        <v>5403</v>
      </c>
      <c r="B18" s="69" t="s">
        <v>5404</v>
      </c>
      <c r="C18" s="70" t="s">
        <v>5371</v>
      </c>
      <c r="D18" s="70" t="s">
        <v>5402</v>
      </c>
      <c r="E18" s="70" t="s">
        <v>5368</v>
      </c>
      <c r="F18" s="70" t="s">
        <v>5372</v>
      </c>
      <c r="G18" s="70" t="n">
        <v>5</v>
      </c>
      <c r="H18" s="70" t="n">
        <v>2</v>
      </c>
      <c r="I18" s="70" t="n">
        <f aca="false">G18-H18</f>
        <v>3</v>
      </c>
      <c r="J18" s="70" t="n">
        <v>15</v>
      </c>
      <c r="K18" s="70" t="n">
        <v>48</v>
      </c>
      <c r="L18" s="70" t="s">
        <v>5373</v>
      </c>
      <c r="M18" s="70" t="s">
        <v>5374</v>
      </c>
      <c r="N18" s="70" t="s">
        <v>5375</v>
      </c>
      <c r="O18" s="70" t="s">
        <v>5376</v>
      </c>
      <c r="P18" s="70" t="n">
        <v>72</v>
      </c>
      <c r="Q18" s="70" t="n">
        <f aca="false">IF(OR(A18="tl2-attr-null-control",A18="tl2-attr-add-propulsion",A18="tl2-attr-remove-propulsion",A18="tl2-identity-preserving-refinement",LEFT(A18,11)="tl2-refine-"),36,0)</f>
        <v>0</v>
      </c>
      <c r="R18" s="70" t="n">
        <f aca="false">IF(OR(A18="tl2-identity-preserving-refinement",LEFT(A18,11)="tl2-refine-"),36,0)</f>
        <v>0</v>
      </c>
      <c r="S18" s="70" t="s">
        <v>5363</v>
      </c>
    </row>
    <row r="19" customFormat="false" ht="37.5" hidden="false" customHeight="true" outlineLevel="0" collapsed="false">
      <c r="A19" s="71" t="s">
        <v>5405</v>
      </c>
      <c r="B19" s="71" t="s">
        <v>4902</v>
      </c>
      <c r="C19" s="72" t="s">
        <v>5406</v>
      </c>
      <c r="D19" s="72" t="s">
        <v>3585</v>
      </c>
      <c r="E19" s="72" t="s">
        <v>5368</v>
      </c>
      <c r="F19" s="72" t="s">
        <v>5372</v>
      </c>
      <c r="G19" s="72" t="n">
        <v>6</v>
      </c>
      <c r="H19" s="72" t="n">
        <v>3</v>
      </c>
      <c r="I19" s="72" t="n">
        <f aca="false">G19-H19</f>
        <v>3</v>
      </c>
      <c r="J19" s="72" t="n">
        <v>15</v>
      </c>
      <c r="K19" s="72" t="n">
        <v>48</v>
      </c>
      <c r="L19" s="72" t="s">
        <v>5373</v>
      </c>
      <c r="M19" s="72" t="s">
        <v>5374</v>
      </c>
      <c r="N19" s="72" t="s">
        <v>5375</v>
      </c>
      <c r="O19" s="72" t="s">
        <v>5376</v>
      </c>
      <c r="P19" s="72" t="n">
        <v>72</v>
      </c>
      <c r="Q19" s="72" t="n">
        <f aca="false">IF(OR(A19="tl2-attr-null-control",A19="tl2-attr-add-propulsion",A19="tl2-attr-remove-propulsion",A19="tl2-identity-preserving-refinement",LEFT(A19,11)="tl2-refine-"),36,0)</f>
        <v>36</v>
      </c>
      <c r="R19" s="72" t="n">
        <f aca="false">IF(OR(A19="tl2-identity-preserving-refinement",LEFT(A19,11)="tl2-refine-"),36,0)</f>
        <v>36</v>
      </c>
      <c r="S19" s="72" t="s">
        <v>5363</v>
      </c>
    </row>
    <row r="20" customFormat="false" ht="37.5" hidden="false" customHeight="true" outlineLevel="0" collapsed="false">
      <c r="A20" s="67" t="s">
        <v>5407</v>
      </c>
      <c r="B20" s="67" t="s">
        <v>5408</v>
      </c>
      <c r="C20" s="68" t="s">
        <v>5409</v>
      </c>
      <c r="D20" s="68" t="s">
        <v>3585</v>
      </c>
      <c r="E20" s="68" t="s">
        <v>5368</v>
      </c>
      <c r="F20" s="68" t="s">
        <v>5372</v>
      </c>
      <c r="G20" s="68" t="n">
        <v>6</v>
      </c>
      <c r="H20" s="68" t="n">
        <v>3</v>
      </c>
      <c r="I20" s="68" t="n">
        <f aca="false">G20-H20</f>
        <v>3</v>
      </c>
      <c r="J20" s="68" t="n">
        <v>12</v>
      </c>
      <c r="K20" s="68" t="n">
        <v>46</v>
      </c>
      <c r="L20" s="68" t="s">
        <v>5373</v>
      </c>
      <c r="M20" s="68" t="s">
        <v>5374</v>
      </c>
      <c r="N20" s="68" t="s">
        <v>5375</v>
      </c>
      <c r="O20" s="68" t="s">
        <v>5376</v>
      </c>
      <c r="P20" s="68" t="n">
        <v>72</v>
      </c>
      <c r="Q20" s="68" t="n">
        <f aca="false">IF(OR(A20="tl2-attr-null-control",A20="tl2-attr-add-propulsion",A20="tl2-attr-remove-propulsion",A20="tl2-identity-preserving-refinement",LEFT(A20,11)="tl2-refine-"),36,0)</f>
        <v>36</v>
      </c>
      <c r="R20" s="68" t="n">
        <f aca="false">IF(OR(A20="tl2-identity-preserving-refinement",LEFT(A20,11)="tl2-refine-"),36,0)</f>
        <v>36</v>
      </c>
      <c r="S20" s="68" t="s">
        <v>5363</v>
      </c>
    </row>
    <row r="21" customFormat="false" ht="37.5" hidden="false" customHeight="true" outlineLevel="0" collapsed="false">
      <c r="A21" s="67" t="s">
        <v>5410</v>
      </c>
      <c r="B21" s="67" t="s">
        <v>5411</v>
      </c>
      <c r="C21" s="68" t="s">
        <v>5409</v>
      </c>
      <c r="D21" s="68" t="s">
        <v>3585</v>
      </c>
      <c r="E21" s="68" t="s">
        <v>5368</v>
      </c>
      <c r="F21" s="68" t="s">
        <v>5358</v>
      </c>
      <c r="G21" s="68" t="n">
        <v>6</v>
      </c>
      <c r="H21" s="68" t="n">
        <v>3</v>
      </c>
      <c r="I21" s="68" t="n">
        <f aca="false">G21-H21</f>
        <v>3</v>
      </c>
      <c r="J21" s="68" t="n">
        <v>12</v>
      </c>
      <c r="K21" s="68" t="n">
        <v>46</v>
      </c>
      <c r="L21" s="68" t="s">
        <v>5373</v>
      </c>
      <c r="M21" s="68" t="s">
        <v>5374</v>
      </c>
      <c r="N21" s="68" t="s">
        <v>5375</v>
      </c>
      <c r="O21" s="68" t="s">
        <v>5376</v>
      </c>
      <c r="P21" s="68" t="n">
        <v>72</v>
      </c>
      <c r="Q21" s="68" t="n">
        <f aca="false">IF(OR(A21="tl2-attr-null-control",A21="tl2-attr-add-propulsion",A21="tl2-attr-remove-propulsion",A21="tl2-identity-preserving-refinement",LEFT(A21,11)="tl2-refine-"),36,0)</f>
        <v>36</v>
      </c>
      <c r="R21" s="68" t="n">
        <f aca="false">IF(OR(A21="tl2-identity-preserving-refinement",LEFT(A21,11)="tl2-refine-"),36,0)</f>
        <v>36</v>
      </c>
      <c r="S21" s="68" t="s">
        <v>5363</v>
      </c>
    </row>
    <row r="22" customFormat="false" ht="37.5" hidden="false" customHeight="true" outlineLevel="0" collapsed="false">
      <c r="A22" s="67" t="s">
        <v>5412</v>
      </c>
      <c r="B22" s="67" t="s">
        <v>5413</v>
      </c>
      <c r="C22" s="68" t="s">
        <v>5409</v>
      </c>
      <c r="D22" s="68" t="s">
        <v>3585</v>
      </c>
      <c r="E22" s="68" t="s">
        <v>5357</v>
      </c>
      <c r="F22" s="68" t="s">
        <v>5372</v>
      </c>
      <c r="G22" s="68" t="n">
        <v>6</v>
      </c>
      <c r="H22" s="68" t="n">
        <v>3</v>
      </c>
      <c r="I22" s="68" t="n">
        <f aca="false">G22-H22</f>
        <v>3</v>
      </c>
      <c r="J22" s="68" t="n">
        <v>12</v>
      </c>
      <c r="K22" s="68" t="n">
        <v>46</v>
      </c>
      <c r="L22" s="68" t="s">
        <v>5373</v>
      </c>
      <c r="M22" s="68" t="s">
        <v>5374</v>
      </c>
      <c r="N22" s="68" t="s">
        <v>5375</v>
      </c>
      <c r="O22" s="68" t="s">
        <v>5376</v>
      </c>
      <c r="P22" s="68" t="n">
        <v>72</v>
      </c>
      <c r="Q22" s="68" t="n">
        <f aca="false">IF(OR(A22="tl2-attr-null-control",A22="tl2-attr-add-propulsion",A22="tl2-attr-remove-propulsion",A22="tl2-identity-preserving-refinement",LEFT(A22,11)="tl2-refine-"),36,0)</f>
        <v>36</v>
      </c>
      <c r="R22" s="68" t="n">
        <f aca="false">IF(OR(A22="tl2-identity-preserving-refinement",LEFT(A22,11)="tl2-refine-"),36,0)</f>
        <v>36</v>
      </c>
      <c r="S22" s="68" t="s">
        <v>5363</v>
      </c>
    </row>
  </sheetData>
  <autoFilter ref="A3:S22"/>
  <mergeCells count="2">
    <mergeCell ref="A1:S1"/>
    <mergeCell ref="A2:S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8"/>
    <col collapsed="false" customWidth="true" hidden="false" outlineLevel="0" max="4" min="4" style="1" width="26"/>
    <col collapsed="false" customWidth="true" hidden="false" outlineLevel="0" max="5" min="5" style="1" width="38"/>
    <col collapsed="false" customWidth="true" hidden="false" outlineLevel="0" max="6" min="6" style="1" width="34"/>
    <col collapsed="false" customWidth="true" hidden="false" outlineLevel="0" max="7" min="7" style="1" width="22"/>
  </cols>
  <sheetData>
    <row r="1" customFormat="false" ht="24" hidden="false" customHeight="true" outlineLevel="0" collapsed="false">
      <c r="A1" s="73" t="s">
        <v>5414</v>
      </c>
      <c r="B1" s="73"/>
      <c r="C1" s="73"/>
      <c r="D1" s="73"/>
      <c r="E1" s="73"/>
      <c r="F1" s="73"/>
      <c r="G1" s="73"/>
    </row>
    <row r="3" customFormat="false" ht="15" hidden="false" customHeight="true" outlineLevel="0" collapsed="false">
      <c r="A3" s="66" t="s">
        <v>3512</v>
      </c>
      <c r="B3" s="66" t="s">
        <v>5415</v>
      </c>
      <c r="C3" s="66" t="s">
        <v>5416</v>
      </c>
      <c r="D3" s="66" t="s">
        <v>4729</v>
      </c>
      <c r="E3" s="66" t="s">
        <v>4731</v>
      </c>
      <c r="F3" s="66" t="s">
        <v>5417</v>
      </c>
      <c r="G3" s="66" t="s">
        <v>2</v>
      </c>
    </row>
    <row r="4" customFormat="false" ht="39.75" hidden="false" customHeight="true" outlineLevel="0" collapsed="false">
      <c r="A4" s="51" t="s">
        <v>4329</v>
      </c>
      <c r="B4" s="51" t="s">
        <v>5418</v>
      </c>
      <c r="C4" s="51" t="s">
        <v>5419</v>
      </c>
      <c r="D4" s="51" t="s">
        <v>5420</v>
      </c>
      <c r="E4" s="51" t="s">
        <v>5421</v>
      </c>
      <c r="F4" s="51" t="s">
        <v>5422</v>
      </c>
      <c r="G4" s="51" t="s">
        <v>5423</v>
      </c>
    </row>
    <row r="5" customFormat="false" ht="39.75" hidden="false" customHeight="true" outlineLevel="0" collapsed="false">
      <c r="A5" s="54" t="s">
        <v>5424</v>
      </c>
      <c r="B5" s="54" t="s">
        <v>5425</v>
      </c>
      <c r="C5" s="54" t="s">
        <v>5426</v>
      </c>
      <c r="D5" s="54" t="s">
        <v>5427</v>
      </c>
      <c r="E5" s="54" t="s">
        <v>5428</v>
      </c>
      <c r="F5" s="54" t="s">
        <v>5429</v>
      </c>
      <c r="G5" s="54" t="s">
        <v>5430</v>
      </c>
    </row>
    <row r="6" customFormat="false" ht="39.75" hidden="false" customHeight="true" outlineLevel="0" collapsed="false">
      <c r="A6" s="56" t="s">
        <v>3630</v>
      </c>
      <c r="B6" s="56" t="s">
        <v>5431</v>
      </c>
      <c r="C6" s="56" t="s">
        <v>5432</v>
      </c>
      <c r="D6" s="56" t="s">
        <v>5433</v>
      </c>
      <c r="E6" s="56" t="s">
        <v>5434</v>
      </c>
      <c r="F6" s="56" t="s">
        <v>5435</v>
      </c>
      <c r="G6" s="56" t="s">
        <v>3913</v>
      </c>
    </row>
    <row r="7" customFormat="false" ht="39.75" hidden="false" customHeight="true" outlineLevel="0" collapsed="false">
      <c r="A7" s="51" t="s">
        <v>5436</v>
      </c>
      <c r="B7" s="51" t="s">
        <v>5437</v>
      </c>
      <c r="C7" s="51" t="s">
        <v>5438</v>
      </c>
      <c r="D7" s="51" t="s">
        <v>5439</v>
      </c>
      <c r="E7" s="51" t="s">
        <v>5440</v>
      </c>
      <c r="F7" s="51" t="s">
        <v>5441</v>
      </c>
      <c r="G7" s="51" t="s">
        <v>5430</v>
      </c>
    </row>
    <row r="8" customFormat="false" ht="39.75" hidden="false" customHeight="true" outlineLevel="0" collapsed="false">
      <c r="A8" s="54" t="s">
        <v>5436</v>
      </c>
      <c r="B8" s="54" t="s">
        <v>5442</v>
      </c>
      <c r="C8" s="54" t="s">
        <v>5443</v>
      </c>
      <c r="D8" s="54" t="s">
        <v>5444</v>
      </c>
      <c r="E8" s="54" t="s">
        <v>5445</v>
      </c>
      <c r="F8" s="54" t="s">
        <v>5446</v>
      </c>
      <c r="G8" s="54" t="s">
        <v>5430</v>
      </c>
    </row>
    <row r="9" customFormat="false" ht="39.75" hidden="false" customHeight="true" outlineLevel="0" collapsed="false">
      <c r="A9" s="56" t="s">
        <v>5436</v>
      </c>
      <c r="B9" s="56" t="s">
        <v>5447</v>
      </c>
      <c r="C9" s="56" t="s">
        <v>5448</v>
      </c>
      <c r="D9" s="56" t="s">
        <v>5449</v>
      </c>
      <c r="E9" s="56" t="s">
        <v>5450</v>
      </c>
      <c r="F9" s="56" t="s">
        <v>5451</v>
      </c>
      <c r="G9" s="56" t="s">
        <v>5430</v>
      </c>
    </row>
    <row r="10" customFormat="false" ht="39.75" hidden="false" customHeight="true" outlineLevel="0" collapsed="false">
      <c r="A10" s="51" t="s">
        <v>5452</v>
      </c>
      <c r="B10" s="51" t="s">
        <v>5453</v>
      </c>
      <c r="C10" s="51" t="s">
        <v>5454</v>
      </c>
      <c r="D10" s="51" t="s">
        <v>5455</v>
      </c>
      <c r="E10" s="51" t="s">
        <v>5450</v>
      </c>
      <c r="F10" s="51" t="s">
        <v>5456</v>
      </c>
      <c r="G10" s="51" t="s">
        <v>4811</v>
      </c>
    </row>
    <row r="11" customFormat="false" ht="39.75" hidden="false" customHeight="true" outlineLevel="0" collapsed="false">
      <c r="A11" s="54" t="s">
        <v>5452</v>
      </c>
      <c r="B11" s="54" t="s">
        <v>5457</v>
      </c>
      <c r="C11" s="54" t="s">
        <v>5458</v>
      </c>
      <c r="D11" s="54" t="s">
        <v>5459</v>
      </c>
      <c r="E11" s="54" t="s">
        <v>5450</v>
      </c>
      <c r="F11" s="54" t="s">
        <v>5460</v>
      </c>
      <c r="G11" s="54" t="s">
        <v>4811</v>
      </c>
    </row>
    <row r="12" customFormat="false" ht="39.75" hidden="false" customHeight="true" outlineLevel="0" collapsed="false">
      <c r="A12" s="56" t="s">
        <v>5452</v>
      </c>
      <c r="B12" s="56" t="s">
        <v>5461</v>
      </c>
      <c r="C12" s="56" t="s">
        <v>5462</v>
      </c>
      <c r="D12" s="56" t="s">
        <v>5463</v>
      </c>
      <c r="E12" s="56" t="s">
        <v>5450</v>
      </c>
      <c r="F12" s="56" t="s">
        <v>5464</v>
      </c>
      <c r="G12" s="56" t="s">
        <v>4811</v>
      </c>
    </row>
    <row r="13" customFormat="false" ht="39.75" hidden="false" customHeight="true" outlineLevel="0" collapsed="false">
      <c r="A13" s="51" t="s">
        <v>5465</v>
      </c>
      <c r="B13" s="51" t="s">
        <v>5466</v>
      </c>
      <c r="C13" s="51" t="s">
        <v>5467</v>
      </c>
      <c r="D13" s="51" t="s">
        <v>5468</v>
      </c>
      <c r="E13" s="51" t="s">
        <v>5469</v>
      </c>
      <c r="F13" s="51" t="s">
        <v>5470</v>
      </c>
      <c r="G13" s="51" t="s">
        <v>5471</v>
      </c>
    </row>
    <row r="14" customFormat="false" ht="39.75" hidden="false" customHeight="true" outlineLevel="0" collapsed="false">
      <c r="A14" s="54" t="s">
        <v>1228</v>
      </c>
      <c r="B14" s="54" t="s">
        <v>5472</v>
      </c>
      <c r="C14" s="54" t="s">
        <v>5473</v>
      </c>
      <c r="D14" s="54" t="s">
        <v>5474</v>
      </c>
      <c r="E14" s="54" t="s">
        <v>5445</v>
      </c>
      <c r="F14" s="54" t="s">
        <v>5475</v>
      </c>
      <c r="G14" s="54" t="s">
        <v>5476</v>
      </c>
    </row>
    <row r="15" customFormat="false" ht="39.75" hidden="false" customHeight="true" outlineLevel="0" collapsed="false">
      <c r="A15" s="56" t="s">
        <v>5284</v>
      </c>
      <c r="B15" s="56" t="s">
        <v>4751</v>
      </c>
      <c r="C15" s="56" t="s">
        <v>5477</v>
      </c>
      <c r="D15" s="56" t="s">
        <v>5478</v>
      </c>
      <c r="E15" s="56" t="s">
        <v>4930</v>
      </c>
      <c r="F15" s="56" t="s">
        <v>5479</v>
      </c>
      <c r="G15" s="56" t="s">
        <v>4149</v>
      </c>
    </row>
    <row r="18" customFormat="false" ht="15.75" hidden="false" customHeight="true" outlineLevel="0" collapsed="false">
      <c r="A18" s="74" t="s">
        <v>5480</v>
      </c>
      <c r="B18" s="74"/>
      <c r="C18" s="74"/>
      <c r="D18" s="74"/>
      <c r="E18" s="74"/>
      <c r="F18" s="74"/>
      <c r="G18" s="74"/>
    </row>
    <row r="19" customFormat="false" ht="15" hidden="false" customHeight="true" outlineLevel="0" collapsed="false">
      <c r="A19" s="66" t="s">
        <v>3909</v>
      </c>
      <c r="B19" s="66" t="s">
        <v>4937</v>
      </c>
      <c r="C19" s="66" t="s">
        <v>5481</v>
      </c>
      <c r="D19" s="66" t="s">
        <v>5482</v>
      </c>
      <c r="E19" s="66" t="s">
        <v>4940</v>
      </c>
      <c r="F19" s="66" t="s">
        <v>5483</v>
      </c>
      <c r="G19" s="66" t="s">
        <v>5484</v>
      </c>
    </row>
    <row r="20" customFormat="false" ht="33.75" hidden="false" customHeight="true" outlineLevel="0" collapsed="false">
      <c r="A20" s="67" t="s">
        <v>5485</v>
      </c>
      <c r="B20" s="68" t="n">
        <v>19</v>
      </c>
      <c r="C20" s="68" t="n">
        <v>9</v>
      </c>
      <c r="D20" s="68" t="n">
        <v>4</v>
      </c>
      <c r="E20" s="68" t="n">
        <v>2</v>
      </c>
      <c r="F20" s="68" t="n">
        <f aca="false">B20*C20*D20*E20</f>
        <v>1368</v>
      </c>
      <c r="G20" s="67" t="s">
        <v>5486</v>
      </c>
    </row>
    <row r="21" customFormat="false" ht="33.75" hidden="false" customHeight="true" outlineLevel="0" collapsed="false">
      <c r="A21" s="69" t="s">
        <v>5442</v>
      </c>
      <c r="B21" s="70" t="n">
        <v>7</v>
      </c>
      <c r="C21" s="70" t="n">
        <v>9</v>
      </c>
      <c r="D21" s="70" t="n">
        <v>2</v>
      </c>
      <c r="E21" s="70" t="n">
        <v>2</v>
      </c>
      <c r="F21" s="70" t="n">
        <f aca="false">B21*C21*D21*E21</f>
        <v>252</v>
      </c>
      <c r="G21" s="69" t="s">
        <v>5487</v>
      </c>
    </row>
    <row r="22" customFormat="false" ht="33.75" hidden="false" customHeight="true" outlineLevel="0" collapsed="false">
      <c r="A22" s="69" t="s">
        <v>5352</v>
      </c>
      <c r="B22" s="70" t="n">
        <v>4</v>
      </c>
      <c r="C22" s="70" t="n">
        <v>9</v>
      </c>
      <c r="D22" s="70" t="n">
        <v>4</v>
      </c>
      <c r="E22" s="70" t="n">
        <v>1</v>
      </c>
      <c r="F22" s="70" t="n">
        <f aca="false">B22*C22*D22*E22</f>
        <v>144</v>
      </c>
      <c r="G22" s="69" t="s">
        <v>5488</v>
      </c>
    </row>
    <row r="23" customFormat="false" ht="33.75" hidden="false" customHeight="true" outlineLevel="0" collapsed="false">
      <c r="A23" s="67" t="s">
        <v>5489</v>
      </c>
      <c r="B23" s="68"/>
      <c r="C23" s="68"/>
      <c r="D23" s="68"/>
      <c r="E23" s="68"/>
      <c r="F23" s="68" t="n">
        <f aca="false">SUM(F20:F22)</f>
        <v>1764</v>
      </c>
      <c r="G23" s="67" t="s">
        <v>5490</v>
      </c>
    </row>
    <row r="24" customFormat="false" ht="33.75" hidden="false" customHeight="true" outlineLevel="0" collapsed="false">
      <c r="A24" s="69" t="s">
        <v>5491</v>
      </c>
      <c r="B24" s="70"/>
      <c r="C24" s="70"/>
      <c r="D24" s="70"/>
      <c r="E24" s="70"/>
      <c r="F24" s="70" t="n">
        <v>1350</v>
      </c>
      <c r="G24" s="69" t="s">
        <v>5492</v>
      </c>
    </row>
    <row r="25" customFormat="false" ht="33.75" hidden="false" customHeight="true" outlineLevel="0" collapsed="false">
      <c r="A25" s="67" t="s">
        <v>5493</v>
      </c>
      <c r="B25" s="68"/>
      <c r="C25" s="68"/>
      <c r="D25" s="68"/>
      <c r="E25" s="68"/>
      <c r="F25" s="68" t="n">
        <f aca="false">F23+F24</f>
        <v>3114</v>
      </c>
      <c r="G25" s="67" t="s">
        <v>5494</v>
      </c>
    </row>
    <row r="28" customFormat="false" ht="15.75" hidden="false" customHeight="true" outlineLevel="0" collapsed="false">
      <c r="A28" s="74" t="s">
        <v>5495</v>
      </c>
      <c r="B28" s="74"/>
      <c r="C28" s="74"/>
      <c r="D28" s="74"/>
      <c r="E28" s="74"/>
      <c r="F28" s="74"/>
      <c r="G28" s="74"/>
    </row>
    <row r="29" customFormat="false" ht="15" hidden="false" customHeight="true" outlineLevel="0" collapsed="false">
      <c r="A29" s="66" t="s">
        <v>5496</v>
      </c>
      <c r="B29" s="66" t="s">
        <v>5497</v>
      </c>
      <c r="C29" s="66" t="s">
        <v>106</v>
      </c>
      <c r="D29" s="66" t="s">
        <v>5498</v>
      </c>
      <c r="E29" s="66" t="s">
        <v>5499</v>
      </c>
      <c r="F29" s="66" t="s">
        <v>5500</v>
      </c>
      <c r="G29" s="66" t="s">
        <v>4942</v>
      </c>
    </row>
    <row r="30" customFormat="false" ht="37.5" hidden="false" customHeight="true" outlineLevel="0" collapsed="false">
      <c r="A30" s="51" t="s">
        <v>5501</v>
      </c>
      <c r="B30" s="51" t="s">
        <v>5502</v>
      </c>
      <c r="C30" s="51" t="s">
        <v>1468</v>
      </c>
      <c r="D30" s="51" t="s">
        <v>5503</v>
      </c>
      <c r="E30" s="51" t="s">
        <v>5504</v>
      </c>
      <c r="F30" s="51" t="s">
        <v>5505</v>
      </c>
      <c r="G30" s="51" t="s">
        <v>5506</v>
      </c>
    </row>
    <row r="31" customFormat="false" ht="37.5" hidden="false" customHeight="true" outlineLevel="0" collapsed="false">
      <c r="A31" s="54" t="s">
        <v>5453</v>
      </c>
      <c r="B31" s="54" t="s">
        <v>5502</v>
      </c>
      <c r="C31" s="54" t="s">
        <v>1468</v>
      </c>
      <c r="D31" s="54" t="s">
        <v>5507</v>
      </c>
      <c r="E31" s="54" t="s">
        <v>5508</v>
      </c>
      <c r="F31" s="54" t="s">
        <v>5505</v>
      </c>
      <c r="G31" s="54" t="s">
        <v>5509</v>
      </c>
    </row>
    <row r="32" customFormat="false" ht="37.5" hidden="false" customHeight="true" outlineLevel="0" collapsed="false">
      <c r="A32" s="56" t="s">
        <v>5510</v>
      </c>
      <c r="B32" s="56" t="s">
        <v>5502</v>
      </c>
      <c r="C32" s="56" t="s">
        <v>1464</v>
      </c>
      <c r="D32" s="56" t="s">
        <v>5507</v>
      </c>
      <c r="E32" s="56" t="s">
        <v>5508</v>
      </c>
      <c r="F32" s="56" t="s">
        <v>5505</v>
      </c>
      <c r="G32" s="56" t="s">
        <v>5511</v>
      </c>
    </row>
    <row r="33" customFormat="false" ht="37.5" hidden="false" customHeight="true" outlineLevel="0" collapsed="false">
      <c r="A33" s="56" t="s">
        <v>5512</v>
      </c>
      <c r="B33" s="56" t="s">
        <v>5513</v>
      </c>
      <c r="C33" s="56" t="s">
        <v>1468</v>
      </c>
      <c r="D33" s="56" t="s">
        <v>5507</v>
      </c>
      <c r="E33" s="56" t="s">
        <v>5508</v>
      </c>
      <c r="F33" s="56" t="s">
        <v>5505</v>
      </c>
      <c r="G33" s="56" t="s">
        <v>5464</v>
      </c>
    </row>
    <row r="36" customFormat="false" ht="15.75" hidden="false" customHeight="true" outlineLevel="0" collapsed="false">
      <c r="A36" s="74" t="s">
        <v>5514</v>
      </c>
      <c r="B36" s="74"/>
      <c r="C36" s="74"/>
      <c r="D36" s="74"/>
      <c r="E36" s="74"/>
      <c r="F36" s="74"/>
      <c r="G36" s="74"/>
    </row>
    <row r="37" customFormat="false" ht="33.75" hidden="false" customHeight="true" outlineLevel="0" collapsed="false">
      <c r="A37" s="53" t="s">
        <v>5515</v>
      </c>
      <c r="B37" s="53" t="s">
        <v>5516</v>
      </c>
      <c r="C37" s="53"/>
      <c r="D37" s="53"/>
      <c r="E37" s="53"/>
      <c r="F37" s="53"/>
      <c r="G37" s="53" t="s">
        <v>5517</v>
      </c>
    </row>
    <row r="38" customFormat="false" ht="33.75" hidden="false" customHeight="true" outlineLevel="0" collapsed="false">
      <c r="A38" s="53" t="s">
        <v>5518</v>
      </c>
      <c r="B38" s="53" t="s">
        <v>5519</v>
      </c>
      <c r="C38" s="53"/>
      <c r="D38" s="53"/>
      <c r="E38" s="53"/>
      <c r="F38" s="53"/>
      <c r="G38" s="53" t="s">
        <v>5517</v>
      </c>
    </row>
    <row r="39" customFormat="false" ht="33.75" hidden="false" customHeight="true" outlineLevel="0" collapsed="false">
      <c r="A39" s="53" t="s">
        <v>5520</v>
      </c>
      <c r="B39" s="53" t="s">
        <v>5521</v>
      </c>
      <c r="C39" s="53"/>
      <c r="D39" s="53"/>
      <c r="E39" s="53"/>
      <c r="F39" s="53"/>
      <c r="G39" s="53" t="s">
        <v>5517</v>
      </c>
    </row>
    <row r="40" customFormat="false" ht="33.75" hidden="false" customHeight="true" outlineLevel="0" collapsed="false">
      <c r="A40" s="53" t="s">
        <v>5522</v>
      </c>
      <c r="B40" s="53" t="s">
        <v>5523</v>
      </c>
      <c r="C40" s="53"/>
      <c r="D40" s="53"/>
      <c r="E40" s="53"/>
      <c r="F40" s="53"/>
      <c r="G40" s="53" t="s">
        <v>5517</v>
      </c>
    </row>
    <row r="41" customFormat="false" ht="33.75" hidden="false" customHeight="true" outlineLevel="0" collapsed="false">
      <c r="A41" s="53" t="s">
        <v>5524</v>
      </c>
      <c r="B41" s="53" t="s">
        <v>5525</v>
      </c>
      <c r="C41" s="53"/>
      <c r="D41" s="53"/>
      <c r="E41" s="53"/>
      <c r="F41" s="53"/>
      <c r="G41" s="53" t="s">
        <v>5517</v>
      </c>
    </row>
    <row r="42" customFormat="false" ht="33.75" hidden="false" customHeight="true" outlineLevel="0" collapsed="false">
      <c r="A42" s="53" t="s">
        <v>5526</v>
      </c>
      <c r="B42" s="53" t="s">
        <v>5527</v>
      </c>
      <c r="C42" s="53"/>
      <c r="D42" s="53"/>
      <c r="E42" s="53"/>
      <c r="F42" s="53"/>
      <c r="G42" s="53" t="s">
        <v>5517</v>
      </c>
    </row>
    <row r="43" customFormat="false" ht="33.75" hidden="false" customHeight="true" outlineLevel="0" collapsed="false">
      <c r="A43" s="53" t="s">
        <v>5528</v>
      </c>
      <c r="B43" s="53" t="s">
        <v>5529</v>
      </c>
      <c r="C43" s="53"/>
      <c r="D43" s="53"/>
      <c r="E43" s="53"/>
      <c r="F43" s="53"/>
      <c r="G43" s="53" t="s">
        <v>5517</v>
      </c>
    </row>
    <row r="44" customFormat="false" ht="33.75" hidden="false" customHeight="true" outlineLevel="0" collapsed="false">
      <c r="A44" s="53" t="s">
        <v>5530</v>
      </c>
      <c r="B44" s="53" t="s">
        <v>5531</v>
      </c>
      <c r="C44" s="53"/>
      <c r="D44" s="53"/>
      <c r="E44" s="53"/>
      <c r="F44" s="53"/>
      <c r="G44" s="53" t="s">
        <v>5517</v>
      </c>
    </row>
    <row r="45" customFormat="false" ht="33.75" hidden="false" customHeight="true" outlineLevel="0" collapsed="false">
      <c r="A45" s="53" t="s">
        <v>5532</v>
      </c>
      <c r="B45" s="53" t="s">
        <v>5533</v>
      </c>
      <c r="C45" s="53"/>
      <c r="D45" s="53"/>
      <c r="E45" s="53"/>
      <c r="F45" s="53"/>
      <c r="G45" s="53" t="s">
        <v>5517</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31"/>
    <col collapsed="false" customWidth="true" hidden="false" outlineLevel="0" max="2" min="2" style="75" width="29"/>
    <col collapsed="false" customWidth="true" hidden="false" outlineLevel="0" max="3" min="3" style="75" width="20"/>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9" min="9" style="75" width="15"/>
    <col collapsed="false" customWidth="true" hidden="false" outlineLevel="0" max="10" min="10" style="75" width="17"/>
    <col collapsed="false" customWidth="true" hidden="false" outlineLevel="0" max="12" min="11" style="75" width="27"/>
    <col collapsed="false" customWidth="true" hidden="false" outlineLevel="0" max="13" min="13" style="75" width="28"/>
    <col collapsed="false" customWidth="true" hidden="false" outlineLevel="0" max="17" min="14" style="75" width="14"/>
    <col collapsed="false" customWidth="true" hidden="false" outlineLevel="0" max="18" min="18" style="75" width="11"/>
    <col collapsed="false" customWidth="true" hidden="false" outlineLevel="0" max="19" min="19" style="75" width="16"/>
    <col collapsed="false" customWidth="true" hidden="false" outlineLevel="0" max="20" min="20" style="75" width="52"/>
  </cols>
  <sheetData>
    <row r="1" customFormat="false" ht="24" hidden="false" customHeight="true" outlineLevel="0" collapsed="false">
      <c r="A1" s="64" t="s">
        <v>5534</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5535</v>
      </c>
      <c r="B2" s="65"/>
      <c r="C2" s="65"/>
      <c r="D2" s="65"/>
      <c r="E2" s="65"/>
      <c r="F2" s="65"/>
      <c r="G2" s="65"/>
      <c r="H2" s="65"/>
      <c r="I2" s="65"/>
      <c r="J2" s="65"/>
      <c r="K2" s="65"/>
      <c r="L2" s="65"/>
      <c r="M2" s="65"/>
      <c r="N2" s="65"/>
      <c r="O2" s="65"/>
      <c r="P2" s="65"/>
      <c r="Q2" s="65"/>
      <c r="R2" s="65"/>
      <c r="S2" s="65"/>
      <c r="T2" s="65"/>
    </row>
    <row r="3" customFormat="false" ht="42" hidden="false" customHeight="true" outlineLevel="0" collapsed="false">
      <c r="A3" s="66" t="s">
        <v>5339</v>
      </c>
      <c r="B3" s="66" t="s">
        <v>5340</v>
      </c>
      <c r="C3" s="66" t="s">
        <v>3517</v>
      </c>
      <c r="D3" s="66" t="s">
        <v>5497</v>
      </c>
      <c r="E3" s="66" t="s">
        <v>106</v>
      </c>
      <c r="F3" s="66" t="s">
        <v>1261</v>
      </c>
      <c r="G3" s="66" t="s">
        <v>4834</v>
      </c>
      <c r="H3" s="66" t="s">
        <v>5344</v>
      </c>
      <c r="I3" s="66" t="s">
        <v>5498</v>
      </c>
      <c r="J3" s="66" t="s">
        <v>5346</v>
      </c>
      <c r="K3" s="66" t="s">
        <v>5347</v>
      </c>
      <c r="L3" s="66" t="s">
        <v>5348</v>
      </c>
      <c r="M3" s="66" t="s">
        <v>5349</v>
      </c>
      <c r="N3" s="66" t="s">
        <v>5350</v>
      </c>
      <c r="O3" s="66" t="s">
        <v>5536</v>
      </c>
      <c r="P3" s="66" t="s">
        <v>5537</v>
      </c>
      <c r="Q3" s="66" t="s">
        <v>5538</v>
      </c>
      <c r="R3" s="66" t="s">
        <v>5352</v>
      </c>
      <c r="S3" s="66" t="s">
        <v>5353</v>
      </c>
      <c r="T3" s="66" t="s">
        <v>5539</v>
      </c>
    </row>
    <row r="4" customFormat="false" ht="48" hidden="false" customHeight="true" outlineLevel="0" collapsed="false">
      <c r="A4" s="67" t="s">
        <v>5540</v>
      </c>
      <c r="B4" s="67" t="s">
        <v>5355</v>
      </c>
      <c r="C4" s="68" t="s">
        <v>5356</v>
      </c>
      <c r="D4" s="68" t="s">
        <v>5513</v>
      </c>
      <c r="E4" s="68" t="n">
        <v>2</v>
      </c>
      <c r="F4" s="68" t="n">
        <v>5</v>
      </c>
      <c r="G4" s="68" t="n">
        <v>2</v>
      </c>
      <c r="H4" s="68" t="n">
        <f aca="false">F4-G4</f>
        <v>3</v>
      </c>
      <c r="I4" s="68" t="s">
        <v>5541</v>
      </c>
      <c r="J4" s="68" t="s">
        <v>5359</v>
      </c>
      <c r="K4" s="68" t="s">
        <v>5360</v>
      </c>
      <c r="L4" s="68" t="s">
        <v>5361</v>
      </c>
      <c r="M4" s="68" t="s">
        <v>5362</v>
      </c>
      <c r="N4" s="68" t="n">
        <v>72</v>
      </c>
      <c r="O4" s="68" t="n">
        <v>18</v>
      </c>
      <c r="P4" s="68" t="n">
        <v>9</v>
      </c>
      <c r="Q4" s="68" t="n">
        <v>9</v>
      </c>
      <c r="R4" s="68" t="n">
        <v>0</v>
      </c>
      <c r="S4" s="68" t="s">
        <v>5363</v>
      </c>
      <c r="T4" s="67" t="s">
        <v>5542</v>
      </c>
    </row>
    <row r="5" customFormat="false" ht="48" hidden="false" customHeight="true" outlineLevel="0" collapsed="false">
      <c r="A5" s="71" t="s">
        <v>5543</v>
      </c>
      <c r="B5" s="71" t="s">
        <v>5544</v>
      </c>
      <c r="C5" s="72" t="s">
        <v>5545</v>
      </c>
      <c r="D5" s="72" t="s">
        <v>5502</v>
      </c>
      <c r="E5" s="72" t="n">
        <v>3</v>
      </c>
      <c r="F5" s="72" t="n">
        <v>6</v>
      </c>
      <c r="G5" s="72" t="n">
        <v>3</v>
      </c>
      <c r="H5" s="72" t="n">
        <f aca="false">F5-G5</f>
        <v>3</v>
      </c>
      <c r="I5" s="72" t="s">
        <v>5503</v>
      </c>
      <c r="J5" s="72" t="s">
        <v>5373</v>
      </c>
      <c r="K5" s="72" t="s">
        <v>5374</v>
      </c>
      <c r="L5" s="72" t="s">
        <v>5375</v>
      </c>
      <c r="M5" s="72" t="s">
        <v>5376</v>
      </c>
      <c r="N5" s="72" t="n">
        <v>72</v>
      </c>
      <c r="O5" s="72" t="n">
        <v>18</v>
      </c>
      <c r="P5" s="72" t="n">
        <v>9</v>
      </c>
      <c r="Q5" s="72" t="n">
        <v>9</v>
      </c>
      <c r="R5" s="72" t="n">
        <v>36</v>
      </c>
      <c r="S5" s="72" t="s">
        <v>5363</v>
      </c>
      <c r="T5" s="71" t="s">
        <v>5546</v>
      </c>
    </row>
    <row r="6" customFormat="false" ht="48" hidden="false" customHeight="true" outlineLevel="0" collapsed="false">
      <c r="A6" s="71" t="s">
        <v>5547</v>
      </c>
      <c r="B6" s="71" t="s">
        <v>5548</v>
      </c>
      <c r="C6" s="72" t="s">
        <v>5545</v>
      </c>
      <c r="D6" s="72" t="s">
        <v>5502</v>
      </c>
      <c r="E6" s="72" t="n">
        <v>2</v>
      </c>
      <c r="F6" s="72" t="n">
        <v>6</v>
      </c>
      <c r="G6" s="72" t="n">
        <v>3</v>
      </c>
      <c r="H6" s="72" t="n">
        <f aca="false">F6-G6</f>
        <v>3</v>
      </c>
      <c r="I6" s="72" t="s">
        <v>5507</v>
      </c>
      <c r="J6" s="72" t="s">
        <v>5373</v>
      </c>
      <c r="K6" s="72" t="s">
        <v>5374</v>
      </c>
      <c r="L6" s="72" t="s">
        <v>5375</v>
      </c>
      <c r="M6" s="72" t="s">
        <v>5376</v>
      </c>
      <c r="N6" s="72" t="n">
        <v>72</v>
      </c>
      <c r="O6" s="72" t="n">
        <v>18</v>
      </c>
      <c r="P6" s="72" t="n">
        <v>9</v>
      </c>
      <c r="Q6" s="72" t="n">
        <v>9</v>
      </c>
      <c r="R6" s="72" t="n">
        <v>0</v>
      </c>
      <c r="S6" s="72" t="s">
        <v>5363</v>
      </c>
      <c r="T6" s="71" t="s">
        <v>5549</v>
      </c>
    </row>
    <row r="7" customFormat="false" ht="48" hidden="false" customHeight="true" outlineLevel="0" collapsed="false">
      <c r="A7" s="71" t="s">
        <v>5550</v>
      </c>
      <c r="B7" s="71" t="s">
        <v>5551</v>
      </c>
      <c r="C7" s="72" t="s">
        <v>5545</v>
      </c>
      <c r="D7" s="72" t="s">
        <v>5513</v>
      </c>
      <c r="E7" s="72" t="n">
        <v>3</v>
      </c>
      <c r="F7" s="72" t="n">
        <v>6</v>
      </c>
      <c r="G7" s="72" t="n">
        <v>3</v>
      </c>
      <c r="H7" s="72" t="n">
        <f aca="false">F7-G7</f>
        <v>3</v>
      </c>
      <c r="I7" s="72" t="s">
        <v>5507</v>
      </c>
      <c r="J7" s="72" t="s">
        <v>5373</v>
      </c>
      <c r="K7" s="72" t="s">
        <v>5374</v>
      </c>
      <c r="L7" s="72" t="s">
        <v>5375</v>
      </c>
      <c r="M7" s="72" t="s">
        <v>5376</v>
      </c>
      <c r="N7" s="72" t="n">
        <v>72</v>
      </c>
      <c r="O7" s="72" t="n">
        <v>18</v>
      </c>
      <c r="P7" s="72" t="n">
        <v>9</v>
      </c>
      <c r="Q7" s="72" t="n">
        <v>9</v>
      </c>
      <c r="R7" s="72" t="n">
        <v>0</v>
      </c>
      <c r="S7" s="72" t="s">
        <v>5363</v>
      </c>
      <c r="T7" s="71" t="s">
        <v>5552</v>
      </c>
    </row>
    <row r="8" customFormat="false" ht="48" hidden="false" customHeight="true" outlineLevel="0" collapsed="false">
      <c r="A8" s="67" t="s">
        <v>5553</v>
      </c>
      <c r="B8" s="67" t="s">
        <v>5554</v>
      </c>
      <c r="C8" s="68" t="s">
        <v>5555</v>
      </c>
      <c r="D8" s="68" t="s">
        <v>5513</v>
      </c>
      <c r="E8" s="68" t="n">
        <v>2</v>
      </c>
      <c r="F8" s="68" t="n">
        <v>6</v>
      </c>
      <c r="G8" s="68" t="n">
        <v>3</v>
      </c>
      <c r="H8" s="68" t="n">
        <f aca="false">F8-G8</f>
        <v>3</v>
      </c>
      <c r="I8" s="68" t="s">
        <v>5507</v>
      </c>
      <c r="J8" s="68" t="s">
        <v>5373</v>
      </c>
      <c r="K8" s="68" t="s">
        <v>5374</v>
      </c>
      <c r="L8" s="68" t="s">
        <v>5375</v>
      </c>
      <c r="M8" s="68" t="s">
        <v>5376</v>
      </c>
      <c r="N8" s="68" t="n">
        <v>72</v>
      </c>
      <c r="O8" s="68" t="n">
        <v>18</v>
      </c>
      <c r="P8" s="68" t="n">
        <v>9</v>
      </c>
      <c r="Q8" s="68" t="n">
        <v>9</v>
      </c>
      <c r="R8" s="68" t="n">
        <v>36</v>
      </c>
      <c r="S8" s="68" t="s">
        <v>5363</v>
      </c>
      <c r="T8" s="67" t="s">
        <v>5556</v>
      </c>
    </row>
    <row r="9" customFormat="false" ht="48" hidden="false" customHeight="true" outlineLevel="0" collapsed="false">
      <c r="A9" s="67" t="s">
        <v>5557</v>
      </c>
      <c r="B9" s="67" t="s">
        <v>5558</v>
      </c>
      <c r="C9" s="68" t="s">
        <v>5555</v>
      </c>
      <c r="D9" s="68" t="s">
        <v>5559</v>
      </c>
      <c r="E9" s="68" t="n">
        <v>2</v>
      </c>
      <c r="F9" s="68" t="n">
        <v>6</v>
      </c>
      <c r="G9" s="68" t="n">
        <v>3</v>
      </c>
      <c r="H9" s="68" t="n">
        <f aca="false">F9-G9</f>
        <v>3</v>
      </c>
      <c r="I9" s="68" t="s">
        <v>5507</v>
      </c>
      <c r="J9" s="68" t="s">
        <v>5373</v>
      </c>
      <c r="K9" s="68" t="s">
        <v>5374</v>
      </c>
      <c r="L9" s="68" t="s">
        <v>5375</v>
      </c>
      <c r="M9" s="68" t="s">
        <v>5376</v>
      </c>
      <c r="N9" s="68" t="n">
        <v>72</v>
      </c>
      <c r="O9" s="68" t="n">
        <v>18</v>
      </c>
      <c r="P9" s="68" t="n">
        <v>9</v>
      </c>
      <c r="Q9" s="68" t="n">
        <v>9</v>
      </c>
      <c r="R9" s="68" t="n">
        <v>36</v>
      </c>
      <c r="S9" s="68" t="s">
        <v>5363</v>
      </c>
      <c r="T9" s="67" t="s">
        <v>5560</v>
      </c>
    </row>
    <row r="10" customFormat="false" ht="48" hidden="false" customHeight="true" outlineLevel="0" collapsed="false">
      <c r="A10" s="67" t="s">
        <v>5561</v>
      </c>
      <c r="B10" s="67" t="s">
        <v>5562</v>
      </c>
      <c r="C10" s="68" t="s">
        <v>5555</v>
      </c>
      <c r="D10" s="68" t="s">
        <v>5563</v>
      </c>
      <c r="E10" s="68" t="n">
        <v>2</v>
      </c>
      <c r="F10" s="68" t="n">
        <v>6</v>
      </c>
      <c r="G10" s="68" t="n">
        <v>3</v>
      </c>
      <c r="H10" s="68" t="n">
        <f aca="false">F10-G10</f>
        <v>3</v>
      </c>
      <c r="I10" s="68" t="s">
        <v>5507</v>
      </c>
      <c r="J10" s="68" t="s">
        <v>5373</v>
      </c>
      <c r="K10" s="68" t="s">
        <v>5374</v>
      </c>
      <c r="L10" s="68" t="s">
        <v>5375</v>
      </c>
      <c r="M10" s="68" t="s">
        <v>5376</v>
      </c>
      <c r="N10" s="68" t="n">
        <v>72</v>
      </c>
      <c r="O10" s="68" t="n">
        <v>18</v>
      </c>
      <c r="P10" s="68" t="n">
        <v>9</v>
      </c>
      <c r="Q10" s="68" t="n">
        <v>9</v>
      </c>
      <c r="R10" s="68" t="n">
        <v>36</v>
      </c>
      <c r="S10" s="68" t="s">
        <v>5363</v>
      </c>
      <c r="T10" s="67" t="s">
        <v>5564</v>
      </c>
    </row>
    <row r="11" customFormat="false" ht="48" hidden="false" customHeight="true" outlineLevel="0" collapsed="false">
      <c r="A11" s="67" t="s">
        <v>5565</v>
      </c>
      <c r="B11" s="67" t="s">
        <v>5566</v>
      </c>
      <c r="C11" s="68" t="s">
        <v>5555</v>
      </c>
      <c r="D11" s="68" t="s">
        <v>5559</v>
      </c>
      <c r="E11" s="68" t="n">
        <v>2</v>
      </c>
      <c r="F11" s="68" t="n">
        <v>6</v>
      </c>
      <c r="G11" s="68" t="n">
        <v>3</v>
      </c>
      <c r="H11" s="68" t="n">
        <f aca="false">F11-G11</f>
        <v>3</v>
      </c>
      <c r="I11" s="68" t="s">
        <v>5507</v>
      </c>
      <c r="J11" s="68" t="s">
        <v>5373</v>
      </c>
      <c r="K11" s="68" t="s">
        <v>5567</v>
      </c>
      <c r="L11" s="68" t="s">
        <v>5568</v>
      </c>
      <c r="M11" s="68" t="s">
        <v>5376</v>
      </c>
      <c r="N11" s="68" t="n">
        <v>72</v>
      </c>
      <c r="O11" s="68" t="n">
        <v>18</v>
      </c>
      <c r="P11" s="68" t="n">
        <v>9</v>
      </c>
      <c r="Q11" s="68" t="n">
        <v>9</v>
      </c>
      <c r="R11" s="68" t="n">
        <v>36</v>
      </c>
      <c r="S11" s="68" t="s">
        <v>5363</v>
      </c>
      <c r="T11" s="67" t="s">
        <v>5569</v>
      </c>
    </row>
    <row r="12" customFormat="false" ht="48" hidden="false" customHeight="true" outlineLevel="0" collapsed="false">
      <c r="A12" s="67" t="s">
        <v>5570</v>
      </c>
      <c r="B12" s="67" t="s">
        <v>5571</v>
      </c>
      <c r="C12" s="68" t="s">
        <v>5555</v>
      </c>
      <c r="D12" s="68" t="s">
        <v>5563</v>
      </c>
      <c r="E12" s="68" t="n">
        <v>2</v>
      </c>
      <c r="F12" s="68" t="n">
        <v>6</v>
      </c>
      <c r="G12" s="68" t="n">
        <v>3</v>
      </c>
      <c r="H12" s="68" t="n">
        <f aca="false">F12-G12</f>
        <v>3</v>
      </c>
      <c r="I12" s="68" t="s">
        <v>5507</v>
      </c>
      <c r="J12" s="68" t="s">
        <v>5373</v>
      </c>
      <c r="K12" s="68" t="s">
        <v>5567</v>
      </c>
      <c r="L12" s="68" t="s">
        <v>5568</v>
      </c>
      <c r="M12" s="68" t="s">
        <v>5376</v>
      </c>
      <c r="N12" s="68" t="n">
        <v>72</v>
      </c>
      <c r="O12" s="68" t="n">
        <v>18</v>
      </c>
      <c r="P12" s="68" t="n">
        <v>9</v>
      </c>
      <c r="Q12" s="68" t="n">
        <v>9</v>
      </c>
      <c r="R12" s="68" t="n">
        <v>36</v>
      </c>
      <c r="S12" s="68" t="s">
        <v>5363</v>
      </c>
      <c r="T12" s="67" t="s">
        <v>5572</v>
      </c>
    </row>
  </sheetData>
  <autoFilter ref="A3:T12"/>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19"/>
    <col collapsed="false" customWidth="true" hidden="false" outlineLevel="0" max="2" min="2" style="75" width="34"/>
    <col collapsed="false" customWidth="true" hidden="false" outlineLevel="0" max="3" min="3" style="75" width="29"/>
    <col collapsed="false" customWidth="true" hidden="false" outlineLevel="0" max="4" min="4" style="75" width="28"/>
    <col collapsed="false" customWidth="true" hidden="false" outlineLevel="0" max="5" min="5" style="75" width="38"/>
    <col collapsed="false" customWidth="true" hidden="false" outlineLevel="0" max="6" min="6" style="75" width="35"/>
    <col collapsed="false" customWidth="true" hidden="false" outlineLevel="0" max="7" min="7" style="75" width="24"/>
  </cols>
  <sheetData>
    <row r="1" customFormat="false" ht="24" hidden="false" customHeight="true" outlineLevel="0" collapsed="false">
      <c r="A1" s="73" t="s">
        <v>5573</v>
      </c>
      <c r="B1" s="73"/>
      <c r="C1" s="73"/>
      <c r="D1" s="73"/>
      <c r="E1" s="73"/>
      <c r="F1" s="73"/>
      <c r="G1" s="73"/>
    </row>
    <row r="3" customFormat="false" ht="15" hidden="false" customHeight="true" outlineLevel="0" collapsed="false">
      <c r="A3" s="66" t="s">
        <v>3512</v>
      </c>
      <c r="B3" s="66" t="s">
        <v>5415</v>
      </c>
      <c r="C3" s="66" t="s">
        <v>5416</v>
      </c>
      <c r="D3" s="66" t="s">
        <v>4729</v>
      </c>
      <c r="E3" s="66" t="s">
        <v>4731</v>
      </c>
      <c r="F3" s="66" t="s">
        <v>5417</v>
      </c>
      <c r="G3" s="66" t="s">
        <v>2</v>
      </c>
    </row>
    <row r="4" customFormat="false" ht="42" hidden="false" customHeight="true" outlineLevel="0" collapsed="false">
      <c r="A4" s="51" t="s">
        <v>5574</v>
      </c>
      <c r="B4" s="51" t="s">
        <v>5575</v>
      </c>
      <c r="C4" s="51" t="s">
        <v>5576</v>
      </c>
      <c r="D4" s="51" t="s">
        <v>5577</v>
      </c>
      <c r="E4" s="51" t="s">
        <v>5578</v>
      </c>
      <c r="F4" s="51" t="s">
        <v>5579</v>
      </c>
      <c r="G4" s="51" t="s">
        <v>4149</v>
      </c>
    </row>
    <row r="5" customFormat="false" ht="42" hidden="false" customHeight="true" outlineLevel="0" collapsed="false">
      <c r="A5" s="54" t="s">
        <v>1228</v>
      </c>
      <c r="B5" s="54" t="s">
        <v>5580</v>
      </c>
      <c r="C5" s="54" t="s">
        <v>5581</v>
      </c>
      <c r="D5" s="54" t="s">
        <v>5582</v>
      </c>
      <c r="E5" s="54" t="s">
        <v>5583</v>
      </c>
      <c r="F5" s="54" t="s">
        <v>5584</v>
      </c>
      <c r="G5" s="54" t="s">
        <v>5585</v>
      </c>
    </row>
    <row r="6" customFormat="false" ht="42" hidden="false" customHeight="true" outlineLevel="0" collapsed="false">
      <c r="A6" s="56" t="s">
        <v>92</v>
      </c>
      <c r="B6" s="56" t="s">
        <v>5586</v>
      </c>
      <c r="C6" s="56" t="s">
        <v>5587</v>
      </c>
      <c r="D6" s="56" t="s">
        <v>5588</v>
      </c>
      <c r="E6" s="56" t="s">
        <v>5589</v>
      </c>
      <c r="F6" s="56" t="s">
        <v>5590</v>
      </c>
      <c r="G6" s="56" t="s">
        <v>4811</v>
      </c>
    </row>
    <row r="7" customFormat="false" ht="42" hidden="false" customHeight="true" outlineLevel="0" collapsed="false">
      <c r="A7" s="51" t="s">
        <v>92</v>
      </c>
      <c r="B7" s="51" t="s">
        <v>5591</v>
      </c>
      <c r="C7" s="51" t="s">
        <v>5592</v>
      </c>
      <c r="D7" s="51" t="s">
        <v>5593</v>
      </c>
      <c r="E7" s="51" t="s">
        <v>5589</v>
      </c>
      <c r="F7" s="51" t="s">
        <v>5594</v>
      </c>
      <c r="G7" s="51" t="s">
        <v>4811</v>
      </c>
    </row>
    <row r="8" customFormat="false" ht="42" hidden="false" customHeight="true" outlineLevel="0" collapsed="false">
      <c r="A8" s="54" t="s">
        <v>92</v>
      </c>
      <c r="B8" s="54" t="s">
        <v>5595</v>
      </c>
      <c r="C8" s="54" t="s">
        <v>5596</v>
      </c>
      <c r="D8" s="54" t="s">
        <v>5593</v>
      </c>
      <c r="E8" s="54" t="s">
        <v>5589</v>
      </c>
      <c r="F8" s="54" t="s">
        <v>5597</v>
      </c>
      <c r="G8" s="54" t="s">
        <v>4811</v>
      </c>
    </row>
    <row r="9" customFormat="false" ht="42" hidden="false" customHeight="true" outlineLevel="0" collapsed="false">
      <c r="A9" s="56" t="s">
        <v>1263</v>
      </c>
      <c r="B9" s="56" t="s">
        <v>5598</v>
      </c>
      <c r="C9" s="56" t="s">
        <v>5599</v>
      </c>
      <c r="D9" s="56" t="s">
        <v>5600</v>
      </c>
      <c r="E9" s="56" t="s">
        <v>5601</v>
      </c>
      <c r="F9" s="56" t="s">
        <v>5602</v>
      </c>
      <c r="G9" s="56" t="s">
        <v>4811</v>
      </c>
    </row>
    <row r="10" customFormat="false" ht="42" hidden="false" customHeight="true" outlineLevel="0" collapsed="false">
      <c r="A10" s="51" t="s">
        <v>5603</v>
      </c>
      <c r="B10" s="51" t="s">
        <v>5604</v>
      </c>
      <c r="C10" s="51" t="s">
        <v>5605</v>
      </c>
      <c r="D10" s="51" t="s">
        <v>5606</v>
      </c>
      <c r="E10" s="51" t="s">
        <v>5589</v>
      </c>
      <c r="F10" s="51" t="s">
        <v>5607</v>
      </c>
      <c r="G10" s="51" t="s">
        <v>4750</v>
      </c>
    </row>
    <row r="11" customFormat="false" ht="42" hidden="false" customHeight="true" outlineLevel="0" collapsed="false">
      <c r="A11" s="54" t="s">
        <v>4440</v>
      </c>
      <c r="B11" s="54" t="s">
        <v>5608</v>
      </c>
      <c r="C11" s="54" t="s">
        <v>5609</v>
      </c>
      <c r="D11" s="54" t="s">
        <v>5610</v>
      </c>
      <c r="E11" s="54" t="s">
        <v>5611</v>
      </c>
      <c r="F11" s="54" t="s">
        <v>5612</v>
      </c>
      <c r="G11" s="54" t="s">
        <v>4750</v>
      </c>
    </row>
    <row r="12" customFormat="false" ht="42" hidden="false" customHeight="true" outlineLevel="0" collapsed="false">
      <c r="A12" s="56" t="s">
        <v>5613</v>
      </c>
      <c r="B12" s="56" t="s">
        <v>5614</v>
      </c>
      <c r="C12" s="56" t="s">
        <v>5615</v>
      </c>
      <c r="D12" s="56" t="s">
        <v>5616</v>
      </c>
      <c r="E12" s="56" t="s">
        <v>5617</v>
      </c>
      <c r="F12" s="56" t="s">
        <v>5618</v>
      </c>
      <c r="G12" s="56" t="s">
        <v>4671</v>
      </c>
    </row>
    <row r="13" customFormat="false" ht="42" hidden="false" customHeight="true" outlineLevel="0" collapsed="false">
      <c r="A13" s="51" t="s">
        <v>4732</v>
      </c>
      <c r="B13" s="51" t="s">
        <v>5619</v>
      </c>
      <c r="C13" s="51" t="s">
        <v>5620</v>
      </c>
      <c r="D13" s="51" t="s">
        <v>5621</v>
      </c>
      <c r="E13" s="51" t="s">
        <v>5601</v>
      </c>
      <c r="F13" s="51" t="s">
        <v>5622</v>
      </c>
      <c r="G13" s="51" t="s">
        <v>4671</v>
      </c>
    </row>
    <row r="14" customFormat="false" ht="42" hidden="false" customHeight="true" outlineLevel="0" collapsed="false">
      <c r="A14" s="54" t="s">
        <v>5353</v>
      </c>
      <c r="B14" s="54" t="s">
        <v>5623</v>
      </c>
      <c r="C14" s="54" t="s">
        <v>5624</v>
      </c>
      <c r="D14" s="54" t="s">
        <v>5625</v>
      </c>
      <c r="E14" s="54" t="s">
        <v>5626</v>
      </c>
      <c r="F14" s="54" t="s">
        <v>5627</v>
      </c>
      <c r="G14" s="54" t="s">
        <v>5628</v>
      </c>
    </row>
    <row r="15" customFormat="false" ht="42" hidden="false" customHeight="true" outlineLevel="0" collapsed="false">
      <c r="A15" s="56" t="s">
        <v>5284</v>
      </c>
      <c r="B15" s="56" t="s">
        <v>4751</v>
      </c>
      <c r="C15" s="56" t="s">
        <v>5477</v>
      </c>
      <c r="D15" s="56" t="s">
        <v>5629</v>
      </c>
      <c r="E15" s="56" t="s">
        <v>4930</v>
      </c>
      <c r="F15" s="56" t="s">
        <v>5630</v>
      </c>
      <c r="G15" s="56" t="s">
        <v>4149</v>
      </c>
    </row>
    <row r="18" customFormat="false" ht="15.75" hidden="false" customHeight="true" outlineLevel="0" collapsed="false">
      <c r="A18" s="74" t="s">
        <v>5480</v>
      </c>
      <c r="B18" s="74"/>
      <c r="C18" s="74"/>
      <c r="D18" s="74"/>
      <c r="E18" s="74"/>
      <c r="F18" s="74"/>
      <c r="G18" s="74"/>
    </row>
    <row r="19" customFormat="false" ht="15" hidden="false" customHeight="true" outlineLevel="0" collapsed="false">
      <c r="A19" s="66" t="s">
        <v>3909</v>
      </c>
      <c r="B19" s="66" t="s">
        <v>4937</v>
      </c>
      <c r="C19" s="66" t="s">
        <v>5481</v>
      </c>
      <c r="D19" s="66" t="s">
        <v>5482</v>
      </c>
      <c r="E19" s="66" t="s">
        <v>4940</v>
      </c>
      <c r="F19" s="66" t="s">
        <v>5483</v>
      </c>
      <c r="G19" s="66" t="s">
        <v>5484</v>
      </c>
    </row>
    <row r="20" customFormat="false" ht="33.75" hidden="false" customHeight="true" outlineLevel="0" collapsed="false">
      <c r="A20" s="67" t="s">
        <v>5485</v>
      </c>
      <c r="B20" s="68" t="n">
        <v>9</v>
      </c>
      <c r="C20" s="68" t="n">
        <v>9</v>
      </c>
      <c r="D20" s="68" t="n">
        <v>4</v>
      </c>
      <c r="E20" s="68" t="n">
        <v>2</v>
      </c>
      <c r="F20" s="68" t="n">
        <f aca="false">B20*C20*D20*E20</f>
        <v>648</v>
      </c>
      <c r="G20" s="67" t="s">
        <v>5631</v>
      </c>
    </row>
    <row r="21" customFormat="false" ht="33.75" hidden="false" customHeight="true" outlineLevel="0" collapsed="false">
      <c r="A21" s="69" t="s">
        <v>5536</v>
      </c>
      <c r="B21" s="70" t="n">
        <v>9</v>
      </c>
      <c r="C21" s="70" t="n">
        <v>9</v>
      </c>
      <c r="D21" s="70" t="n">
        <v>1</v>
      </c>
      <c r="E21" s="70" t="n">
        <v>2</v>
      </c>
      <c r="F21" s="70" t="n">
        <f aca="false">B21*C21*D21*E21</f>
        <v>162</v>
      </c>
      <c r="G21" s="69" t="s">
        <v>5632</v>
      </c>
    </row>
    <row r="22" customFormat="false" ht="33.75" hidden="false" customHeight="true" outlineLevel="0" collapsed="false">
      <c r="A22" s="69" t="s">
        <v>5633</v>
      </c>
      <c r="B22" s="70" t="n">
        <v>9</v>
      </c>
      <c r="C22" s="70" t="n">
        <v>9</v>
      </c>
      <c r="D22" s="70" t="n">
        <v>1</v>
      </c>
      <c r="E22" s="70" t="n">
        <v>1</v>
      </c>
      <c r="F22" s="70" t="n">
        <f aca="false">B22*C22*D22*E22</f>
        <v>81</v>
      </c>
      <c r="G22" s="69" t="s">
        <v>5634</v>
      </c>
    </row>
    <row r="23" customFormat="false" ht="33.75" hidden="false" customHeight="true" outlineLevel="0" collapsed="false">
      <c r="A23" s="69" t="s">
        <v>5635</v>
      </c>
      <c r="B23" s="70" t="n">
        <v>9</v>
      </c>
      <c r="C23" s="70" t="n">
        <v>9</v>
      </c>
      <c r="D23" s="70" t="n">
        <v>1</v>
      </c>
      <c r="E23" s="70" t="n">
        <v>1</v>
      </c>
      <c r="F23" s="70" t="n">
        <f aca="false">B23*C23*D23*E23</f>
        <v>81</v>
      </c>
      <c r="G23" s="69" t="s">
        <v>5636</v>
      </c>
    </row>
    <row r="24" customFormat="false" ht="33.75" hidden="false" customHeight="true" outlineLevel="0" collapsed="false">
      <c r="A24" s="69" t="s">
        <v>5637</v>
      </c>
      <c r="B24" s="70" t="n">
        <v>6</v>
      </c>
      <c r="C24" s="70" t="n">
        <v>9</v>
      </c>
      <c r="D24" s="70" t="n">
        <v>4</v>
      </c>
      <c r="E24" s="70" t="n">
        <v>1</v>
      </c>
      <c r="F24" s="70" t="n">
        <f aca="false">B24*C24*D24*E24</f>
        <v>216</v>
      </c>
      <c r="G24" s="69" t="s">
        <v>5638</v>
      </c>
    </row>
    <row r="25" customFormat="false" ht="33.75" hidden="false" customHeight="true" outlineLevel="0" collapsed="false">
      <c r="A25" s="67" t="s">
        <v>5639</v>
      </c>
      <c r="B25" s="68"/>
      <c r="C25" s="68"/>
      <c r="D25" s="68"/>
      <c r="E25" s="68"/>
      <c r="F25" s="68" t="n">
        <f aca="false">SUM(F20:F24)</f>
        <v>1188</v>
      </c>
      <c r="G25" s="67" t="s">
        <v>5640</v>
      </c>
    </row>
    <row r="26" customFormat="false" ht="33.75" hidden="false" customHeight="true" outlineLevel="0" collapsed="false">
      <c r="A26" s="69" t="s">
        <v>5491</v>
      </c>
      <c r="B26" s="70"/>
      <c r="C26" s="70"/>
      <c r="D26" s="70"/>
      <c r="E26" s="70"/>
      <c r="F26" s="70" t="n">
        <v>3114</v>
      </c>
      <c r="G26" s="69" t="s">
        <v>5641</v>
      </c>
    </row>
    <row r="27" customFormat="false" ht="33.75" hidden="false" customHeight="true" outlineLevel="0" collapsed="false">
      <c r="A27" s="67" t="s">
        <v>5493</v>
      </c>
      <c r="B27" s="68"/>
      <c r="C27" s="68"/>
      <c r="D27" s="68"/>
      <c r="E27" s="68"/>
      <c r="F27" s="68" t="n">
        <f aca="false">F25+F26</f>
        <v>4302</v>
      </c>
      <c r="G27" s="67" t="s">
        <v>5642</v>
      </c>
    </row>
    <row r="30" customFormat="false" ht="15.75" hidden="false" customHeight="true" outlineLevel="0" collapsed="false">
      <c r="A30" s="74" t="s">
        <v>5643</v>
      </c>
      <c r="B30" s="74"/>
      <c r="C30" s="74"/>
      <c r="D30" s="74"/>
      <c r="E30" s="74"/>
      <c r="F30" s="74"/>
      <c r="G30" s="74"/>
    </row>
    <row r="31" customFormat="false" ht="15" hidden="false" customHeight="true" outlineLevel="0" collapsed="false">
      <c r="A31" s="66" t="s">
        <v>5644</v>
      </c>
      <c r="B31" s="66" t="s">
        <v>5645</v>
      </c>
      <c r="C31" s="66" t="s">
        <v>5646</v>
      </c>
      <c r="D31" s="66" t="s">
        <v>5647</v>
      </c>
      <c r="E31" s="66" t="s">
        <v>5648</v>
      </c>
      <c r="F31" s="66" t="s">
        <v>5649</v>
      </c>
      <c r="G31" s="66" t="s">
        <v>4709</v>
      </c>
    </row>
    <row r="32" customFormat="false" ht="43.5" hidden="false" customHeight="true" outlineLevel="0" collapsed="false">
      <c r="A32" s="51" t="s">
        <v>5650</v>
      </c>
      <c r="B32" s="51" t="s">
        <v>5651</v>
      </c>
      <c r="C32" s="51" t="s">
        <v>5652</v>
      </c>
      <c r="D32" s="51" t="s">
        <v>5653</v>
      </c>
      <c r="E32" s="51" t="s">
        <v>5654</v>
      </c>
      <c r="F32" s="51" t="s">
        <v>5655</v>
      </c>
      <c r="G32" s="51" t="s">
        <v>5589</v>
      </c>
    </row>
    <row r="33" customFormat="false" ht="43.5" hidden="false" customHeight="true" outlineLevel="0" collapsed="false">
      <c r="A33" s="54" t="s">
        <v>5536</v>
      </c>
      <c r="B33" s="54" t="s">
        <v>5656</v>
      </c>
      <c r="C33" s="54" t="s">
        <v>5657</v>
      </c>
      <c r="D33" s="54" t="s">
        <v>5658</v>
      </c>
      <c r="E33" s="54" t="s">
        <v>5659</v>
      </c>
      <c r="F33" s="54" t="s">
        <v>5660</v>
      </c>
      <c r="G33" s="54" t="s">
        <v>5611</v>
      </c>
    </row>
    <row r="34" customFormat="false" ht="43.5" hidden="false" customHeight="true" outlineLevel="0" collapsed="false">
      <c r="A34" s="51" t="s">
        <v>5633</v>
      </c>
      <c r="B34" s="51" t="s">
        <v>5661</v>
      </c>
      <c r="C34" s="51" t="s">
        <v>5662</v>
      </c>
      <c r="D34" s="51" t="s">
        <v>5658</v>
      </c>
      <c r="E34" s="51" t="s">
        <v>5663</v>
      </c>
      <c r="F34" s="51" t="s">
        <v>5664</v>
      </c>
      <c r="G34" s="51" t="s">
        <v>5611</v>
      </c>
    </row>
    <row r="35" customFormat="false" ht="43.5" hidden="false" customHeight="true" outlineLevel="0" collapsed="false">
      <c r="A35" s="54" t="s">
        <v>5635</v>
      </c>
      <c r="B35" s="54" t="s">
        <v>5665</v>
      </c>
      <c r="C35" s="54" t="s">
        <v>5666</v>
      </c>
      <c r="D35" s="54" t="s">
        <v>5505</v>
      </c>
      <c r="E35" s="54" t="s">
        <v>5667</v>
      </c>
      <c r="F35" s="54" t="s">
        <v>5668</v>
      </c>
      <c r="G35" s="54" t="s">
        <v>5611</v>
      </c>
    </row>
    <row r="36" customFormat="false" ht="43.5" hidden="false" customHeight="true" outlineLevel="0" collapsed="false">
      <c r="A36" s="51" t="s">
        <v>5669</v>
      </c>
      <c r="B36" s="51" t="s">
        <v>5670</v>
      </c>
      <c r="C36" s="51" t="s">
        <v>5671</v>
      </c>
      <c r="D36" s="51" t="s">
        <v>5505</v>
      </c>
      <c r="E36" s="51" t="s">
        <v>5672</v>
      </c>
      <c r="F36" s="51" t="s">
        <v>5673</v>
      </c>
      <c r="G36" s="51" t="s">
        <v>5601</v>
      </c>
    </row>
    <row r="37" customFormat="false" ht="43.5" hidden="false" customHeight="true" outlineLevel="0" collapsed="false">
      <c r="A37" s="54" t="s">
        <v>5674</v>
      </c>
      <c r="B37" s="54" t="s">
        <v>5675</v>
      </c>
      <c r="C37" s="54" t="s">
        <v>5671</v>
      </c>
      <c r="D37" s="54" t="s">
        <v>5505</v>
      </c>
      <c r="E37" s="54" t="s">
        <v>5676</v>
      </c>
      <c r="F37" s="54" t="s">
        <v>5677</v>
      </c>
      <c r="G37" s="54" t="s">
        <v>5617</v>
      </c>
    </row>
    <row r="40" customFormat="false" ht="15.75" hidden="false" customHeight="true" outlineLevel="0" collapsed="false">
      <c r="A40" s="74" t="s">
        <v>5678</v>
      </c>
      <c r="B40" s="74"/>
      <c r="C40" s="74"/>
      <c r="D40" s="74"/>
      <c r="E40" s="74"/>
      <c r="F40" s="74"/>
      <c r="G40" s="74"/>
    </row>
    <row r="41" customFormat="false" ht="33.75" hidden="false" customHeight="true" outlineLevel="0" collapsed="false">
      <c r="A41" s="53" t="s">
        <v>5679</v>
      </c>
      <c r="B41" s="53" t="s">
        <v>5680</v>
      </c>
      <c r="C41" s="53"/>
      <c r="D41" s="53"/>
      <c r="E41" s="53"/>
      <c r="F41" s="53"/>
      <c r="G41" s="53" t="s">
        <v>5681</v>
      </c>
    </row>
    <row r="42" customFormat="false" ht="33.75" hidden="false" customHeight="true" outlineLevel="0" collapsed="false">
      <c r="A42" s="53" t="s">
        <v>5682</v>
      </c>
      <c r="B42" s="53" t="s">
        <v>5683</v>
      </c>
      <c r="C42" s="53"/>
      <c r="D42" s="53"/>
      <c r="E42" s="53"/>
      <c r="F42" s="53"/>
      <c r="G42" s="53" t="s">
        <v>5681</v>
      </c>
    </row>
    <row r="43" customFormat="false" ht="33.75" hidden="false" customHeight="true" outlineLevel="0" collapsed="false">
      <c r="A43" s="53" t="s">
        <v>5684</v>
      </c>
      <c r="B43" s="53" t="s">
        <v>5685</v>
      </c>
      <c r="C43" s="53"/>
      <c r="D43" s="53"/>
      <c r="E43" s="53"/>
      <c r="F43" s="53"/>
      <c r="G43" s="53" t="s">
        <v>5681</v>
      </c>
    </row>
    <row r="44" customFormat="false" ht="33.75" hidden="false" customHeight="true" outlineLevel="0" collapsed="false">
      <c r="A44" s="53" t="s">
        <v>5686</v>
      </c>
      <c r="B44" s="53" t="s">
        <v>5687</v>
      </c>
      <c r="C44" s="53"/>
      <c r="D44" s="53"/>
      <c r="E44" s="53"/>
      <c r="F44" s="53"/>
      <c r="G44" s="53" t="s">
        <v>5681</v>
      </c>
    </row>
    <row r="45" customFormat="false" ht="33.75" hidden="false" customHeight="true" outlineLevel="0" collapsed="false">
      <c r="A45" s="53" t="s">
        <v>5688</v>
      </c>
      <c r="B45" s="53" t="s">
        <v>5689</v>
      </c>
      <c r="C45" s="53"/>
      <c r="D45" s="53"/>
      <c r="E45" s="53"/>
      <c r="F45" s="53"/>
      <c r="G45" s="53" t="s">
        <v>5681</v>
      </c>
    </row>
    <row r="46" customFormat="false" ht="33.75" hidden="false" customHeight="true" outlineLevel="0" collapsed="false">
      <c r="A46" s="53" t="s">
        <v>5690</v>
      </c>
      <c r="B46" s="53" t="s">
        <v>5691</v>
      </c>
      <c r="C46" s="53"/>
      <c r="D46" s="53"/>
      <c r="E46" s="53"/>
      <c r="F46" s="53"/>
      <c r="G46" s="53" t="s">
        <v>5681</v>
      </c>
    </row>
    <row r="47" customFormat="false" ht="33.75" hidden="false" customHeight="true" outlineLevel="0" collapsed="false">
      <c r="A47" s="53" t="s">
        <v>5692</v>
      </c>
      <c r="B47" s="53" t="s">
        <v>5693</v>
      </c>
      <c r="C47" s="53"/>
      <c r="D47" s="53"/>
      <c r="E47" s="53"/>
      <c r="F47" s="53"/>
      <c r="G47" s="53" t="s">
        <v>5681</v>
      </c>
    </row>
    <row r="48" customFormat="false" ht="33.75" hidden="false" customHeight="true" outlineLevel="0" collapsed="false">
      <c r="A48" s="53" t="s">
        <v>5694</v>
      </c>
      <c r="B48" s="53" t="s">
        <v>5695</v>
      </c>
      <c r="C48" s="53"/>
      <c r="D48" s="53"/>
      <c r="E48" s="53"/>
      <c r="F48" s="53"/>
      <c r="G48" s="53" t="s">
        <v>5681</v>
      </c>
    </row>
    <row r="49" customFormat="false" ht="33.75" hidden="false" customHeight="true" outlineLevel="0" collapsed="false">
      <c r="A49" s="53" t="s">
        <v>5696</v>
      </c>
      <c r="B49" s="53" t="s">
        <v>5697</v>
      </c>
      <c r="C49" s="53"/>
      <c r="D49" s="53"/>
      <c r="E49" s="53"/>
      <c r="F49" s="53"/>
      <c r="G49" s="53" t="s">
        <v>5681</v>
      </c>
    </row>
    <row r="50" customFormat="false" ht="33.75" hidden="false" customHeight="true" outlineLevel="0" collapsed="false">
      <c r="A50" s="53" t="s">
        <v>5698</v>
      </c>
      <c r="B50" s="53" t="s">
        <v>5699</v>
      </c>
      <c r="C50" s="53"/>
      <c r="D50" s="53"/>
      <c r="E50" s="53"/>
      <c r="F50" s="53"/>
      <c r="G50" s="53" t="s">
        <v>5681</v>
      </c>
    </row>
    <row r="51" customFormat="false" ht="33.75" hidden="false" customHeight="true" outlineLevel="0" collapsed="false">
      <c r="A51" s="53" t="s">
        <v>5700</v>
      </c>
      <c r="B51" s="53" t="s">
        <v>5701</v>
      </c>
      <c r="C51" s="53"/>
      <c r="D51" s="53"/>
      <c r="E51" s="53"/>
      <c r="F51" s="53"/>
      <c r="G51" s="53" t="s">
        <v>5681</v>
      </c>
    </row>
  </sheetData>
  <mergeCells count="15">
    <mergeCell ref="A1:G1"/>
    <mergeCell ref="A18:G18"/>
    <mergeCell ref="A30:G30"/>
    <mergeCell ref="A40:G40"/>
    <mergeCell ref="B41:F41"/>
    <mergeCell ref="B42:F42"/>
    <mergeCell ref="B43:F43"/>
    <mergeCell ref="B44:F44"/>
    <mergeCell ref="B45:F45"/>
    <mergeCell ref="B46:F46"/>
    <mergeCell ref="B47:F47"/>
    <mergeCell ref="B48:F48"/>
    <mergeCell ref="B49:F49"/>
    <mergeCell ref="B50:F50"/>
    <mergeCell ref="B51:F5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43"/>
    <col collapsed="false" customWidth="true" hidden="false" outlineLevel="0" max="2" min="2" style="75" width="34"/>
    <col collapsed="false" customWidth="true" hidden="false" outlineLevel="0" max="3" min="3" style="75" width="27"/>
    <col collapsed="false" customWidth="true" hidden="false" outlineLevel="0" max="4" min="4" style="75" width="13"/>
    <col collapsed="false" customWidth="true" hidden="false" outlineLevel="0" max="6" min="5" style="75" width="10"/>
    <col collapsed="false" customWidth="true" hidden="false" outlineLevel="0" max="7" min="7" style="75" width="11"/>
    <col collapsed="false" customWidth="true" hidden="false" outlineLevel="0" max="8" min="8" style="75" width="12"/>
    <col collapsed="false" customWidth="true" hidden="false" outlineLevel="0" max="10" min="9" style="75" width="10"/>
    <col collapsed="false" customWidth="true" hidden="false" outlineLevel="0" max="11" min="11" style="75" width="11"/>
    <col collapsed="false" customWidth="true" hidden="false" outlineLevel="0" max="12" min="12" style="75" width="12"/>
    <col collapsed="false" customWidth="true" hidden="false" outlineLevel="0" max="15" min="13" style="75" width="22"/>
    <col collapsed="false" customWidth="true" hidden="false" outlineLevel="0" max="16" min="16" style="75" width="15"/>
    <col collapsed="false" customWidth="true" hidden="false" outlineLevel="0" max="19" min="17" style="75" width="13"/>
    <col collapsed="false" customWidth="true" hidden="false" outlineLevel="0" max="20" min="20" style="75" width="28"/>
  </cols>
  <sheetData>
    <row r="1" customFormat="false" ht="17.25" hidden="false" customHeight="true" outlineLevel="0" collapsed="false">
      <c r="A1" s="64" t="s">
        <v>5702</v>
      </c>
      <c r="B1" s="64"/>
      <c r="C1" s="64"/>
      <c r="D1" s="64"/>
      <c r="E1" s="64"/>
      <c r="F1" s="64"/>
      <c r="G1" s="64"/>
      <c r="H1" s="64"/>
      <c r="I1" s="64"/>
      <c r="J1" s="64"/>
      <c r="K1" s="64"/>
      <c r="L1" s="64"/>
      <c r="M1" s="64"/>
      <c r="N1" s="64"/>
      <c r="O1" s="64"/>
      <c r="P1" s="64"/>
      <c r="Q1" s="64"/>
      <c r="R1" s="64"/>
      <c r="S1" s="64"/>
      <c r="T1" s="64"/>
    </row>
    <row r="2" customFormat="false" ht="15" hidden="false" customHeight="true" outlineLevel="0" collapsed="false">
      <c r="A2" s="65" t="s">
        <v>5703</v>
      </c>
      <c r="B2" s="65"/>
      <c r="C2" s="65"/>
      <c r="D2" s="65"/>
      <c r="E2" s="65"/>
      <c r="F2" s="65"/>
      <c r="G2" s="65"/>
      <c r="H2" s="65"/>
      <c r="I2" s="65"/>
      <c r="J2" s="65"/>
      <c r="K2" s="65"/>
      <c r="L2" s="65"/>
      <c r="M2" s="65"/>
      <c r="N2" s="65"/>
      <c r="O2" s="65"/>
      <c r="P2" s="65"/>
      <c r="Q2" s="65"/>
      <c r="R2" s="65"/>
      <c r="S2" s="65"/>
      <c r="T2" s="65"/>
    </row>
    <row r="3" customFormat="false" ht="27.75" hidden="false" customHeight="true" outlineLevel="0" collapsed="false">
      <c r="A3" s="66" t="s">
        <v>5339</v>
      </c>
      <c r="B3" s="66" t="s">
        <v>5340</v>
      </c>
      <c r="C3" s="66" t="s">
        <v>3517</v>
      </c>
      <c r="D3" s="66" t="s">
        <v>5497</v>
      </c>
      <c r="E3" s="66" t="s">
        <v>106</v>
      </c>
      <c r="F3" s="66" t="s">
        <v>1261</v>
      </c>
      <c r="G3" s="66" t="s">
        <v>4834</v>
      </c>
      <c r="H3" s="66" t="s">
        <v>5344</v>
      </c>
      <c r="I3" s="66" t="s">
        <v>5345</v>
      </c>
      <c r="J3" s="66" t="s">
        <v>512</v>
      </c>
      <c r="K3" s="66" t="s">
        <v>4836</v>
      </c>
      <c r="L3" s="66" t="s">
        <v>4837</v>
      </c>
      <c r="M3" s="66" t="s">
        <v>5704</v>
      </c>
      <c r="N3" s="66" t="s">
        <v>5705</v>
      </c>
      <c r="O3" s="66" t="s">
        <v>5706</v>
      </c>
      <c r="P3" s="66" t="s">
        <v>5707</v>
      </c>
      <c r="Q3" s="66" t="s">
        <v>5708</v>
      </c>
      <c r="R3" s="66" t="s">
        <v>5709</v>
      </c>
      <c r="S3" s="66" t="s">
        <v>5710</v>
      </c>
      <c r="T3" s="66" t="s">
        <v>2</v>
      </c>
    </row>
    <row r="4" customFormat="false" ht="43.5" hidden="false" customHeight="true" outlineLevel="0" collapsed="false">
      <c r="A4" s="67" t="s">
        <v>5565</v>
      </c>
      <c r="B4" s="67" t="s">
        <v>5566</v>
      </c>
      <c r="C4" s="67" t="s">
        <v>5711</v>
      </c>
      <c r="D4" s="68" t="s">
        <v>5559</v>
      </c>
      <c r="E4" s="68" t="n">
        <v>2</v>
      </c>
      <c r="F4" s="68" t="n">
        <v>6</v>
      </c>
      <c r="G4" s="68" t="n">
        <v>3</v>
      </c>
      <c r="H4" s="68" t="n">
        <f aca="false">F4-G4</f>
        <v>3</v>
      </c>
      <c r="I4" s="68" t="n">
        <v>12</v>
      </c>
      <c r="J4" s="68" t="n">
        <v>46</v>
      </c>
      <c r="K4" s="68" t="n">
        <v>2</v>
      </c>
      <c r="L4" s="68" t="n">
        <v>3</v>
      </c>
      <c r="M4" s="68" t="s">
        <v>5712</v>
      </c>
      <c r="N4" s="68" t="s">
        <v>5713</v>
      </c>
      <c r="O4" s="68" t="s">
        <v>5714</v>
      </c>
      <c r="P4" s="68" t="n">
        <v>60</v>
      </c>
      <c r="Q4" s="68" t="n">
        <v>1</v>
      </c>
      <c r="R4" s="68" t="n">
        <v>2</v>
      </c>
      <c r="S4" s="68" t="n">
        <v>0</v>
      </c>
      <c r="T4" s="67" t="s">
        <v>5715</v>
      </c>
    </row>
    <row r="5" customFormat="false" ht="43.5" hidden="false" customHeight="true" outlineLevel="0" collapsed="false">
      <c r="A5" s="67" t="s">
        <v>5570</v>
      </c>
      <c r="B5" s="67" t="s">
        <v>5571</v>
      </c>
      <c r="C5" s="67" t="s">
        <v>5711</v>
      </c>
      <c r="D5" s="68" t="s">
        <v>5563</v>
      </c>
      <c r="E5" s="68" t="n">
        <v>2</v>
      </c>
      <c r="F5" s="68" t="n">
        <v>6</v>
      </c>
      <c r="G5" s="68" t="n">
        <v>3</v>
      </c>
      <c r="H5" s="68" t="n">
        <f aca="false">F5-G5</f>
        <v>3</v>
      </c>
      <c r="I5" s="68" t="n">
        <v>12</v>
      </c>
      <c r="J5" s="68" t="n">
        <v>46</v>
      </c>
      <c r="K5" s="68" t="n">
        <v>2</v>
      </c>
      <c r="L5" s="68" t="n">
        <v>3</v>
      </c>
      <c r="M5" s="68" t="s">
        <v>5712</v>
      </c>
      <c r="N5" s="68" t="s">
        <v>5713</v>
      </c>
      <c r="O5" s="68" t="s">
        <v>5714</v>
      </c>
      <c r="P5" s="68" t="n">
        <v>60</v>
      </c>
      <c r="Q5" s="68" t="n">
        <v>1</v>
      </c>
      <c r="R5" s="68" t="n">
        <v>2</v>
      </c>
      <c r="S5" s="68" t="n">
        <v>0</v>
      </c>
      <c r="T5" s="67" t="s">
        <v>5715</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75" width="20"/>
    <col collapsed="false" customWidth="true" hidden="false" outlineLevel="0" max="2" min="2" style="75" width="34"/>
    <col collapsed="false" customWidth="true" hidden="false" outlineLevel="0" max="4" min="3" style="75" width="31"/>
    <col collapsed="false" customWidth="true" hidden="false" outlineLevel="0" max="5" min="5" style="75" width="34"/>
    <col collapsed="false" customWidth="true" hidden="false" outlineLevel="0" max="6" min="6" style="75" width="31"/>
    <col collapsed="false" customWidth="true" hidden="false" outlineLevel="0" max="7" min="7" style="75" width="24"/>
  </cols>
  <sheetData>
    <row r="1" customFormat="false" ht="17.25" hidden="false" customHeight="true" outlineLevel="0" collapsed="false">
      <c r="A1" s="64" t="s">
        <v>5716</v>
      </c>
      <c r="B1" s="64"/>
      <c r="C1" s="64"/>
      <c r="D1" s="64"/>
      <c r="E1" s="64"/>
      <c r="F1" s="64"/>
      <c r="G1" s="64"/>
    </row>
    <row r="2" customFormat="false" ht="15" hidden="false" customHeight="true" outlineLevel="0" collapsed="false">
      <c r="A2" s="76" t="s">
        <v>5717</v>
      </c>
      <c r="B2" s="76"/>
      <c r="C2" s="76"/>
      <c r="D2" s="76"/>
      <c r="E2" s="76"/>
      <c r="F2" s="76"/>
      <c r="G2" s="76"/>
    </row>
    <row r="3" customFormat="false" ht="15" hidden="false" customHeight="true" outlineLevel="0" collapsed="false">
      <c r="A3" s="66" t="s">
        <v>3512</v>
      </c>
      <c r="B3" s="66" t="s">
        <v>5415</v>
      </c>
      <c r="C3" s="66" t="s">
        <v>5416</v>
      </c>
      <c r="D3" s="66" t="s">
        <v>4729</v>
      </c>
      <c r="E3" s="66" t="s">
        <v>4731</v>
      </c>
      <c r="F3" s="66" t="s">
        <v>5417</v>
      </c>
      <c r="G3" s="66" t="s">
        <v>2</v>
      </c>
    </row>
    <row r="4" customFormat="false" ht="42" hidden="false" customHeight="true" outlineLevel="0" collapsed="false">
      <c r="A4" s="51" t="s">
        <v>5496</v>
      </c>
      <c r="B4" s="51" t="s">
        <v>5718</v>
      </c>
      <c r="C4" s="51" t="s">
        <v>5571</v>
      </c>
      <c r="D4" s="51" t="s">
        <v>5719</v>
      </c>
      <c r="E4" s="51" t="s">
        <v>5720</v>
      </c>
      <c r="F4" s="51" t="s">
        <v>5721</v>
      </c>
      <c r="G4" s="51" t="s">
        <v>4811</v>
      </c>
    </row>
    <row r="5" customFormat="false" ht="42" hidden="false" customHeight="true" outlineLevel="0" collapsed="false">
      <c r="A5" s="54" t="s">
        <v>5496</v>
      </c>
      <c r="B5" s="54" t="s">
        <v>5722</v>
      </c>
      <c r="C5" s="54" t="s">
        <v>5566</v>
      </c>
      <c r="D5" s="54" t="s">
        <v>5723</v>
      </c>
      <c r="E5" s="54" t="s">
        <v>5720</v>
      </c>
      <c r="F5" s="54" t="s">
        <v>5724</v>
      </c>
      <c r="G5" s="54" t="s">
        <v>4811</v>
      </c>
    </row>
    <row r="6" customFormat="false" ht="42" hidden="false" customHeight="true" outlineLevel="0" collapsed="false">
      <c r="A6" s="51" t="s">
        <v>5725</v>
      </c>
      <c r="B6" s="51" t="s">
        <v>5726</v>
      </c>
      <c r="C6" s="51" t="s">
        <v>5727</v>
      </c>
      <c r="D6" s="51" t="s">
        <v>5728</v>
      </c>
      <c r="E6" s="51" t="s">
        <v>5729</v>
      </c>
      <c r="F6" s="51" t="s">
        <v>5730</v>
      </c>
      <c r="G6" s="51" t="s">
        <v>4149</v>
      </c>
    </row>
    <row r="7" customFormat="false" ht="42" hidden="false" customHeight="true" outlineLevel="0" collapsed="false">
      <c r="A7" s="54" t="s">
        <v>5731</v>
      </c>
      <c r="B7" s="54" t="s">
        <v>5732</v>
      </c>
      <c r="C7" s="54" t="s">
        <v>5733</v>
      </c>
      <c r="D7" s="54" t="s">
        <v>5734</v>
      </c>
      <c r="E7" s="54" t="s">
        <v>5735</v>
      </c>
      <c r="F7" s="54" t="s">
        <v>5736</v>
      </c>
      <c r="G7" s="54" t="s">
        <v>5737</v>
      </c>
    </row>
    <row r="8" customFormat="false" ht="42" hidden="false" customHeight="true" outlineLevel="0" collapsed="false">
      <c r="A8" s="51" t="s">
        <v>5738</v>
      </c>
      <c r="B8" s="51" t="s">
        <v>5739</v>
      </c>
      <c r="C8" s="51" t="s">
        <v>5740</v>
      </c>
      <c r="D8" s="51" t="s">
        <v>5741</v>
      </c>
      <c r="E8" s="51" t="s">
        <v>5742</v>
      </c>
      <c r="F8" s="51" t="s">
        <v>5743</v>
      </c>
      <c r="G8" s="51" t="s">
        <v>4149</v>
      </c>
    </row>
    <row r="9" customFormat="false" ht="42" hidden="false" customHeight="true" outlineLevel="0" collapsed="false">
      <c r="A9" s="54" t="s">
        <v>4096</v>
      </c>
      <c r="B9" s="54" t="s">
        <v>5744</v>
      </c>
      <c r="C9" s="54" t="s">
        <v>5745</v>
      </c>
      <c r="D9" s="54" t="s">
        <v>5746</v>
      </c>
      <c r="E9" s="54" t="s">
        <v>5747</v>
      </c>
      <c r="F9" s="54" t="s">
        <v>5748</v>
      </c>
      <c r="G9" s="54" t="s">
        <v>4149</v>
      </c>
    </row>
    <row r="10" customFormat="false" ht="42" hidden="false" customHeight="true" outlineLevel="0" collapsed="false">
      <c r="A10" s="51" t="s">
        <v>5603</v>
      </c>
      <c r="B10" s="51" t="s">
        <v>5749</v>
      </c>
      <c r="C10" s="51" t="s">
        <v>5750</v>
      </c>
      <c r="D10" s="51" t="s">
        <v>5751</v>
      </c>
      <c r="E10" s="51" t="s">
        <v>5752</v>
      </c>
      <c r="F10" s="51" t="s">
        <v>5753</v>
      </c>
      <c r="G10" s="51" t="s">
        <v>4149</v>
      </c>
    </row>
    <row r="11" customFormat="false" ht="42" hidden="false" customHeight="true" outlineLevel="0" collapsed="false">
      <c r="A11" s="54" t="s">
        <v>4659</v>
      </c>
      <c r="B11" s="54" t="s">
        <v>5754</v>
      </c>
      <c r="C11" s="54" t="s">
        <v>5755</v>
      </c>
      <c r="D11" s="54" t="s">
        <v>5756</v>
      </c>
      <c r="E11" s="54" t="s">
        <v>5757</v>
      </c>
      <c r="F11" s="54" t="s">
        <v>5758</v>
      </c>
      <c r="G11" s="54" t="s">
        <v>5759</v>
      </c>
    </row>
    <row r="12" customFormat="false" ht="42" hidden="false" customHeight="true" outlineLevel="0" collapsed="false">
      <c r="A12" s="51" t="s">
        <v>5760</v>
      </c>
      <c r="B12" s="51" t="s">
        <v>5761</v>
      </c>
      <c r="C12" s="51" t="s">
        <v>5762</v>
      </c>
      <c r="D12" s="51" t="s">
        <v>5763</v>
      </c>
      <c r="E12" s="51" t="s">
        <v>5729</v>
      </c>
      <c r="F12" s="51" t="s">
        <v>5764</v>
      </c>
      <c r="G12" s="51" t="s">
        <v>5759</v>
      </c>
    </row>
    <row r="13" customFormat="false" ht="42" hidden="false" customHeight="true" outlineLevel="0" collapsed="false">
      <c r="A13" s="54" t="s">
        <v>5760</v>
      </c>
      <c r="B13" s="54" t="s">
        <v>5765</v>
      </c>
      <c r="C13" s="54" t="s">
        <v>5766</v>
      </c>
      <c r="D13" s="54" t="s">
        <v>5763</v>
      </c>
      <c r="E13" s="54" t="s">
        <v>5729</v>
      </c>
      <c r="F13" s="54" t="s">
        <v>5767</v>
      </c>
      <c r="G13" s="54" t="s">
        <v>5759</v>
      </c>
    </row>
    <row r="14" customFormat="false" ht="42" hidden="false" customHeight="true" outlineLevel="0" collapsed="false">
      <c r="A14" s="51" t="s">
        <v>5353</v>
      </c>
      <c r="B14" s="51" t="s">
        <v>5500</v>
      </c>
      <c r="C14" s="51" t="s">
        <v>3920</v>
      </c>
      <c r="D14" s="51" t="s">
        <v>5768</v>
      </c>
      <c r="E14" s="51" t="s">
        <v>5769</v>
      </c>
      <c r="F14" s="51" t="s">
        <v>5770</v>
      </c>
      <c r="G14" s="51" t="s">
        <v>5628</v>
      </c>
    </row>
    <row r="17" customFormat="false" ht="15.75" hidden="false" customHeight="true" outlineLevel="0" collapsed="false">
      <c r="A17" s="74" t="s">
        <v>5480</v>
      </c>
      <c r="B17" s="74"/>
      <c r="C17" s="74"/>
      <c r="D17" s="74"/>
      <c r="E17" s="74"/>
      <c r="F17" s="74"/>
      <c r="G17" s="74"/>
    </row>
    <row r="18" customFormat="false" ht="15" hidden="false" customHeight="true" outlineLevel="0" collapsed="false">
      <c r="A18" s="66" t="s">
        <v>3909</v>
      </c>
      <c r="B18" s="66" t="s">
        <v>4937</v>
      </c>
      <c r="C18" s="66" t="s">
        <v>5771</v>
      </c>
      <c r="D18" s="66" t="s">
        <v>4940</v>
      </c>
      <c r="E18" s="66" t="s">
        <v>5772</v>
      </c>
      <c r="F18" s="66" t="s">
        <v>5483</v>
      </c>
      <c r="G18" s="66" t="s">
        <v>5484</v>
      </c>
    </row>
    <row r="19" customFormat="false" ht="36" hidden="false" customHeight="true" outlineLevel="0" collapsed="false">
      <c r="A19" s="69" t="s">
        <v>5773</v>
      </c>
      <c r="B19" s="70" t="n">
        <v>2</v>
      </c>
      <c r="C19" s="70" t="n">
        <v>3</v>
      </c>
      <c r="D19" s="70" t="n">
        <v>2</v>
      </c>
      <c r="E19" s="70" t="n">
        <v>6</v>
      </c>
      <c r="F19" s="70" t="n">
        <f aca="false">B19*C19*D19*E19</f>
        <v>72</v>
      </c>
      <c r="G19" s="69" t="s">
        <v>5774</v>
      </c>
    </row>
    <row r="20" customFormat="false" ht="36" hidden="false" customHeight="true" outlineLevel="0" collapsed="false">
      <c r="A20" s="67" t="s">
        <v>5775</v>
      </c>
      <c r="B20" s="68" t="n">
        <v>2</v>
      </c>
      <c r="C20" s="68" t="n">
        <v>3</v>
      </c>
      <c r="D20" s="68" t="n">
        <v>2</v>
      </c>
      <c r="E20" s="68" t="n">
        <v>3</v>
      </c>
      <c r="F20" s="68" t="n">
        <f aca="false">B20*C20*D20*E20</f>
        <v>36</v>
      </c>
      <c r="G20" s="67" t="s">
        <v>5776</v>
      </c>
    </row>
    <row r="21" customFormat="false" ht="36" hidden="false" customHeight="true" outlineLevel="0" collapsed="false">
      <c r="A21" s="69" t="s">
        <v>5777</v>
      </c>
      <c r="B21" s="70"/>
      <c r="C21" s="70"/>
      <c r="D21" s="70"/>
      <c r="E21" s="70"/>
      <c r="F21" s="70" t="n">
        <f aca="false">F19+F20</f>
        <v>108</v>
      </c>
      <c r="G21" s="75" t="s">
        <v>5778</v>
      </c>
    </row>
    <row r="22" customFormat="false" ht="36" hidden="false" customHeight="true" outlineLevel="0" collapsed="false">
      <c r="A22" s="67" t="s">
        <v>5779</v>
      </c>
      <c r="B22" s="68"/>
      <c r="C22" s="68"/>
      <c r="D22" s="68"/>
      <c r="E22" s="68"/>
      <c r="F22" s="68" t="n">
        <f aca="false">4302</f>
        <v>4302</v>
      </c>
      <c r="G22" s="75" t="s">
        <v>5780</v>
      </c>
    </row>
    <row r="23" customFormat="false" ht="36" hidden="false" customHeight="true" outlineLevel="0" collapsed="false">
      <c r="A23" s="69" t="s">
        <v>5781</v>
      </c>
      <c r="B23" s="70"/>
      <c r="C23" s="70"/>
      <c r="D23" s="70"/>
      <c r="E23" s="70"/>
      <c r="F23" s="70" t="n">
        <f aca="false">F21+F22</f>
        <v>4410</v>
      </c>
      <c r="G23" s="75" t="s">
        <v>5782</v>
      </c>
    </row>
    <row r="24" customFormat="false" ht="36" hidden="false" customHeight="true" outlineLevel="0" collapsed="false">
      <c r="A24" s="67" t="s">
        <v>5783</v>
      </c>
      <c r="B24" s="68"/>
      <c r="C24" s="68"/>
      <c r="D24" s="68"/>
      <c r="E24" s="68"/>
      <c r="F24" s="68" t="n">
        <f aca="false">F23*10000</f>
        <v>44100000</v>
      </c>
      <c r="G24" s="75" t="s">
        <v>5784</v>
      </c>
    </row>
    <row r="27" customFormat="false" ht="15.75" hidden="false" customHeight="true" outlineLevel="0" collapsed="false">
      <c r="A27" s="74" t="s">
        <v>5785</v>
      </c>
      <c r="B27" s="74"/>
      <c r="C27" s="74"/>
      <c r="D27" s="74"/>
      <c r="E27" s="74"/>
      <c r="F27" s="74"/>
      <c r="G27" s="74"/>
    </row>
    <row r="28" customFormat="false" ht="42" hidden="false" customHeight="true" outlineLevel="0" collapsed="false">
      <c r="A28" s="51" t="s">
        <v>5786</v>
      </c>
      <c r="B28" s="51" t="s">
        <v>5742</v>
      </c>
      <c r="C28" s="51" t="s">
        <v>5787</v>
      </c>
      <c r="D28" s="51" t="s">
        <v>5788</v>
      </c>
      <c r="E28" s="51" t="s">
        <v>5789</v>
      </c>
      <c r="F28" s="51" t="s">
        <v>5790</v>
      </c>
      <c r="G28" s="51" t="s">
        <v>5791</v>
      </c>
    </row>
    <row r="29" customFormat="false" ht="42" hidden="false" customHeight="true" outlineLevel="0" collapsed="false">
      <c r="A29" s="54" t="s">
        <v>5792</v>
      </c>
      <c r="B29" s="54" t="s">
        <v>5729</v>
      </c>
      <c r="C29" s="54" t="s">
        <v>5793</v>
      </c>
      <c r="D29" s="54" t="s">
        <v>5794</v>
      </c>
      <c r="E29" s="54" t="s">
        <v>5795</v>
      </c>
      <c r="F29" s="54" t="s">
        <v>5796</v>
      </c>
      <c r="G29" s="54" t="s">
        <v>5791</v>
      </c>
    </row>
    <row r="30" customFormat="false" ht="42" hidden="false" customHeight="true" outlineLevel="0" collapsed="false">
      <c r="A30" s="51" t="s">
        <v>5797</v>
      </c>
      <c r="B30" s="51" t="s">
        <v>5757</v>
      </c>
      <c r="C30" s="51" t="s">
        <v>5798</v>
      </c>
      <c r="D30" s="51" t="s">
        <v>5799</v>
      </c>
      <c r="E30" s="51" t="s">
        <v>5800</v>
      </c>
      <c r="F30" s="51" t="s">
        <v>5801</v>
      </c>
      <c r="G30" s="51" t="s">
        <v>5791</v>
      </c>
    </row>
    <row r="31" customFormat="false" ht="42" hidden="false" customHeight="true" outlineLevel="0" collapsed="false">
      <c r="A31" s="54" t="s">
        <v>5731</v>
      </c>
      <c r="B31" s="54" t="s">
        <v>5735</v>
      </c>
      <c r="C31" s="54" t="s">
        <v>5802</v>
      </c>
      <c r="D31" s="54" t="s">
        <v>5803</v>
      </c>
      <c r="E31" s="54" t="s">
        <v>5804</v>
      </c>
      <c r="F31" s="54" t="s">
        <v>5805</v>
      </c>
      <c r="G31" s="54" t="s">
        <v>5791</v>
      </c>
    </row>
    <row r="32" customFormat="false" ht="42" hidden="false" customHeight="true" outlineLevel="0" collapsed="false">
      <c r="A32" s="51" t="s">
        <v>5806</v>
      </c>
      <c r="B32" s="51" t="s">
        <v>5747</v>
      </c>
      <c r="C32" s="51" t="s">
        <v>5776</v>
      </c>
      <c r="D32" s="51" t="s">
        <v>5807</v>
      </c>
      <c r="E32" s="51" t="s">
        <v>5808</v>
      </c>
      <c r="F32" s="51" t="s">
        <v>5809</v>
      </c>
      <c r="G32" s="51" t="s">
        <v>5791</v>
      </c>
    </row>
    <row r="33" customFormat="false" ht="42" hidden="false" customHeight="true" outlineLevel="0" collapsed="false">
      <c r="A33" s="54" t="s">
        <v>5810</v>
      </c>
      <c r="B33" s="54" t="s">
        <v>5769</v>
      </c>
      <c r="C33" s="54" t="s">
        <v>5811</v>
      </c>
      <c r="D33" s="54" t="s">
        <v>5812</v>
      </c>
      <c r="E33" s="54" t="s">
        <v>5813</v>
      </c>
      <c r="F33" s="54" t="s">
        <v>5814</v>
      </c>
      <c r="G33" s="54" t="s">
        <v>5791</v>
      </c>
    </row>
    <row r="36" customFormat="false" ht="15.75" hidden="false" customHeight="true" outlineLevel="0" collapsed="false">
      <c r="A36" s="74" t="s">
        <v>5815</v>
      </c>
      <c r="B36" s="74"/>
      <c r="C36" s="74"/>
      <c r="D36" s="74"/>
      <c r="E36" s="74"/>
      <c r="F36" s="74"/>
      <c r="G36" s="74"/>
    </row>
    <row r="37" customFormat="false" ht="37.5" hidden="false" customHeight="true" outlineLevel="0" collapsed="false">
      <c r="A37" s="53" t="s">
        <v>3330</v>
      </c>
      <c r="B37" s="53" t="s">
        <v>3331</v>
      </c>
      <c r="C37" s="53"/>
      <c r="D37" s="53"/>
      <c r="E37" s="53"/>
      <c r="F37" s="53"/>
      <c r="G37" s="53" t="s">
        <v>5816</v>
      </c>
    </row>
    <row r="38" customFormat="false" ht="37.5" hidden="false" customHeight="true" outlineLevel="0" collapsed="false">
      <c r="A38" s="53" t="s">
        <v>3333</v>
      </c>
      <c r="B38" s="53" t="s">
        <v>3334</v>
      </c>
      <c r="C38" s="53"/>
      <c r="D38" s="53"/>
      <c r="E38" s="53"/>
      <c r="F38" s="53"/>
      <c r="G38" s="53" t="s">
        <v>5816</v>
      </c>
    </row>
    <row r="39" customFormat="false" ht="37.5" hidden="false" customHeight="true" outlineLevel="0" collapsed="false">
      <c r="A39" s="53" t="s">
        <v>3335</v>
      </c>
      <c r="B39" s="53" t="s">
        <v>3336</v>
      </c>
      <c r="C39" s="53"/>
      <c r="D39" s="53"/>
      <c r="E39" s="53"/>
      <c r="F39" s="53"/>
      <c r="G39" s="53" t="s">
        <v>5816</v>
      </c>
    </row>
    <row r="40" customFormat="false" ht="37.5" hidden="false" customHeight="true" outlineLevel="0" collapsed="false">
      <c r="A40" s="53" t="s">
        <v>3337</v>
      </c>
      <c r="B40" s="53" t="s">
        <v>3338</v>
      </c>
      <c r="C40" s="53"/>
      <c r="D40" s="53"/>
      <c r="E40" s="53"/>
      <c r="F40" s="53"/>
      <c r="G40" s="53" t="s">
        <v>5816</v>
      </c>
    </row>
    <row r="41" customFormat="false" ht="37.5" hidden="false" customHeight="true" outlineLevel="0" collapsed="false">
      <c r="A41" s="53" t="s">
        <v>3339</v>
      </c>
      <c r="B41" s="53" t="s">
        <v>3340</v>
      </c>
      <c r="C41" s="53"/>
      <c r="D41" s="53"/>
      <c r="E41" s="53"/>
      <c r="F41" s="53"/>
      <c r="G41" s="53" t="s">
        <v>5816</v>
      </c>
    </row>
    <row r="42" customFormat="false" ht="37.5" hidden="false" customHeight="true" outlineLevel="0" collapsed="false">
      <c r="A42" s="53" t="s">
        <v>3341</v>
      </c>
      <c r="B42" s="53" t="s">
        <v>3342</v>
      </c>
      <c r="C42" s="53"/>
      <c r="D42" s="53"/>
      <c r="E42" s="53"/>
      <c r="F42" s="53"/>
      <c r="G42" s="53" t="s">
        <v>5816</v>
      </c>
    </row>
    <row r="43" customFormat="false" ht="37.5" hidden="false" customHeight="true" outlineLevel="0" collapsed="false">
      <c r="A43" s="53" t="s">
        <v>3343</v>
      </c>
      <c r="B43" s="53" t="s">
        <v>3344</v>
      </c>
      <c r="C43" s="53"/>
      <c r="D43" s="53"/>
      <c r="E43" s="53"/>
      <c r="F43" s="53"/>
      <c r="G43" s="53" t="s">
        <v>5816</v>
      </c>
    </row>
    <row r="44" customFormat="false" ht="37.5" hidden="false" customHeight="true" outlineLevel="0" collapsed="false">
      <c r="A44" s="53" t="s">
        <v>3345</v>
      </c>
      <c r="B44" s="53" t="s">
        <v>3346</v>
      </c>
      <c r="C44" s="53"/>
      <c r="D44" s="53"/>
      <c r="E44" s="53"/>
      <c r="F44" s="53"/>
      <c r="G44" s="53" t="s">
        <v>5816</v>
      </c>
    </row>
    <row r="45" customFormat="false" ht="37.5" hidden="false" customHeight="true" outlineLevel="0" collapsed="false">
      <c r="A45" s="53" t="s">
        <v>3347</v>
      </c>
      <c r="B45" s="53" t="s">
        <v>3348</v>
      </c>
      <c r="C45" s="53"/>
      <c r="D45" s="53"/>
      <c r="E45" s="53"/>
      <c r="F45" s="53"/>
      <c r="G45" s="53" t="s">
        <v>5816</v>
      </c>
    </row>
    <row r="46" customFormat="false" ht="37.5" hidden="false" customHeight="true" outlineLevel="0" collapsed="false">
      <c r="A46" s="53" t="s">
        <v>3349</v>
      </c>
      <c r="B46" s="53" t="s">
        <v>3350</v>
      </c>
      <c r="C46" s="53"/>
      <c r="D46" s="53"/>
      <c r="E46" s="53"/>
      <c r="F46" s="53"/>
      <c r="G46" s="53" t="s">
        <v>5816</v>
      </c>
    </row>
  </sheetData>
  <mergeCells count="15">
    <mergeCell ref="A1:G1"/>
    <mergeCell ref="A2:G2"/>
    <mergeCell ref="A17:G17"/>
    <mergeCell ref="A27:G27"/>
    <mergeCell ref="A36:G36"/>
    <mergeCell ref="B37:F37"/>
    <mergeCell ref="B38:F38"/>
    <mergeCell ref="B39:F39"/>
    <mergeCell ref="B40:F40"/>
    <mergeCell ref="B41:F41"/>
    <mergeCell ref="B42:F42"/>
    <mergeCell ref="B43:F43"/>
    <mergeCell ref="B44:F44"/>
    <mergeCell ref="B45:F45"/>
    <mergeCell ref="B46:F46"/>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2026-08-06T01:45:45Z</dcterms:created>
  <dc:creator>openpyxl</dc:creator>
  <dc:description/>
  <dc:language>en-US</dc:language>
  <cp:lastModifiedBy/>
  <dcterms:modified xsi:type="dcterms:W3CDTF">2026-08-06T13:07:46Z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