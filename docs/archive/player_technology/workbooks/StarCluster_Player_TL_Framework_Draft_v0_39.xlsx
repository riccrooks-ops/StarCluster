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56.xml" ContentType="application/vnd.openxmlformats-officedocument.spreadsheetml.worksheet+xml"/>
  <Override PartName="/xl/worksheets/sheet55.xml" ContentType="application/vnd.openxmlformats-officedocument.spreadsheetml.worksheet+xml"/>
  <Override PartName="/xl/worksheets/sheet54.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1.xml" ContentType="application/vnd.openxmlformats-officedocument.spreadsheetml.worksheet+xml"/>
  <Override PartName="/xl/worksheets/sheet50.xml" ContentType="application/vnd.openxmlformats-officedocument.spreadsheetml.worksheet+xml"/>
  <Override PartName="/xl/worksheets/sheet46.xml" ContentType="application/vnd.openxmlformats-officedocument.spreadsheetml.worksheet+xml"/>
  <Override PartName="/xl/worksheets/sheet45.xml" ContentType="application/vnd.openxmlformats-officedocument.spreadsheetml.worksheet+xml"/>
  <Override PartName="/xl/worksheets/sheet44.xml" ContentType="application/vnd.openxmlformats-officedocument.spreadsheetml.worksheet+xml"/>
  <Override PartName="/xl/worksheets/sheet43.xml" ContentType="application/vnd.openxmlformats-officedocument.spreadsheetml.worksheet+xml"/>
  <Override PartName="/xl/worksheets/sheet42.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8.xml" ContentType="application/vnd.openxmlformats-officedocument.spreadsheetml.worksheet+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58.xml" ContentType="application/vnd.openxmlformats-officedocument.spreadsheetml.worksheet+xml"/>
  <Override PartName="/xl/worksheets/sheet60.xml" ContentType="application/vnd.openxmlformats-officedocument.spreadsheetml.worksheet+xml"/>
  <Override PartName="/xl/worksheets/sheet1.xml" ContentType="application/vnd.openxmlformats-officedocument.spreadsheetml.worksheet+xml"/>
  <Override PartName="/xl/worksheets/sheet59.xml" ContentType="application/vnd.openxmlformats-officedocument.spreadsheetml.worksheet+xml"/>
  <Override PartName="/xl/worksheets/sheet61.xml" ContentType="application/vnd.openxmlformats-officedocument.spreadsheetml.worksheet+xml"/>
  <Override PartName="/xl/worksheets/sheet2.xml" ContentType="application/vnd.openxmlformats-officedocument.spreadsheetml.worksheet+xml"/>
  <Override PartName="/xl/worksheets/sheet25.xml" ContentType="application/vnd.openxmlformats-officedocument.spreadsheetml.worksheet+xml"/>
  <Override PartName="/xl/worksheets/sheet62.xml" ContentType="application/vnd.openxmlformats-officedocument.spreadsheetml.worksheet+xml"/>
  <Override PartName="/xl/worksheets/sheet3.xml" ContentType="application/vnd.openxmlformats-officedocument.spreadsheetml.worksheet+xml"/>
  <Override PartName="/xl/worksheets/sheet26.xml" ContentType="application/vnd.openxmlformats-officedocument.spreadsheetml.worksheet+xml"/>
  <Override PartName="/xl/worksheets/sheet63.xml" ContentType="application/vnd.openxmlformats-officedocument.spreadsheetml.worksheet+xml"/>
  <Override PartName="/xl/worksheets/sheet4.xml" ContentType="application/vnd.openxmlformats-officedocument.spreadsheetml.worksheet+xml"/>
  <Override PartName="/xl/worksheets/sheet27.xml" ContentType="application/vnd.openxmlformats-officedocument.spreadsheetml.worksheet+xml"/>
  <Override PartName="/xl/worksheets/sheet64.xml" ContentType="application/vnd.openxmlformats-officedocument.spreadsheetml.worksheet+xml"/>
  <Override PartName="/xl/worksheets/sheet28.xml" ContentType="application/vnd.openxmlformats-officedocument.spreadsheetml.worksheet+xml"/>
  <Override PartName="/xl/worksheets/sheet70.xml" ContentType="application/vnd.openxmlformats-officedocument.spreadsheetml.worksheet+xml"/>
  <Override PartName="/xl/worksheets/sheet65.xml" ContentType="application/vnd.openxmlformats-officedocument.spreadsheetml.worksheet+xml"/>
  <Override PartName="/xl/worksheets/sheet29.xml" ContentType="application/vnd.openxmlformats-officedocument.spreadsheetml.worksheet+xml"/>
  <Override PartName="/xl/worksheets/sheet71.xml" ContentType="application/vnd.openxmlformats-officedocument.spreadsheetml.worksheet+xml"/>
  <Override PartName="/xl/worksheets/sheet66.xml" ContentType="application/vnd.openxmlformats-officedocument.spreadsheetml.worksheet+xml"/>
  <Override PartName="/xl/worksheets/sheet22.xml" ContentType="application/vnd.openxmlformats-officedocument.spreadsheetml.worksheet+xml"/>
  <Override PartName="/xl/worksheets/sheet7.xml" ContentType="application/vnd.openxmlformats-officedocument.spreadsheetml.worksheet+xml"/>
  <Override PartName="/xl/worksheets/sheet67.xml" ContentType="application/vnd.openxmlformats-officedocument.spreadsheetml.worksheet+xml"/>
  <Override PartName="/xl/worksheets/sheet30.xml" ContentType="application/vnd.openxmlformats-officedocument.spreadsheetml.worksheet+xml"/>
  <Override PartName="/xl/worksheets/sheet86.xml" ContentType="application/vnd.openxmlformats-officedocument.spreadsheetml.worksheet+xml"/>
  <Override PartName="/xl/worksheets/sheet74.xml" ContentType="application/vnd.openxmlformats-officedocument.spreadsheetml.worksheet+xml"/>
  <Override PartName="/xl/worksheets/sheet85.xml" ContentType="application/vnd.openxmlformats-officedocument.spreadsheetml.worksheet+xml"/>
  <Override PartName="/xl/worksheets/sheet73.xml" ContentType="application/vnd.openxmlformats-officedocument.spreadsheetml.worksheet+xml"/>
  <Override PartName="/xl/worksheets/sheet79.xml" ContentType="application/vnd.openxmlformats-officedocument.spreadsheetml.worksheet+xml"/>
  <Override PartName="/xl/worksheets/sheet78.xml" ContentType="application/vnd.openxmlformats-officedocument.spreadsheetml.worksheet+xml"/>
  <Override PartName="/xl/worksheets/sheet77.xml" ContentType="application/vnd.openxmlformats-officedocument.spreadsheetml.worksheet+xml"/>
  <Override PartName="/xl/worksheets/sheet76.xml" ContentType="application/vnd.openxmlformats-officedocument.spreadsheetml.worksheet+xml"/>
  <Override PartName="/xl/worksheets/sheet75.xml" ContentType="application/vnd.openxmlformats-officedocument.spreadsheetml.worksheet+xml"/>
  <Override PartName="/xl/worksheets/sheet72.xml" ContentType="application/vnd.openxmlformats-officedocument.spreadsheetml.worksheet+xml"/>
  <Override PartName="/xl/worksheets/sheet68.xml" ContentType="application/vnd.openxmlformats-officedocument.spreadsheetml.worksheet+xml"/>
  <Override PartName="/xl/worksheets/sheet31.xml" ContentType="application/vnd.openxmlformats-officedocument.spreadsheetml.worksheet+xml"/>
  <Override PartName="/xl/worksheets/sheet69.xml" ContentType="application/vnd.openxmlformats-officedocument.spreadsheetml.worksheet+xml"/>
  <Override PartName="/xl/worksheets/sheet19.xml" ContentType="application/vnd.openxmlformats-officedocument.spreadsheetml.worksheet+xml"/>
  <Override PartName="/xl/worksheets/sheet84.xml" ContentType="application/vnd.openxmlformats-officedocument.spreadsheetml.worksheet+xml"/>
  <Override PartName="/xl/worksheets/sheet57.xml" ContentType="application/vnd.openxmlformats-officedocument.spreadsheetml.worksheet+xml"/>
  <Override PartName="/xl/worksheets/sheet5.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83.xml" ContentType="application/vnd.openxmlformats-officedocument.spreadsheetml.worksheet+xml"/>
  <Override PartName="/xl/worksheets/sheet82.xml" ContentType="application/vnd.openxmlformats-officedocument.spreadsheetml.worksheet+xml"/>
  <Override PartName="/xl/worksheets/sheet17.xml" ContentType="application/vnd.openxmlformats-officedocument.spreadsheetml.worksheet+xml"/>
  <Override PartName="/xl/worksheets/sheet81.xml" ContentType="application/vnd.openxmlformats-officedocument.spreadsheetml.worksheet+xml"/>
  <Override PartName="/xl/worksheets/sheet16.xml" ContentType="application/vnd.openxmlformats-officedocument.spreadsheetml.worksheet+xml"/>
  <Override PartName="/xl/worksheets/sheet80.xml" ContentType="application/vnd.openxmlformats-officedocument.spreadsheetml.worksheet+xml"/>
  <Override PartName="/xl/worksheets/sheet15.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24.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verview" sheetId="1" state="visible" r:id="rId3"/>
    <sheet name="TL1 Baseline" sheetId="2" state="visible" r:id="rId4"/>
    <sheet name="TL1 Loadouts" sheetId="3" state="visible" r:id="rId5"/>
    <sheet name="TL1 Test Matrix" sheetId="4" state="visible" r:id="rId6"/>
    <sheet name="Phase A Runtime" sheetId="5" state="visible" r:id="rId7"/>
    <sheet name="Component Schema" sheetId="6" state="visible" r:id="rId8"/>
    <sheet name="Checkpoint 25 Plan" sheetId="7" state="visible" r:id="rId9"/>
    <sheet name="TL Matrix" sheetId="8" state="visible" r:id="rId10"/>
    <sheet name="Components" sheetId="9" state="visible" r:id="rId11"/>
    <sheet name="Compatibility Profiles" sheetId="10" state="visible" r:id="rId12"/>
    <sheet name="Adaptation Rules" sheetId="11" state="visible" r:id="rId13"/>
    <sheet name="Reference Library" sheetId="12" state="visible" r:id="rId14"/>
    <sheet name="Reference Insights" sheetId="13" state="visible" r:id="rId15"/>
    <sheet name="Design Reconciliation" sheetId="14" state="visible" r:id="rId16"/>
    <sheet name="Level Themes" sheetId="15" state="visible" r:id="rId17"/>
    <sheet name="Design Decisions" sheetId="16" state="visible" r:id="rId18"/>
    <sheet name="Sources Used" sheetId="17" state="visible" r:id="rId19"/>
    <sheet name="TL1 Phase B" sheetId="18" state="visible" r:id="rId20"/>
    <sheet name="TL1 Calibration" sheetId="19" state="visible" r:id="rId21"/>
    <sheet name="Checkpoint 28 Energy" sheetId="20" state="visible" r:id="rId22"/>
    <sheet name="Checkpoint 29 Matrix" sheetId="21" state="visible" r:id="rId23"/>
    <sheet name="Checkpoint 30 PDS" sheetId="22" state="visible" r:id="rId24"/>
    <sheet name="Checkpoint 31 Defense" sheetId="23" state="visible" r:id="rId25"/>
    <sheet name="Checkpoint 32 Power" sheetId="24" state="visible" r:id="rId26"/>
    <sheet name="Checkpoint 33 Correction" sheetId="25" state="visible" r:id="rId27"/>
    <sheet name="Checkpoint 34 Architecture" sheetId="26" state="visible" r:id="rId28"/>
    <sheet name="Checkpoint 35 Range" sheetId="27" state="visible" r:id="rId29"/>
    <sheet name="Checkpoint 36 Damage" sheetId="28" state="visible" r:id="rId30"/>
    <sheet name="Checkpoint 37 DamCon" sheetId="29" state="visible" r:id="rId31"/>
    <sheet name="Checkpoint 38 Tactics" sheetId="30" state="visible" r:id="rId32"/>
    <sheet name="Checkpoint 39 Movement" sheetId="31" state="visible" r:id="rId33"/>
    <sheet name="Checkpoint 40 Minimal" sheetId="32" state="visible" r:id="rId34"/>
    <sheet name="Checkpoint 41 Scaling" sheetId="33" state="visible" r:id="rId35"/>
    <sheet name="Checkpoint 42 Progression" sheetId="34" state="visible" r:id="rId36"/>
    <sheet name="AUX Catalog" sheetId="35" state="visible" r:id="rId37"/>
    <sheet name="Checkpoint 43 AUX" sheetId="36" state="visible" r:id="rId38"/>
    <sheet name="TL2 Attribution Profiles" sheetId="37" state="visible" r:id="rId39"/>
    <sheet name="Checkpoint 44 Attribution" sheetId="38" state="visible" r:id="rId40"/>
    <sheet name="TL2 Micro Profiles" sheetId="39" state="visible" r:id="rId41"/>
    <sheet name="Checkpoint 45 Viability" sheetId="40" state="visible" r:id="rId42"/>
    <sheet name="TL2 Dynamic Profiles" sheetId="41" state="visible" r:id="rId43"/>
    <sheet name="Checkpoint 46 Choice" sheetId="42" state="visible" r:id="rId44"/>
    <sheet name="Opponent-Aware Policy" sheetId="43" state="visible" r:id="rId45"/>
    <sheet name="Checkpoint 47 Decision" sheetId="44" state="visible" r:id="rId46"/>
    <sheet name="TL2 Accepted Profile" sheetId="45" state="visible" r:id="rId47"/>
    <sheet name="AUX Combat Profiles" sheetId="46" state="visible" r:id="rId48"/>
    <sheet name="Checkpoint 48 AUX" sheetId="47" state="visible" r:id="rId49"/>
    <sheet name="TL1-9 Subfamilies" sheetId="48" state="visible" r:id="rId50"/>
    <sheet name="Subfamily Definitions" sheetId="49" state="visible" r:id="rId51"/>
    <sheet name="Family Rules" sheetId="50" state="visible" r:id="rId52"/>
    <sheet name="AUX Entry Review" sheetId="51" state="visible" r:id="rId53"/>
    <sheet name="Scenario Bridge" sheetId="52" state="visible" r:id="rId54"/>
    <sheet name="Checkpoint 49 Arch" sheetId="53" state="visible" r:id="rId55"/>
    <sheet name="Checkpoint 50 Capacity" sheetId="54" state="visible" r:id="rId56"/>
    <sheet name="Representative Cruisers" sheetId="55" state="visible" r:id="rId57"/>
    <sheet name="Checkpoint 51 PDS" sheetId="56" state="visible" r:id="rId58"/>
    <sheet name="TL1-TL2 Runtime" sheetId="57" state="visible" r:id="rId59"/>
    <sheet name="Checkpoint 51 AUX" sheetId="58" state="visible" r:id="rId60"/>
    <sheet name="Checkpoint 52 AUX" sheetId="59" state="visible" r:id="rId61"/>
    <sheet name="Checkpoint 52 Resources" sheetId="60" state="visible" r:id="rId62"/>
    <sheet name="Checkpoint 52 Endurance" sheetId="61" state="visible" r:id="rId63"/>
    <sheet name="Checkpoint 53 AUX" sheetId="62" state="visible" r:id="rId64"/>
    <sheet name="Checkpoint 53 Ablative" sheetId="63" state="visible" r:id="rId65"/>
    <sheet name="Checkpoint 53 Power" sheetId="64" state="visible" r:id="rId66"/>
    <sheet name="Checkpoint 53 Endurance" sheetId="65" state="visible" r:id="rId67"/>
    <sheet name="Checkpoint 54 TL3 Profiles" sheetId="66" state="visible" r:id="rId68"/>
    <sheet name="Checkpoint 54 Weapon Bays" sheetId="67" state="visible" r:id="rId69"/>
    <sheet name="Checkpoint 54 AUX Combos" sheetId="68" state="visible" r:id="rId70"/>
    <sheet name="Checkpoint 54 Power" sheetId="69" state="visible" r:id="rId71"/>
    <sheet name="Checkpoint 55 Capacity" sheetId="70" state="visible" r:id="rId72"/>
    <sheet name="Checkpoint 55 TL3 Profiles" sheetId="71" state="visible" r:id="rId73"/>
    <sheet name="Checkpoint 55 AUX" sheetId="72" state="visible" r:id="rId74"/>
    <sheet name="Checkpoint 55 Power" sheetId="73" state="visible" r:id="rId75"/>
    <sheet name="Checkpoint 56 Micro Defense" sheetId="74" state="visible" r:id="rId76"/>
    <sheet name="Checkpoint 56 Power Sweep" sheetId="75" state="visible" r:id="rId77"/>
    <sheet name="Checkpoint 56 Equal Power" sheetId="76" state="visible" r:id="rId78"/>
    <sheet name="Checkpoint 56 Cross-TL AUX" sheetId="77" state="visible" r:id="rId79"/>
    <sheet name="Checkpoint 57 TL3 Freeze" sheetId="78" state="visible" r:id="rId80"/>
    <sheet name="Checkpoint 57 TL4 Foundation" sheetId="79" state="visible" r:id="rId81"/>
    <sheet name="Checkpoint 57 Natural Power" sheetId="80" state="visible" r:id="rId82"/>
    <sheet name="Checkpoint 57 Study Matrix" sheetId="81" state="visible" r:id="rId83"/>
    <sheet name="Checkpoint 58 Capacity" sheetId="82" state="visible" r:id="rId84"/>
    <sheet name="Checkpoint 58 TL4 Axes" sheetId="83" state="visible" r:id="rId85"/>
    <sheet name="Checkpoint 58 Powered Def" sheetId="84" state="visible" r:id="rId86"/>
    <sheet name="Checkpoint 58 Natural Power" sheetId="85" state="visible" r:id="rId87"/>
    <sheet name="Checkpoint 58 Study Matrix" sheetId="86" state="visible" r:id="rId88"/>
  </sheets>
  <definedNames>
    <definedName function="false" hidden="false" localSheetId="0" name="_xlnm.Print_Area" vbProcedure="false">Overview!$A$1:$H$12</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<sst xmlns="http://schemas.openxmlformats.org/spreadsheetml/2006/main" count="15004" uniqueCount="7709">
  <si>
    <t xml:space="preserve">Star Cluster Player Technology Framework - Draft v0.39</t>
  </si>
  <si>
    <t xml:space="preserve">Checkpoint 58 Single-Main TL4 Mid-Tech Subsystem Foundation and Powered Defense Screening - August 8, 2026</t>
  </si>
  <si>
    <t xml:space="preserve">Frozen baseline</t>
  </si>
  <si>
    <t xml:space="preserve">Checkpoint 56 remains the accepted TL1-TL3 freeze; Checkpoint 57a is accepted negative architecture evidence, so standard player cruisers remain single-main throughout TL1-TL9.</t>
  </si>
  <si>
    <t xml:space="preserve">Status</t>
  </si>
  <si>
    <t xml:space="preserve">Checkpoint 58 is a screening pass. No TL4 standard package or powered-defense AUX value is automatically promoted.</t>
  </si>
  <si>
    <t xml:space="preserve">Visible research</t>
  </si>
  <si>
    <t xml:space="preserve">TL4 is now a subsystem-generation screen: fire control, higher-output/higher-power weapons, reactor, structure, armor protection, shields, mobility, Shield Hardener, and Energized Armor.</t>
  </si>
  <si>
    <t xml:space="preserve">Core test chassis</t>
  </si>
  <si>
    <t xml:space="preserve">Main weapons are 1/1/1, 1/1/1, 1/1/1; AUX remains 1/1/2, 2/2/3, 3/3/4. TL4 remains one main / two AUX.</t>
  </si>
  <si>
    <t xml:space="preserve">Power model</t>
  </si>
  <si>
    <t xml:space="preserve">Capability may raise Tactical Power demand where justified. Checkpoint 58 adds 900 variants; full workload is 14,746 variants / 147.46 million trials at 10,000 trials.</t>
  </si>
  <si>
    <t xml:space="preserve">Calibration package</t>
  </si>
  <si>
    <t xml:space="preserve">All 95 ScenarioRunner JSON files from accepted Checkpoint 57a are SHA-256 frozen before the new studies.</t>
  </si>
  <si>
    <t xml:space="preserve">Baseline lock</t>
  </si>
  <si>
    <t xml:space="preserve">TL4 single-main control copies accepted TL3 statistics exactly. Isolated axes are screened before any composed foundation package.</t>
  </si>
  <si>
    <t xml:space="preserve">Generation target</t>
  </si>
  <si>
    <t xml:space="preserve">Roughly 75-80% conditional TL4 advantage over mature TL3 is an initial review region, not a blocking gate or value to force.</t>
  </si>
  <si>
    <t xml:space="preserve">Powered defense</t>
  </si>
  <si>
    <t xml:space="preserve">TL4 screens sustained Shield Hardener and Energized Armor AUX systems; mature B4G1 Battery, C2D1 Capacitor, and Auxiliary Reactor remain support controls.</t>
  </si>
  <si>
    <t xml:space="preserve">Immediate next pass</t>
  </si>
  <si>
    <t xml:space="preserve">Review axis attribution, package progression, mature-TL3 specialization resistance, powered-defense power opportunity cost, and natural single-main power telemetry before promoting TL4.</t>
  </si>
  <si>
    <t xml:space="preserve">TL1 Core Combat Numerical Baseline v0.1 - Checkpoint 39</t>
  </si>
  <si>
    <t xml:space="preserve">131 exact provisional inputs. Checkpoint 39 adopts TL-scaled ship/missile movement and provisional kinetic DAM 4 while preserving the accepted damage, power, Damage Control, and internal-critical rules.</t>
  </si>
  <si>
    <t xml:space="preserve">section</t>
  </si>
  <si>
    <t xml:space="preserve">parameter_id</t>
  </si>
  <si>
    <t xml:space="preserve">display_name</t>
  </si>
  <si>
    <t xml:space="preserve">value</t>
  </si>
  <si>
    <t xml:space="preserve">unit</t>
  </si>
  <si>
    <t xml:space="preserve">applies_to</t>
  </si>
  <si>
    <t xml:space="preserve">status</t>
  </si>
  <si>
    <t xml:space="preserve">rationale</t>
  </si>
  <si>
    <t xml:space="preserve">test_signal</t>
  </si>
  <si>
    <t xml:space="preserve">Chassis</t>
  </si>
  <si>
    <t xml:space="preserve">hull_points</t>
  </si>
  <si>
    <t xml:space="preserve">Pristine Hull</t>
  </si>
  <si>
    <t xml:space="preserve">Hull</t>
  </si>
  <si>
    <t xml:space="preserve">TL1 Standard Test Cruiser</t>
  </si>
  <si>
    <t xml:space="preserve">provisional_exact</t>
  </si>
  <si>
    <t xml:space="preserve">Provides several post-armor hits without producing a very long duel.</t>
  </si>
  <si>
    <t xml:space="preserve">Too low if one ordinary Hull-reaching hit decides most battles; too high if component damage rarely matters.</t>
  </si>
  <si>
    <t xml:space="preserve">weapon_bays</t>
  </si>
  <si>
    <t xml:space="preserve">Weapon Bays</t>
  </si>
  <si>
    <t xml:space="preserve">bay</t>
  </si>
  <si>
    <t xml:space="preserve">TL1 core fixture</t>
  </si>
  <si>
    <t xml:space="preserve">Isolates one weapon family and fixed bay order.</t>
  </si>
  <si>
    <t xml:space="preserve">Increase only after one-bay weapon identities are understood.</t>
  </si>
  <si>
    <t xml:space="preserve">aux_capacity_core</t>
  </si>
  <si>
    <t xml:space="preserve">Core-fixture Auxiliary Capacity</t>
  </si>
  <si>
    <t xml:space="preserve">slot</t>
  </si>
  <si>
    <t xml:space="preserve">Prevents optional systems from contaminating the first duel layer.</t>
  </si>
  <si>
    <t xml:space="preserve">Later subsystem fixtures temporarily add exactly the required test capacity.</t>
  </si>
  <si>
    <t xml:space="preserve">Personnel</t>
  </si>
  <si>
    <t xml:space="preserve">crew_pristine</t>
  </si>
  <si>
    <t xml:space="preserve">Pristine Crew</t>
  </si>
  <si>
    <t xml:space="preserve">people</t>
  </si>
  <si>
    <t xml:space="preserve">Intuitive count scale and future casualty granularity.</t>
  </si>
  <si>
    <t xml:space="preserve">Casualty events should occur in meaningful chunks rather than one-point attrition.</t>
  </si>
  <si>
    <t xml:space="preserve">marine_pristine</t>
  </si>
  <si>
    <t xml:space="preserve">Pristine Marines</t>
  </si>
  <si>
    <t xml:space="preserve">marines</t>
  </si>
  <si>
    <t xml:space="preserve">Creates a separate boarding resource without a squad-management layer.</t>
  </si>
  <si>
    <t xml:space="preserve">Tune only after boarding exists.</t>
  </si>
  <si>
    <t xml:space="preserve">minimum_operating_crew</t>
  </si>
  <si>
    <t xml:space="preserve">Minimum Operating Crew</t>
  </si>
  <si>
    <t xml:space="preserve">crew</t>
  </si>
  <si>
    <t xml:space="preserve">Creates a hard emergency-operation floor.</t>
  </si>
  <si>
    <t xml:space="preserve">Automation and future Aux systems may modify this value.</t>
  </si>
  <si>
    <t xml:space="preserve">crew_stage_effective</t>
  </si>
  <si>
    <t xml:space="preserve">Effective Crew threshold</t>
  </si>
  <si>
    <t xml:space="preserve">crew minimum</t>
  </si>
  <si>
    <t xml:space="preserve">No general penalty above half complement.</t>
  </si>
  <si>
    <t xml:space="preserve">Review if Crew losses are too inconsequential before 50.</t>
  </si>
  <si>
    <t xml:space="preserve">crew_stage_reduced</t>
  </si>
  <si>
    <t xml:space="preserve">Reduced Crew threshold</t>
  </si>
  <si>
    <t xml:space="preserve">First broad casualty stage.</t>
  </si>
  <si>
    <t xml:space="preserve">Initial effect is -10 percentage points to Damage Control.</t>
  </si>
  <si>
    <t xml:space="preserve">crew_stage_critical</t>
  </si>
  <si>
    <t xml:space="preserve">Critical Crew threshold</t>
  </si>
  <si>
    <t xml:space="preserve">Near-minimum operation without continuous percentage scaling.</t>
  </si>
  <si>
    <t xml:space="preserve">Initial effect is -20 Damage Control and -1 DC Capacity.</t>
  </si>
  <si>
    <t xml:space="preserve">crew_casualty_standard</t>
  </si>
  <si>
    <t xml:space="preserve">Standard casualty chunk</t>
  </si>
  <si>
    <t xml:space="preserve">casualty test event</t>
  </si>
  <si>
    <t xml:space="preserve">Meaningful visible loss without per-hit micromanagement.</t>
  </si>
  <si>
    <t xml:space="preserve">Use only from explicit casualty events.</t>
  </si>
  <si>
    <t xml:space="preserve">crew_casualty_severe</t>
  </si>
  <si>
    <t xml:space="preserve">Severe casualty chunk</t>
  </si>
  <si>
    <t xml:space="preserve">Crosses stages after repeated severe internal events.</t>
  </si>
  <si>
    <t xml:space="preserve">Tune against internal-damage frequency.</t>
  </si>
  <si>
    <t xml:space="preserve">crew_casualty_catastrophic</t>
  </si>
  <si>
    <t xml:space="preserve">Catastrophic casualty chunk</t>
  </si>
  <si>
    <t xml:space="preserve">Reserved for explicit catastrophic or boarding outcomes.</t>
  </si>
  <si>
    <t xml:space="preserve">Must remain rare and telegraphed.</t>
  </si>
  <si>
    <t xml:space="preserve">Defense</t>
  </si>
  <si>
    <t xml:space="preserve">armor_protection</t>
  </si>
  <si>
    <t xml:space="preserve">Primary Armor Protection</t>
  </si>
  <si>
    <t xml:space="preserve">AP</t>
  </si>
  <si>
    <t xml:space="preserve">TL1 Rolled Alloy Plating</t>
  </si>
  <si>
    <t xml:space="preserve">Basic TL1 armor is capacity-first; Protection begins at later technology.</t>
  </si>
  <si>
    <t xml:space="preserve">Provides a clean APEN control surface without making weak weapons stall by default.</t>
  </si>
  <si>
    <t xml:space="preserve">armor_integrity</t>
  </si>
  <si>
    <t xml:space="preserve">Primary Armor Integrity</t>
  </si>
  <si>
    <t xml:space="preserve">AI</t>
  </si>
  <si>
    <t xml:space="preserve">Armor is the principal TL1 defensive layer but should expose Hull within a multi-turn duel.</t>
  </si>
  <si>
    <t xml:space="preserve">Track time to Armor depletion and Hull exposure across damage and penetration controls.</t>
  </si>
  <si>
    <t xml:space="preserve">shield_capacity</t>
  </si>
  <si>
    <t xml:space="preserve">Pristine Shield Capacity</t>
  </si>
  <si>
    <t xml:space="preserve">Shield</t>
  </si>
  <si>
    <t xml:space="preserve">TL1 Magnetic Deflector Array</t>
  </si>
  <si>
    <t xml:space="preserve">TL1 shields are a small renewable buffer and intentionally inferior to armor.</t>
  </si>
  <si>
    <t xml:space="preserve">Too low if shields feel cosmetic; too high if armor is rarely reached.</t>
  </si>
  <si>
    <t xml:space="preserve">shield_base_recharge</t>
  </si>
  <si>
    <t xml:space="preserve">Base Shield Recharge</t>
  </si>
  <si>
    <t xml:space="preserve">Shield per turn</t>
  </si>
  <si>
    <t xml:space="preserve">Operational TL1 Shield Generator</t>
  </si>
  <si>
    <t xml:space="preserve">Makes renewable shields relevant without fully canceling ordinary damage.</t>
  </si>
  <si>
    <t xml:space="preserve">Track shieldless turns and duel length.</t>
  </si>
  <si>
    <t xml:space="preserve">shield_tactical_recharge_rate</t>
  </si>
  <si>
    <t xml:space="preserve">Tactical Shield Recharge Rate</t>
  </si>
  <si>
    <t xml:space="preserve">Shield per TP</t>
  </si>
  <si>
    <t xml:space="preserve">Simple one-for-one baseline.</t>
  </si>
  <si>
    <t xml:space="preserve">Compare against energy-weapon opportunity cost.</t>
  </si>
  <si>
    <t xml:space="preserve">shield_tactical_recharge_cap</t>
  </si>
  <si>
    <t xml:space="preserve">Tactical Shield Recharge Cap</t>
  </si>
  <si>
    <t xml:space="preserve">TP per turn</t>
  </si>
  <si>
    <t xml:space="preserve">Prevents full reactor conversion into rapid shield restoration.</t>
  </si>
  <si>
    <t xml:space="preserve">Too high if defense stalls; too low if recharge decisions disappear.</t>
  </si>
  <si>
    <t xml:space="preserve">shield_degraded_base_recharge</t>
  </si>
  <si>
    <t xml:space="preserve">Degraded Base Recharge</t>
  </si>
  <si>
    <t xml:space="preserve">Degraded TL1 Shield Generator</t>
  </si>
  <si>
    <t xml:space="preserve">Degradation matters while residual capacity remains.</t>
  </si>
  <si>
    <t xml:space="preserve">Tactical recharge remains capped at 1 TP in the Degraded profile.</t>
  </si>
  <si>
    <t xml:space="preserve">shield_degraded_tactical_cap</t>
  </si>
  <si>
    <t xml:space="preserve">Degraded Tactical Recharge Cap</t>
  </si>
  <si>
    <t xml:space="preserve">Preserves reduced function without treating Degraded as Disabled.</t>
  </si>
  <si>
    <t xml:space="preserve">Review duel survivability after generator damage.</t>
  </si>
  <si>
    <t xml:space="preserve">shield_overcapacity_cost</t>
  </si>
  <si>
    <t xml:space="preserve">Shield Overcapacity overload cost</t>
  </si>
  <si>
    <t xml:space="preserve">TP</t>
  </si>
  <si>
    <t xml:space="preserve">Operational noncollapsed TL1 Shield Generator</t>
  </si>
  <si>
    <t xml:space="preserve">Creates a proactive reusable defense distinct from battery restoration.</t>
  </si>
  <si>
    <t xml:space="preserve">Must not become automatic every battle.</t>
  </si>
  <si>
    <t xml:space="preserve">shield_overcapacity_amount</t>
  </si>
  <si>
    <t xml:space="preserve">Shield Overcapacity overload amount</t>
  </si>
  <si>
    <t xml:space="preserve">temporary Shield</t>
  </si>
  <si>
    <t xml:space="preserve">Adds one emergency buffer point per overload without replacing ordinary shield capacity or recharge.</t>
  </si>
  <si>
    <t xml:space="preserve">Excess disappears at Turn Refresh and cannot be recharged once lost; two safe activations add at most 2 total temporary SP.</t>
  </si>
  <si>
    <t xml:space="preserve">shield_recovery_overload_cost</t>
  </si>
  <si>
    <t xml:space="preserve">Collapsed-shield recovery overload cost</t>
  </si>
  <si>
    <t xml:space="preserve">Operational collapsed TL1 Shield Generator</t>
  </si>
  <si>
    <t xml:space="preserve">Uses the generator overload without restarting it during the same turn.</t>
  </si>
  <si>
    <t xml:space="preserve">No same-turn field restoration in the baseline.</t>
  </si>
  <si>
    <t xml:space="preserve">shield_recovery_overload_bonus</t>
  </si>
  <si>
    <t xml:space="preserve">Collapsed-shield next-recharge bonus</t>
  </si>
  <si>
    <t xml:space="preserve">Next legal recharge</t>
  </si>
  <si>
    <t xml:space="preserve">Makes recovery overload meaningful without undoing a successful collapse immediately.</t>
  </si>
  <si>
    <t xml:space="preserve">Compare with a future advanced immediate-restart option only as a separate test.</t>
  </si>
  <si>
    <t xml:space="preserve">shield_generator_strain_limit</t>
  </si>
  <si>
    <t xml:space="preserve">Shield Generator Strain Limit</t>
  </si>
  <si>
    <t xml:space="preserve">Strain</t>
  </si>
  <si>
    <t xml:space="preserve">TL1 Shield Generator</t>
  </si>
  <si>
    <t xml:space="preserve">Allows two safe overloads across turns before forced risk.</t>
  </si>
  <si>
    <t xml:space="preserve">Watch whether safe overload becomes routine output.</t>
  </si>
  <si>
    <t xml:space="preserve">shield_hardener_power_per_sa</t>
  </si>
  <si>
    <t xml:space="preserve">Shield Hardener power</t>
  </si>
  <si>
    <t xml:space="preserve">TP per SA</t>
  </si>
  <si>
    <t xml:space="preserve">Optional TL1 Shield Hardener</t>
  </si>
  <si>
    <t xml:space="preserve">Simple scalable Shield Armor.</t>
  </si>
  <si>
    <t xml:space="preserve">SA reduces shield-facing damage after SPEN bypass.</t>
  </si>
  <si>
    <t xml:space="preserve">shield_hardener_max_sa</t>
  </si>
  <si>
    <t xml:space="preserve">Shield Hardener normal maximum</t>
  </si>
  <si>
    <t xml:space="preserve">SA</t>
  </si>
  <si>
    <t xml:space="preserve">Creates a visible SPEN counter without invalidating penetration.</t>
  </si>
  <si>
    <t xml:space="preserve">Overload may add one more SA.</t>
  </si>
  <si>
    <t xml:space="preserve">shield_hardener_overload_sa</t>
  </si>
  <si>
    <t xml:space="preserve">Shield Hardener overload bonus</t>
  </si>
  <si>
    <t xml:space="preserve">Persistent remainder-of-turn overload.</t>
  </si>
  <si>
    <t xml:space="preserve">Costs +1 TP and +1 Strain.</t>
  </si>
  <si>
    <t xml:space="preserve">shield_battery_restore</t>
  </si>
  <si>
    <t xml:space="preserve">Shield Battery restoration</t>
  </si>
  <si>
    <t xml:space="preserve">Shield per charge</t>
  </si>
  <si>
    <t xml:space="preserve">Optional TL1 Shield Battery</t>
  </si>
  <si>
    <t xml:space="preserve">Crosses one ordinary attack threshold.</t>
  </si>
  <si>
    <t xml:space="preserve">All-or-nothing; excess is wasted.</t>
  </si>
  <si>
    <t xml:space="preserve">shield_battery_charges</t>
  </si>
  <si>
    <t xml:space="preserve">Shield Battery charges</t>
  </si>
  <si>
    <t xml:space="preserve">charges</t>
  </si>
  <si>
    <t xml:space="preserve">Finite emergency endurance.</t>
  </si>
  <si>
    <t xml:space="preserve">No overload; discharge-rate improvements are separate component traits.</t>
  </si>
  <si>
    <t xml:space="preserve">shield_battery_discharge_limit</t>
  </si>
  <si>
    <t xml:space="preserve">Shield Battery discharge limit</t>
  </si>
  <si>
    <t xml:space="preserve">charge per turn</t>
  </si>
  <si>
    <t xml:space="preserve">Prevents dumping the entire bank in one turn.</t>
  </si>
  <si>
    <t xml:space="preserve">Advanced batteries may explicitly increase this limit.</t>
  </si>
  <si>
    <t xml:space="preserve">Power</t>
  </si>
  <si>
    <t xml:space="preserve">reactor_output</t>
  </si>
  <si>
    <t xml:space="preserve">Main Reactor Tactical Power</t>
  </si>
  <si>
    <t xml:space="preserve">TL1 Fission Reactor</t>
  </si>
  <si>
    <t xml:space="preserve">Supports shield recharge plus one energy weapon while leaving little room for optional defenses.</t>
  </si>
  <si>
    <t xml:space="preserve">Too high if every system is always active; too low if energy weapons cannot function.</t>
  </si>
  <si>
    <t xml:space="preserve">reactor_degraded_output</t>
  </si>
  <si>
    <t xml:space="preserve">Degraded Reactor Tactical Power</t>
  </si>
  <si>
    <t xml:space="preserve">Degraded TL1 Fission Reactor</t>
  </si>
  <si>
    <t xml:space="preserve">Rounded-up half-output baseline.</t>
  </si>
  <si>
    <t xml:space="preserve">Applies at next Turn Refresh after mid-turn damage.</t>
  </si>
  <si>
    <t xml:space="preserve">reactor_emergency_output</t>
  </si>
  <si>
    <t xml:space="preserve">Emergency Tactical Output</t>
  </si>
  <si>
    <t xml:space="preserve">Disabled TL1 Fission Reactor</t>
  </si>
  <si>
    <t xml:space="preserve">Allows one last-ditch choice.</t>
  </si>
  <si>
    <t xml:space="preserve">Cannot be overloaded and is lost when Destroyed.</t>
  </si>
  <si>
    <t xml:space="preserve">reactor_overload_output</t>
  </si>
  <si>
    <t xml:space="preserve">Reactor overload gain</t>
  </si>
  <si>
    <t xml:space="preserve">Crosses one tactical decision threshold.</t>
  </si>
  <si>
    <t xml:space="preserve">Once per reactor per turn; unused power is lost at refresh.</t>
  </si>
  <si>
    <t xml:space="preserve">reactor_strain_limit</t>
  </si>
  <si>
    <t xml:space="preserve">Reactor Strain Limit</t>
  </si>
  <si>
    <t xml:space="preserve">Two safe overloads before forced risk.</t>
  </si>
  <si>
    <t xml:space="preserve">Persistent until Damage Control or full facility service.</t>
  </si>
  <si>
    <t xml:space="preserve">aux_reactor_output</t>
  </si>
  <si>
    <t xml:space="preserve">Auxiliary Reactor output</t>
  </si>
  <si>
    <t xml:space="preserve">Optional TL1 Auxiliary Reactor</t>
  </si>
  <si>
    <t xml:space="preserve">Crosses one nearby affordability threshold without erasing normal reactor decisions.</t>
  </si>
  <si>
    <t xml:space="preserve">Provides core power and runs simultaneously with the main Reactor; ordinary TL1 hulls are not assumed to mount one.</t>
  </si>
  <si>
    <t xml:space="preserve">aux_reactor_degraded_output</t>
  </si>
  <si>
    <t xml:space="preserve">Degraded Auxiliary Reactor output</t>
  </si>
  <si>
    <t xml:space="preserve">The small early Auxiliary Reactor loses flexible output when degraded.</t>
  </si>
  <si>
    <t xml:space="preserve">It may still preserve core-power redundancy where applicable; no default backup-bus requirement.</t>
  </si>
  <si>
    <t xml:space="preserve">apu_tactical_output</t>
  </si>
  <si>
    <t xml:space="preserve">APU Tactical Power output</t>
  </si>
  <si>
    <t xml:space="preserve">Optional TL1 APU</t>
  </si>
  <si>
    <t xml:space="preserve">APU supports core operation only.</t>
  </si>
  <si>
    <t xml:space="preserve">Use in reactor-loss scenarios.</t>
  </si>
  <si>
    <t xml:space="preserve">combat_battery_gain</t>
  </si>
  <si>
    <t xml:space="preserve">Combat Battery discharge</t>
  </si>
  <si>
    <t xml:space="preserve">Optional TL1 Combat Battery</t>
  </si>
  <si>
    <t xml:space="preserve">Useful emergency flexibility without replacing a reactor.</t>
  </si>
  <si>
    <t xml:space="preserve">Injected power is all-or-nothing and unused power expires at refresh.</t>
  </si>
  <si>
    <t xml:space="preserve">combat_battery_charges</t>
  </si>
  <si>
    <t xml:space="preserve">Combat Battery charges</t>
  </si>
  <si>
    <t xml:space="preserve">Finite tactical reserve.</t>
  </si>
  <si>
    <t xml:space="preserve">One discharge per turn unless explicitly upgraded.</t>
  </si>
  <si>
    <t xml:space="preserve">combat_battery_discharge_limit</t>
  </si>
  <si>
    <t xml:space="preserve">Combat Battery discharge limit</t>
  </si>
  <si>
    <t xml:space="preserve">Prevents multi-charge burst by default.</t>
  </si>
  <si>
    <t xml:space="preserve">Separate from overload.</t>
  </si>
  <si>
    <t xml:space="preserve">capacitor_capacity</t>
  </si>
  <si>
    <t xml:space="preserve">Capacitor Bank capacity</t>
  </si>
  <si>
    <t xml:space="preserve">stored TP</t>
  </si>
  <si>
    <t xml:space="preserve">Optional TL1 Capacitor Bank</t>
  </si>
  <si>
    <t xml:space="preserve">Enough to shift a meaningful but bounded amount between turns; an installed bank is full after FTL travel.</t>
  </si>
  <si>
    <t xml:space="preserve">Stored charge survives Turn Refresh; FTL travel refills the bank to full capacity.</t>
  </si>
  <si>
    <t xml:space="preserve">capacitor_charge_rate</t>
  </si>
  <si>
    <t xml:space="preserve">Capacitor charge rate</t>
  </si>
  <si>
    <t xml:space="preserve">TP per operation</t>
  </si>
  <si>
    <t xml:space="preserve">Prevents rapid banking of all unused power.</t>
  </si>
  <si>
    <t xml:space="preserve">Initial charge windows: turn start or Damage Control; test may narrow this.</t>
  </si>
  <si>
    <t xml:space="preserve">capacitor_discharge_rate</t>
  </si>
  <si>
    <t xml:space="preserve">Capacitor discharge rate</t>
  </si>
  <si>
    <t xml:space="preserve">Useful burst greater than the charge rate.</t>
  </si>
  <si>
    <t xml:space="preserve">One charge or discharge operation per turn.</t>
  </si>
  <si>
    <t xml:space="preserve">forced_overload_success</t>
  </si>
  <si>
    <t xml:space="preserve">Forced-overload base success</t>
  </si>
  <si>
    <t xml:space="preserve">percent</t>
  </si>
  <si>
    <t xml:space="preserve">Standard TL1 overloadable component</t>
  </si>
  <si>
    <t xml:space="preserve">Creates real but not prohibitive voluntary risk.</t>
  </si>
  <si>
    <t xml:space="preserve">Roll only when resulting Strain exceeds the component limit.</t>
  </si>
  <si>
    <t xml:space="preserve">forced_overload_critical_failure</t>
  </si>
  <si>
    <t xml:space="preserve">Forced-overload critical failure</t>
  </si>
  <si>
    <t xml:space="preserve">natural d100</t>
  </si>
  <si>
    <t xml:space="preserve">Uses existing natural-01 convention.</t>
  </si>
  <si>
    <t xml:space="preserve">No ordinary failure causes an automatic condition step.</t>
  </si>
  <si>
    <t xml:space="preserve">forced_overload_critical_success</t>
  </si>
  <si>
    <t xml:space="preserve">Forced-overload critical success</t>
  </si>
  <si>
    <t xml:space="preserve">Uses existing natural-100 convention.</t>
  </si>
  <si>
    <t xml:space="preserve">Default benefit is one less Strain, minimum zero.</t>
  </si>
  <si>
    <t xml:space="preserve">Propulsion</t>
  </si>
  <si>
    <t xml:space="preserve">stl_move</t>
  </si>
  <si>
    <t xml:space="preserve">STL Move</t>
  </si>
  <si>
    <t xml:space="preserve">hex per turn</t>
  </si>
  <si>
    <t xml:space="preserve">TL1 Nuclear Pulse Drive</t>
  </si>
  <si>
    <t xml:space="preserve">Operational ship STL Move equals the installed STL Drive TL; TL1 therefore moves 1 hex per turn.</t>
  </si>
  <si>
    <t xml:space="preserve">Checkpoint 39 compares production 1/2 movement against Godot 3/2 and legacy 4/1 controls.</t>
  </si>
  <si>
    <t xml:space="preserve">fuel_capacity</t>
  </si>
  <si>
    <t xml:space="preserve">Fuel Capacity</t>
  </si>
  <si>
    <t xml:space="preserve">fuel</t>
  </si>
  <si>
    <t xml:space="preserve">Supports several tactical turns and one-sector FTL travel tests.</t>
  </si>
  <si>
    <t xml:space="preserve">Fuel scale remains provisional.</t>
  </si>
  <si>
    <t xml:space="preserve">stl_fuel_per_hex</t>
  </si>
  <si>
    <t xml:space="preserve">Ordinary STL fuel</t>
  </si>
  <si>
    <t xml:space="preserve">fuel per hex moved</t>
  </si>
  <si>
    <t xml:space="preserve">Visible simple movement cost.</t>
  </si>
  <si>
    <t xml:space="preserve">May later be abstracted if tactical fuel bookkeeping adds little.</t>
  </si>
  <si>
    <t xml:space="preserve">evasive_power_cost</t>
  </si>
  <si>
    <t xml:space="preserve">Evasive Maneuvering power</t>
  </si>
  <si>
    <t xml:space="preserve">Spent TP</t>
  </si>
  <si>
    <t xml:space="preserve">Adds a small energy cost without creating computer-power bookkeeping.</t>
  </si>
  <si>
    <t xml:space="preserve">No Strain by default.</t>
  </si>
  <si>
    <t xml:space="preserve">evasive_fuel_multiplier</t>
  </si>
  <si>
    <t xml:space="preserve">Evasive fuel multiplier</t>
  </si>
  <si>
    <t xml:space="preserve">times ordinary</t>
  </si>
  <si>
    <t xml:space="preserve">Preserves the accepted extra-fuel identity.</t>
  </si>
  <si>
    <t xml:space="preserve">Minimum one fuel even when holding position.</t>
  </si>
  <si>
    <t xml:space="preserve">evasive_defense_rating</t>
  </si>
  <si>
    <t xml:space="preserve">Evasive defensive rating</t>
  </si>
  <si>
    <t xml:space="preserve">rating</t>
  </si>
  <si>
    <t xml:space="preserve">Matches the existing approximate -10 percentage-point effect.</t>
  </si>
  <si>
    <t xml:space="preserve">Also applies the existing own-fire penalty unless compensated.</t>
  </si>
  <si>
    <t xml:space="preserve">stl_overload_move_bonus</t>
  </si>
  <si>
    <t xml:space="preserve">STL overload Move bonus</t>
  </si>
  <si>
    <t xml:space="preserve">hex</t>
  </si>
  <si>
    <t xml:space="preserve">STL overload adds the drive's listed Move, so a TL1 drive can temporarily move 2 hexes at the cost of power, fuel, and Strain risk.</t>
  </si>
  <si>
    <t xml:space="preserve">Overload-equivalent 2/2 tail-chase geometry is retained as a diagnostic control.</t>
  </si>
  <si>
    <t xml:space="preserve">stl_overload_power_cost</t>
  </si>
  <si>
    <t xml:space="preserve">STL overload power cost</t>
  </si>
  <si>
    <t xml:space="preserve">Keeps overload tied to the power economy.</t>
  </si>
  <si>
    <t xml:space="preserve">Also costs 2 additional fuel and adds 1 Strain.</t>
  </si>
  <si>
    <t xml:space="preserve">stl_overload_extra_fuel</t>
  </si>
  <si>
    <t xml:space="preserve">STL overload extra fuel</t>
  </si>
  <si>
    <t xml:space="preserve">Makes emergency thrust visibly expensive.</t>
  </si>
  <si>
    <t xml:space="preserve">In addition to ordinary movement fuel.</t>
  </si>
  <si>
    <t xml:space="preserve">stl_strain_limit</t>
  </si>
  <si>
    <t xml:space="preserve">STL Drive Strain Limit</t>
  </si>
  <si>
    <t xml:space="preserve">Matches standard TL1 energy-system durability.</t>
  </si>
  <si>
    <t xml:space="preserve">Degraded profile may modify overload eligibility later.</t>
  </si>
  <si>
    <t xml:space="preserve">ftl_move</t>
  </si>
  <si>
    <t xml:space="preserve">FTL charted-sector Move</t>
  </si>
  <si>
    <t xml:space="preserve">strategic hex per turn</t>
  </si>
  <si>
    <t xml:space="preserve">TL1 Prototype Fold Drive</t>
  </si>
  <si>
    <t xml:space="preserve">inherited_provisional_exact</t>
  </si>
  <si>
    <t xml:space="preserve">Retains the existing TL1 progression example.</t>
  </si>
  <si>
    <t xml:space="preserve">Emergency Jump remains a separate deferred procedure.</t>
  </si>
  <si>
    <t xml:space="preserve">Sensors</t>
  </si>
  <si>
    <t xml:space="preserve">passive_firm_range</t>
  </si>
  <si>
    <t xml:space="preserve">Passive Firm range</t>
  </si>
  <si>
    <t xml:space="preserve">hexes</t>
  </si>
  <si>
    <t xml:space="preserve">TL1 Sensor Array</t>
  </si>
  <si>
    <t xml:space="preserve">Basic short-range discrimination without power.</t>
  </si>
  <si>
    <t xml:space="preserve">Initial weapon duels begin with fixed Firm tracks and do not test this value.</t>
  </si>
  <si>
    <t xml:space="preserve">passive_approx_range</t>
  </si>
  <si>
    <t xml:space="preserve">Passive Approximate range</t>
  </si>
  <si>
    <t xml:space="preserve">Provides early warning outside Firm range.</t>
  </si>
  <si>
    <t xml:space="preserve">Environment and signatures remain separate inputs.</t>
  </si>
  <si>
    <t xml:space="preserve">active_range_level_1_firm</t>
  </si>
  <si>
    <t xml:space="preserve">Active Sensor Firm range at 1 TP</t>
  </si>
  <si>
    <t xml:space="preserve">Optional TL1 Active Sensor mode</t>
  </si>
  <si>
    <t xml:space="preserve">Power increases range, not intrinsic accuracy.</t>
  </si>
  <si>
    <t xml:space="preserve">Triggers one prospective Sensor/EW Refresh.</t>
  </si>
  <si>
    <t xml:space="preserve">active_range_level_1_approx</t>
  </si>
  <si>
    <t xml:space="preserve">Active Sensor Approximate range at 1 TP</t>
  </si>
  <si>
    <t xml:space="preserve">Extends the same TL1 sensor quality farther.</t>
  </si>
  <si>
    <t xml:space="preserve">No rating increase.</t>
  </si>
  <si>
    <t xml:space="preserve">active_range_level_2_firm</t>
  </si>
  <si>
    <t xml:space="preserve">Active Sensor Firm range at 2 TP</t>
  </si>
  <si>
    <t xml:space="preserve">Second defined range setting.</t>
  </si>
  <si>
    <t xml:space="preserve">Power can be added only at legal adjustment opportunities.</t>
  </si>
  <si>
    <t xml:space="preserve">active_range_level_2_approx</t>
  </si>
  <si>
    <t xml:space="preserve">Active Sensor Approximate range at 2 TP</t>
  </si>
  <si>
    <t xml:space="preserve">Meaningful long envelope at substantial power cost.</t>
  </si>
  <si>
    <t xml:space="preserve">No point-by-point per-hex pricing.</t>
  </si>
  <si>
    <t xml:space="preserve">active_sensor_overload_range</t>
  </si>
  <si>
    <t xml:space="preserve">Active Sensor overload range bonus</t>
  </si>
  <si>
    <t xml:space="preserve">hexes to both envelopes</t>
  </si>
  <si>
    <t xml:space="preserve">TL1 Active Sensor suite</t>
  </si>
  <si>
    <t xml:space="preserve">Overload changes reach rather than accuracy.</t>
  </si>
  <si>
    <t xml:space="preserve">Costs +1 TP, adds 1 Strain, once per turn.</t>
  </si>
  <si>
    <t xml:space="preserve">ecm_max</t>
  </si>
  <si>
    <t xml:space="preserve">ECM normal maximum</t>
  </si>
  <si>
    <t xml:space="preserve">ECM</t>
  </si>
  <si>
    <t xml:space="preserve">Optional TL1 ECM suite</t>
  </si>
  <si>
    <t xml:space="preserve">Basic scalable EW point.</t>
  </si>
  <si>
    <t xml:space="preserve">1 TP per rating; may run with ECCM.</t>
  </si>
  <si>
    <t xml:space="preserve">eccm_max</t>
  </si>
  <si>
    <t xml:space="preserve">ECCM normal maximum</t>
  </si>
  <si>
    <t xml:space="preserve">ECCM</t>
  </si>
  <si>
    <t xml:space="preserve">Optional TL1 ECCM suite</t>
  </si>
  <si>
    <t xml:space="preserve">Basic scalable counter-jamming point.</t>
  </si>
  <si>
    <t xml:space="preserve">1 TP per rating; may run with ECM.</t>
  </si>
  <si>
    <t xml:space="preserve">ew_overload_bonus</t>
  </si>
  <si>
    <t xml:space="preserve">ECM/ECCM overload bonus</t>
  </si>
  <si>
    <t xml:space="preserve">TL1 EW suite</t>
  </si>
  <si>
    <t xml:space="preserve">Lets an energy system exceed its rated maximum.</t>
  </si>
  <si>
    <t xml:space="preserve">Costs +1 TP and +1 Strain for the remainder of the turn.</t>
  </si>
  <si>
    <t xml:space="preserve">targeting_accuracy_bonus</t>
  </si>
  <si>
    <t xml:space="preserve">Targeting Computer accuracy bonus</t>
  </si>
  <si>
    <t xml:space="preserve">percentage points</t>
  </si>
  <si>
    <t xml:space="preserve">TL1 Targeting Computer</t>
  </si>
  <si>
    <t xml:space="preserve">External assistance is valuable without being required for weapon function.</t>
  </si>
  <si>
    <t xml:space="preserve">Degraded computer provides +5; Disabled/Destroyed provides +0.</t>
  </si>
  <si>
    <t xml:space="preserve">Weapon</t>
  </si>
  <si>
    <t xml:space="preserve">kinetic_accuracy</t>
  </si>
  <si>
    <t xml:space="preserve">Kinetic Cannon Accuracy</t>
  </si>
  <si>
    <t xml:space="preserve">TL1 Kinetic Cannon</t>
  </si>
  <si>
    <t xml:space="preserve">Produces 80% point-blank with an Operational TL1 Targeting Computer.</t>
  </si>
  <si>
    <t xml:space="preserve">Common -5 per direct-fire hex; Firm track is prerequisite, not a bonus.</t>
  </si>
  <si>
    <t xml:space="preserve">kinetic_damage</t>
  </si>
  <si>
    <t xml:space="preserve">Kinetic Cannon DAM</t>
  </si>
  <si>
    <t xml:space="preserve">DAM</t>
  </si>
  <si>
    <t xml:space="preserve">Restores kinetic identity as the strongest immediate direct-fire packet while energy retains accuracy, range, and APEN advantages.</t>
  </si>
  <si>
    <t xml:space="preserve">Checkpoint 39 compares DAM3/APEN0, DAM4/APEN0, DAM5/APEN0, and DAM4/APEN1 arms.</t>
  </si>
  <si>
    <t xml:space="preserve">kinetic_spen</t>
  </si>
  <si>
    <t xml:space="preserve">Kinetic Cannon SPEN</t>
  </si>
  <si>
    <t xml:space="preserve">SPEN</t>
  </si>
  <si>
    <t xml:space="preserve">Provides steady kinetic pressure through basic shields without bypassing them entirely.</t>
  </si>
  <si>
    <t xml:space="preserve">Compare SPEN0 and SPEN2 controls for shield relevance.</t>
  </si>
  <si>
    <t xml:space="preserve">kinetic_apen</t>
  </si>
  <si>
    <t xml:space="preserve">Kinetic Cannon APEN</t>
  </si>
  <si>
    <t xml:space="preserve">APEN</t>
  </si>
  <si>
    <t xml:space="preserve">Basic TL1 kinetic ammunition has no armor-penetration advantage.</t>
  </si>
  <si>
    <t xml:space="preserve">Cross AP1/AP2 with APEN0/1/2 during calibration.</t>
  </si>
  <si>
    <t xml:space="preserve">kinetic_range</t>
  </si>
  <si>
    <t xml:space="preserve">Kinetic Cannon Maximum Range</t>
  </si>
  <si>
    <t xml:space="preserve">Shorter than the energy weapon.</t>
  </si>
  <si>
    <t xml:space="preserve">Uses the existing -5 percentage points per hex.</t>
  </si>
  <si>
    <t xml:space="preserve">kinetic_power</t>
  </si>
  <si>
    <t xml:space="preserve">Kinetic Cannon firing power</t>
  </si>
  <si>
    <t xml:space="preserve">Spent TP per attack</t>
  </si>
  <si>
    <t xml:space="preserve">Powers the autoloader firing cycle recoil control stabilization and weapon thermal management.</t>
  </si>
  <si>
    <t xml:space="preserve">Still cheaper than standard Energy fire; Held Kinetic interception earmarks the same 1 TP and spends it only if triggered.</t>
  </si>
  <si>
    <t xml:space="preserve">kinetic_ammo</t>
  </si>
  <si>
    <t xml:space="preserve">Kinetic Magazine</t>
  </si>
  <si>
    <t xml:space="preserve">packages</t>
  </si>
  <si>
    <t xml:space="preserve">Total carried capacity includes one Ready Package and 99 reserve packages; supports several serious engagements between resupply opportunities.</t>
  </si>
  <si>
    <t xml:space="preserve">Track ready/reserve state, mean packages consumed per duel, and campaign endurance.</t>
  </si>
  <si>
    <t xml:space="preserve">ammunition_ready_package</t>
  </si>
  <si>
    <t xml:space="preserve">Ready Package per ammunition-fed weapon</t>
  </si>
  <si>
    <t xml:space="preserve">package</t>
  </si>
  <si>
    <t xml:space="preserve">Ammunition-fed main weapons and PDS</t>
  </si>
  <si>
    <t xml:space="preserve">accepted_rule</t>
  </si>
  <si>
    <t xml:space="preserve">Each compatible ammunition-fed weapon begins with one package loaded and automatically reloads from its broad shared magazine after firing.</t>
  </si>
  <si>
    <t xml:space="preserve">The Ready Package is part of total carried capacity; final consumption leaves ready and reserve at zero.</t>
  </si>
  <si>
    <t xml:space="preserve">energy_low_power</t>
  </si>
  <si>
    <t xml:space="preserve">Energy Cannon low-output cost</t>
  </si>
  <si>
    <t xml:space="preserve">TL1 Energy Cannon</t>
  </si>
  <si>
    <t xml:space="preserve">Safe underpowered option and interception choice.</t>
  </si>
  <si>
    <t xml:space="preserve">DAM2, SPEN0, APEN0, Accuracy +10, range5.</t>
  </si>
  <si>
    <t xml:space="preserve">energy_low_damage</t>
  </si>
  <si>
    <t xml:space="preserve">Energy Cannon low-output DAM</t>
  </si>
  <si>
    <t xml:space="preserve">Preserves action when power is constrained.</t>
  </si>
  <si>
    <t xml:space="preserve">Should not become the dominant efficient setting.</t>
  </si>
  <si>
    <t xml:space="preserve">energy_standard_power</t>
  </si>
  <si>
    <t xml:space="preserve">Energy Cannon standard cost</t>
  </si>
  <si>
    <t xml:space="preserve">Material reactor demand with unlimited ammunition.</t>
  </si>
  <si>
    <t xml:space="preserve">Core doctrine uses this mode.</t>
  </si>
  <si>
    <t xml:space="preserve">energy_standard_damage</t>
  </si>
  <si>
    <t xml:space="preserve">Energy Cannon standard DAM</t>
  </si>
  <si>
    <t xml:space="preserve">Lower raw damage than kinetic but better accuracy and penetration.</t>
  </si>
  <si>
    <t xml:space="preserve">Tune cross-family viability rather than parity.</t>
  </si>
  <si>
    <t xml:space="preserve">energy_accuracy</t>
  </si>
  <si>
    <t xml:space="preserve">Energy Cannon Accuracy</t>
  </si>
  <si>
    <t xml:space="preserve">Produces 85% point-blank with an Operational TL1 Targeting Computer.</t>
  </si>
  <si>
    <t xml:space="preserve">Energy retains +5 accuracy and one extra hex of maximum range; common range penalty initially.</t>
  </si>
  <si>
    <t xml:space="preserve">energy_spen</t>
  </si>
  <si>
    <t xml:space="preserve">Energy Cannon standard SPEN</t>
  </si>
  <si>
    <t xml:space="preserve">Applies pressure through active shields.</t>
  </si>
  <si>
    <t xml:space="preserve">Shield Armor can reduce remaining shield-facing damage, not bypass.</t>
  </si>
  <si>
    <t xml:space="preserve">energy_apen</t>
  </si>
  <si>
    <t xml:space="preserve">Energy Cannon standard APEN</t>
  </si>
  <si>
    <t xml:space="preserve">Maintains value against TL1 armor.</t>
  </si>
  <si>
    <t xml:space="preserve">No extra damage beyond DAM.</t>
  </si>
  <si>
    <t xml:space="preserve">energy_range</t>
  </si>
  <si>
    <t xml:space="preserve">Energy Cannon Maximum Range</t>
  </si>
  <si>
    <t xml:space="preserve">Longer reach than kinetic.</t>
  </si>
  <si>
    <t xml:space="preserve">Uses the common range penalty.</t>
  </si>
  <si>
    <t xml:space="preserve">energy_overload_power</t>
  </si>
  <si>
    <t xml:space="preserve">Energy Cannon overload cost</t>
  </si>
  <si>
    <t xml:space="preserve">One point above standard output.</t>
  </si>
  <si>
    <t xml:space="preserve">DAM4 and +1 Strain; once per weapon per turn.</t>
  </si>
  <si>
    <t xml:space="preserve">energy_overload_damage</t>
  </si>
  <si>
    <t xml:space="preserve">Energy Cannon overload DAM</t>
  </si>
  <si>
    <t xml:space="preserve">Crosses the kinetic damage threshold at reliability cost.</t>
  </si>
  <si>
    <t xml:space="preserve">Forced roll only beyond Strain Limit.</t>
  </si>
  <si>
    <t xml:space="preserve">energy_strain_limit</t>
  </si>
  <si>
    <t xml:space="preserve">Energy Cannon Strain Limit</t>
  </si>
  <si>
    <t xml:space="preserve">Allows two safe overload shots across turns.</t>
  </si>
  <si>
    <t xml:space="preserve">Normal firing and normal charge retention add no Strain.</t>
  </si>
  <si>
    <t xml:space="preserve">missile_ammo</t>
  </si>
  <si>
    <t xml:space="preserve">Missile Magazine</t>
  </si>
  <si>
    <t xml:space="preserve">Missile Flights</t>
  </si>
  <si>
    <t xml:space="preserve">TL1 Missile Launcher</t>
  </si>
  <si>
    <t xml:space="preserve">Total carried capacity includes one Ready Missile Flight and 24 reserve Flights, aligning the finite magazine with the ready-package convention.</t>
  </si>
  <si>
    <t xml:space="preserve">Track ready/reserve state, salvo size, interception losses, and resupply cadence later.</t>
  </si>
  <si>
    <t xml:space="preserve">missile_launch_power</t>
  </si>
  <si>
    <t xml:space="preserve">Missile launch power</t>
  </si>
  <si>
    <t xml:space="preserve">Missile carries its own energy and propulsion.</t>
  </si>
  <si>
    <t xml:space="preserve">Launcher control remains core-powered.</t>
  </si>
  <si>
    <t xml:space="preserve">missile_warhead_damage</t>
  </si>
  <si>
    <t xml:space="preserve">TL1 Missile Warhead DAM</t>
  </si>
  <si>
    <t xml:space="preserve">TL1 Missile Flight</t>
  </si>
  <si>
    <t xml:space="preserve">Highest single packet among core families.</t>
  </si>
  <si>
    <t xml:space="preserve">Balanced by limited ammunition, travel time, and interception.</t>
  </si>
  <si>
    <t xml:space="preserve">missile_warhead_spen</t>
  </si>
  <si>
    <t xml:space="preserve">TL1 Missile Warhead SPEN</t>
  </si>
  <si>
    <t xml:space="preserve">Provides some shield bypass.</t>
  </si>
  <si>
    <t xml:space="preserve">Tune with PDS and Shield Armor.</t>
  </si>
  <si>
    <t xml:space="preserve">missile_warhead_apen</t>
  </si>
  <si>
    <t xml:space="preserve">TL1 Missile Warhead APEN</t>
  </si>
  <si>
    <t xml:space="preserve">Missile payload is effective against armor.</t>
  </si>
  <si>
    <t xml:space="preserve">Must not make kinetic and energy options obsolete.</t>
  </si>
  <si>
    <t xml:space="preserve">missile_speed</t>
  </si>
  <si>
    <t xml:space="preserve">TL1 Missile Flight speed</t>
  </si>
  <si>
    <t xml:space="preserve">hexes per missile action</t>
  </si>
  <si>
    <t xml:space="preserve">TL1 bundled Missile Flight</t>
  </si>
  <si>
    <t xml:space="preserve">Missile Move equals Missile Drive TL plus 1; a TL1 missile therefore has a one-hex closing advantage over a normal TL1 ship.</t>
  </si>
  <si>
    <t xml:space="preserve">Tail-chase controls compare production 1/2, Godot 3/2, legacy 4/1, and overload-equivalent 2/2 relationships.</t>
  </si>
  <si>
    <t xml:space="preserve">missile_range</t>
  </si>
  <si>
    <t xml:space="preserve">TL1 Missile Flight maximum range</t>
  </si>
  <si>
    <t xml:space="preserve">hexes traveled</t>
  </si>
  <si>
    <t xml:space="preserve">Matches the existing Checkpoint 20 TL1 representative profile.</t>
  </si>
  <si>
    <t xml:space="preserve">Track every traveled hex and replan each turn.</t>
  </si>
  <si>
    <t xml:space="preserve">missile_guidance_hit</t>
  </si>
  <si>
    <t xml:space="preserve">TL1 Guidance base hit chance</t>
  </si>
  <si>
    <t xml:space="preserve">Matches the existing representative missile profile.</t>
  </si>
  <si>
    <t xml:space="preserve">Subject to terminal modifiers and bounds.</t>
  </si>
  <si>
    <t xml:space="preserve">PDS</t>
  </si>
  <si>
    <t xml:space="preserve">kinetic_pds_power</t>
  </si>
  <si>
    <t xml:space="preserve">Kinetic PDS readiness</t>
  </si>
  <si>
    <t xml:space="preserve">Powered TP</t>
  </si>
  <si>
    <t xml:space="preserve">Optional TL1 Kinetic PDS</t>
  </si>
  <si>
    <t xml:space="preserve">Low-power self-contained defense.</t>
  </si>
  <si>
    <t xml:space="preserve">No separate per-shot TP; consumes PDS ammunition.</t>
  </si>
  <si>
    <t xml:space="preserve">kinetic_pds_reactions</t>
  </si>
  <si>
    <t xml:space="preserve">Kinetic PDS Reaction Capacity</t>
  </si>
  <si>
    <t xml:space="preserve">attempt per turn</t>
  </si>
  <si>
    <t xml:space="preserve">Matches the existing low-TL baseline.</t>
  </si>
  <si>
    <t xml:space="preserve">Still limited by the two terminal windows.</t>
  </si>
  <si>
    <t xml:space="preserve">kinetic_pds_chance</t>
  </si>
  <si>
    <t xml:space="preserve">Kinetic PDS equal-TL chance</t>
  </si>
  <si>
    <t xml:space="preserve">Matches the existing Checkpoint 20 equal-TL value.</t>
  </si>
  <si>
    <t xml:space="preserve">Tune after missile payload is integrated.</t>
  </si>
  <si>
    <t xml:space="preserve">kinetic_pds_ammo</t>
  </si>
  <si>
    <t xml:space="preserve">Kinetic PDS magazine</t>
  </si>
  <si>
    <t xml:space="preserve">Total carried capacity includes one Ready Package and 49 reserve packages; kinetic rounds remain more compact than AMMs.</t>
  </si>
  <si>
    <t xml:space="preserve">One package per attempt; track ready/reserve state and single-engagement consumption.</t>
  </si>
  <si>
    <t xml:space="preserve">amm_pds_power</t>
  </si>
  <si>
    <t xml:space="preserve">AMM readiness</t>
  </si>
  <si>
    <t xml:space="preserve">Optional TL1 AMM system</t>
  </si>
  <si>
    <t xml:space="preserve">Interceptor missiles are self-contained once launched.</t>
  </si>
  <si>
    <t xml:space="preserve">Consumes one AMM per attempt.</t>
  </si>
  <si>
    <t xml:space="preserve">amm_pds_chance</t>
  </si>
  <si>
    <t xml:space="preserve">AMM equal-TL chance</t>
  </si>
  <si>
    <t xml:space="preserve">Higher reliability with scarcer ammunition.</t>
  </si>
  <si>
    <t xml:space="preserve">Must not invalidate ordinary missiles.</t>
  </si>
  <si>
    <t xml:space="preserve">amm_pds_ammo</t>
  </si>
  <si>
    <t xml:space="preserve">AMM magazine</t>
  </si>
  <si>
    <t xml:space="preserve">interceptors</t>
  </si>
  <si>
    <t xml:space="preserve">Total carried capacity includes one Ready AMM and 24 reserve interceptors, matching the main missile magazine convention.</t>
  </si>
  <si>
    <t xml:space="preserve">One interceptor per attempt; track ready/reserve state and single-engagement consumption.</t>
  </si>
  <si>
    <t xml:space="preserve">energy_pds_power</t>
  </si>
  <si>
    <t xml:space="preserve">Energy PDS readiness</t>
  </si>
  <si>
    <t xml:space="preserve">Optional TL1 Energy PDS</t>
  </si>
  <si>
    <t xml:space="preserve">Higher sustained power in exchange for no conventional ammo.</t>
  </si>
  <si>
    <t xml:space="preserve">No separate per-shot TP in the baseline.</t>
  </si>
  <si>
    <t xml:space="preserve">energy_pds_chance</t>
  </si>
  <si>
    <t xml:space="preserve">Energy PDS equal-TL chance</t>
  </si>
  <si>
    <t xml:space="preserve">Between kinetic and AMM accuracy.</t>
  </si>
  <si>
    <t xml:space="preserve">Tune against its higher power and unlimited shots.</t>
  </si>
  <si>
    <t xml:space="preserve">Tractor</t>
  </si>
  <si>
    <t xml:space="preserve">tractor_range</t>
  </si>
  <si>
    <t xml:space="preserve">Tractor Maximum Range</t>
  </si>
  <si>
    <t xml:space="preserve">Optional TL1 Tractor Beam</t>
  </si>
  <si>
    <t xml:space="preserve">Beam-weapon reach shorter than primary weapons.</t>
  </si>
  <si>
    <t xml:space="preserve">Requires normal beam acquisition.</t>
  </si>
  <si>
    <t xml:space="preserve">tractor_max_power</t>
  </si>
  <si>
    <t xml:space="preserve">Tractor normal maximum</t>
  </si>
  <si>
    <t xml:space="preserve">Tractor Power</t>
  </si>
  <si>
    <t xml:space="preserve">recalibration_required</t>
  </si>
  <si>
    <t xml:space="preserve">Inherited Checkpoint 24 test fixture; ship Move = Drive TL makes Tractor Power 3 too strong to treat as production-balanced without a dedicated pass.</t>
  </si>
  <si>
    <t xml:space="preserve">Retain historical tractor controls, but recalibrate normal, overload, and combined-tractor thresholds against TL1 Move 1 before promotion.</t>
  </si>
  <si>
    <t xml:space="preserve">tractor_power_cost</t>
  </si>
  <si>
    <t xml:space="preserve">Tractor power cost</t>
  </si>
  <si>
    <t xml:space="preserve">Powered TP per Tractor Power</t>
  </si>
  <si>
    <t xml:space="preserve">Direct readable relationship.</t>
  </si>
  <si>
    <t xml:space="preserve">Target remaining Move = max(0, effective STL - Tractor Power).</t>
  </si>
  <si>
    <t xml:space="preserve">tractor_overload_bonus</t>
  </si>
  <si>
    <t xml:space="preserve">Tractor overload bonus</t>
  </si>
  <si>
    <t xml:space="preserve">Inherited +1 overload fixture; its relationship to TL1 Move 1 and Tractor Power 3 must be re-established under the technology-scaled movement law.</t>
  </si>
  <si>
    <t xml:space="preserve">Do not promote the current hold/pull envelope until the tractor study is rerun against ship Move = Drive TL.</t>
  </si>
  <si>
    <t xml:space="preserve">Repair</t>
  </si>
  <si>
    <t xml:space="preserve">damage_control_capacity</t>
  </si>
  <si>
    <t xml:space="preserve">Damage Control Capacity</t>
  </si>
  <si>
    <t xml:space="preserve">One deliberate Damage Control task per turn keeps repair choices readable and matches the implemented TL1 combat profile.</t>
  </si>
  <si>
    <t xml:space="preserve">No second attempt may occur before the next Turn Refresh.</t>
  </si>
  <si>
    <t xml:space="preserve">repair_supplies</t>
  </si>
  <si>
    <t xml:space="preserve">Starting Repair Kits</t>
  </si>
  <si>
    <t xml:space="preserve">kits</t>
  </si>
  <si>
    <t xml:space="preserve">The player-facing TL1 loadout retains three scarce combat repair attempts.</t>
  </si>
  <si>
    <t xml:space="preserve">Checkpoint 37 may use five kits only in explicitly tagged calibration fixtures.</t>
  </si>
  <si>
    <t xml:space="preserve">damage_control_calibration_kits</t>
  </si>
  <si>
    <t xml:space="preserve">Checkpoint 37 Calibration Repair Kits</t>
  </si>
  <si>
    <t xml:space="preserve">Damage Control calibration fixtures only</t>
  </si>
  <si>
    <t xml:space="preserve">calibration_only</t>
  </si>
  <si>
    <t xml:space="preserve">Two additional kits let the study reach subsystem repair decisions after early Hull damage without changing the player-facing TL1 loadout.</t>
  </si>
  <si>
    <t xml:space="preserve">No ordinary TL1 ship profile may inherit the five-kit quantity.</t>
  </si>
  <si>
    <t xml:space="preserve">damage_control_calibration_hull_threshold</t>
  </si>
  <si>
    <t xml:space="preserve">Restrained Hull-Repair Threshold</t>
  </si>
  <si>
    <t xml:space="preserve">remaining Hull</t>
  </si>
  <si>
    <t xml:space="preserve">Checkpoint 37 HullHalf doctrines</t>
  </si>
  <si>
    <t xml:space="preserve">calibration_control</t>
  </si>
  <si>
    <t xml:space="preserve">Hull repair is deferred until the 12-Hull ship reaches half Hull so early scratches do not consume the study supply.</t>
  </si>
  <si>
    <t xml:space="preserve">Threshold doctrines record zero Hull attempts above 6 Hull.</t>
  </si>
  <si>
    <t xml:space="preserve">repair_degraded_chance</t>
  </si>
  <si>
    <t xml:space="preserve">Degraded to Operational repair</t>
  </si>
  <si>
    <t xml:space="preserve">Standard component repair</t>
  </si>
  <si>
    <t xml:space="preserve">existing_provisional</t>
  </si>
  <si>
    <t xml:space="preserve">Retains the current concept baseline.</t>
  </si>
  <si>
    <t xml:space="preserve">Playtest with Crew modifiers.</t>
  </si>
  <si>
    <t xml:space="preserve">repair_disabled_chance</t>
  </si>
  <si>
    <t xml:space="preserve">Disabled to Degraded repair</t>
  </si>
  <si>
    <t xml:space="preserve">Results become active next turn.</t>
  </si>
  <si>
    <t xml:space="preserve">repair_hull_chance</t>
  </si>
  <si>
    <t xml:space="preserve">Repair 1 Hull</t>
  </si>
  <si>
    <t xml:space="preserve">Hull repair task</t>
  </si>
  <si>
    <t xml:space="preserve">Retains slow combat Hull repair.</t>
  </si>
  <si>
    <t xml:space="preserve">Cannot exceed field-repair ceiling or pristine maximum.</t>
  </si>
  <si>
    <t xml:space="preserve">InternalDamage</t>
  </si>
  <si>
    <t xml:space="preserve">ordinary_internal_critical_density</t>
  </si>
  <si>
    <t xml:space="preserve">Ordinary TL1 Internal Critical Density</t>
  </si>
  <si>
    <t xml:space="preserve">Ordinary TL1 Hull internal track</t>
  </si>
  <si>
    <t xml:space="preserve">One X per three-position stratum creates regular subsystem variation while retaining mostly Degraded rather than Disabled or Destroyed outcomes.</t>
  </si>
  <si>
    <t xml:space="preserve">Compare 25 percent and 33 1/3 percent pacing before final lock.</t>
  </si>
  <si>
    <t xml:space="preserve">strain_removal_chance</t>
  </si>
  <si>
    <t xml:space="preserve">Remove 1 Strain</t>
  </si>
  <si>
    <t xml:space="preserve">Damage Control Strain task</t>
  </si>
  <si>
    <t xml:space="preserve">Makes Strain recoverable at real opportunity cost.</t>
  </si>
  <si>
    <t xml:space="preserve">Critical success removes 2; ordinary failure removes none.</t>
  </si>
  <si>
    <t xml:space="preserve">Reset</t>
  </si>
  <si>
    <t xml:space="preserve">turn_refresh</t>
  </si>
  <si>
    <t xml:space="preserve">Turn Refresh reset count</t>
  </si>
  <si>
    <t xml:space="preserve">per tactical turn</t>
  </si>
  <si>
    <t xml:space="preserve">All ships</t>
  </si>
  <si>
    <t xml:space="preserve">Only universal tactical reset besides FTL transition.</t>
  </si>
  <si>
    <t xml:space="preserve">Clears power accounting and one-turn effects; does not heal or replenish.</t>
  </si>
  <si>
    <t xml:space="preserve">ftl_transition</t>
  </si>
  <si>
    <t xml:space="preserve">FTL tactical-state reset</t>
  </si>
  <si>
    <t xml:space="preserve">per transition</t>
  </si>
  <si>
    <t xml:space="preserve">Clears encounter-scoped Tactical Power state while normal transit refills an installed Capacitor Bank.</t>
  </si>
  <si>
    <t xml:space="preserve">Refills the Capacitor Bank only; does not restore shields, remove Strain, repair, or replenish ammunition, batteries, or fuel.</t>
  </si>
  <si>
    <t xml:space="preserve">Combat</t>
  </si>
  <si>
    <t xml:space="preserve">direct_fire_base_chance</t>
  </si>
  <si>
    <t xml:space="preserve">Direct-Fire Raw Baseline</t>
  </si>
  <si>
    <t xml:space="preserve">TL1 direct-fire procedure</t>
  </si>
  <si>
    <t xml:space="preserve">Keeps weapon, computer, range, and EvM modifiers visible.</t>
  </si>
  <si>
    <t xml:space="preserve">Firm track is a prerequisite, not an accuracy bonus.</t>
  </si>
  <si>
    <t xml:space="preserve">direct_fire_range_penalty</t>
  </si>
  <si>
    <t xml:space="preserve">Direct-Fire Range Penalty</t>
  </si>
  <si>
    <t xml:space="preserve">percentage points per hex</t>
  </si>
  <si>
    <t xml:space="preserve">Common initial range slope for ordinary TL1 direct-fire weapons.</t>
  </si>
  <si>
    <t xml:space="preserve">Weapon-specific slopes may later be explicit traits.</t>
  </si>
  <si>
    <t xml:space="preserve">direct_fire_minimum_chance</t>
  </si>
  <si>
    <t xml:space="preserve">Direct-Fire Minimum Chance</t>
  </si>
  <si>
    <t xml:space="preserve">Preserves a bounded chance under extreme penalties.</t>
  </si>
  <si>
    <t xml:space="preserve">Natural 01 remains Critical Miss.</t>
  </si>
  <si>
    <t xml:space="preserve">direct_fire_maximum_chance</t>
  </si>
  <si>
    <t xml:space="preserve">Direct-Fire Maximum Chance</t>
  </si>
  <si>
    <t xml:space="preserve">Preserves a bounded chance under extreme bonuses.</t>
  </si>
  <si>
    <t xml:space="preserve">Natural 100 remains Critical Hit.</t>
  </si>
  <si>
    <t xml:space="preserve">targeting_degraded_bonus</t>
  </si>
  <si>
    <t xml:space="preserve">Degraded Targeting Computer Bonus</t>
  </si>
  <si>
    <t xml:space="preserve">Halves the Operational +10 bonus without disabling local weapon targeting.</t>
  </si>
  <si>
    <t xml:space="preserve">Disabled and Destroyed computer bonuses are zero.</t>
  </si>
  <si>
    <t xml:space="preserve">target_evasive_penalty</t>
  </si>
  <si>
    <t xml:space="preserve">Target Evasive Maneuver Penalty</t>
  </si>
  <si>
    <t xml:space="preserve">TL1 EvM</t>
  </si>
  <si>
    <t xml:space="preserve">Makes EvM a visible defense.</t>
  </si>
  <si>
    <t xml:space="preserve">Applied to eligible direct-fire attacks against the evasive target.</t>
  </si>
  <si>
    <t xml:space="preserve">shooter_evasive_penalty</t>
  </si>
  <si>
    <t xml:space="preserve">Shooter Evasive Maneuver Penalty</t>
  </si>
  <si>
    <t xml:space="preserve">EvM provides a stronger defensive incentive while retaining a modest own-fire tradeoff.</t>
  </si>
  <si>
    <t xml:space="preserve">Applied to the evasive ship own direct fire; TL1 has no compensation.</t>
  </si>
  <si>
    <t xml:space="preserve">immobile_target_accuracy_bonus</t>
  </si>
  <si>
    <t xml:space="preserve">Immobile Target Accuracy Bonus</t>
  </si>
  <si>
    <t xml:space="preserve">Direct fire and terminal missile attacks against Disabled or Destroyed STL</t>
  </si>
  <si>
    <t xml:space="preserve">Loss of meaningful STL movement makes a ship easier to hit without affecting PDS interception.</t>
  </si>
  <si>
    <t xml:space="preserve">Begins from the following turn snapshot; no retroactive same-turn bonus.</t>
  </si>
  <si>
    <t xml:space="preserve">critical_miss_roll</t>
  </si>
  <si>
    <t xml:space="preserve">Natural Critical Miss Roll</t>
  </si>
  <si>
    <t xml:space="preserve">d100 result</t>
  </si>
  <si>
    <t xml:space="preserve">Simple fixed critical boundary.</t>
  </si>
  <si>
    <t xml:space="preserve">Critical effects beyond miss are deferred.</t>
  </si>
  <si>
    <t xml:space="preserve">critical_hit_roll</t>
  </si>
  <si>
    <t xml:space="preserve">Natural Critical Hit Roll</t>
  </si>
  <si>
    <t xml:space="preserve">Critical damage effects are deferred; outcome is tagged now.</t>
  </si>
  <si>
    <t xml:space="preserve">TL1 Core Combat Loadouts v0.2</t>
  </si>
  <si>
    <t xml:space="preserve">Kinetic fire costs 1 TP; Missile launch remains 0 TP; early Auxiliary comparison adds only 1 TP.</t>
  </si>
  <si>
    <t xml:space="preserve">loadout_id</t>
  </si>
  <si>
    <t xml:space="preserve">name</t>
  </si>
  <si>
    <t xml:space="preserve">base_chassis</t>
  </si>
  <si>
    <t xml:space="preserve">weapon</t>
  </si>
  <si>
    <t xml:space="preserve">optional_systems</t>
  </si>
  <si>
    <t xml:space="preserve">weapon_mode</t>
  </si>
  <si>
    <t xml:space="preserve">starting_ammo</t>
  </si>
  <si>
    <t xml:space="preserve">starting_power</t>
  </si>
  <si>
    <t xml:space="preserve">doctrine</t>
  </si>
  <si>
    <t xml:space="preserve">purpose</t>
  </si>
  <si>
    <t xml:space="preserve">tl1_core_kinetic</t>
  </si>
  <si>
    <t xml:space="preserve">TL1 Core Kinetic Cruiser</t>
  </si>
  <si>
    <t xml:space="preserve">tl1_standard_test_cruiser</t>
  </si>
  <si>
    <t xml:space="preserve">tl1_kinetic_cannon</t>
  </si>
  <si>
    <t xml:space="preserve">none</t>
  </si>
  <si>
    <t xml:space="preserve">standard 1 TP</t>
  </si>
  <si>
    <t xml:space="preserve">100 total: 1 Ready + 99 reserve Kinetic Packages</t>
  </si>
  <si>
    <t xml:space="preserve">5 TP</t>
  </si>
  <si>
    <t xml:space="preserve">core_doctrine_v0_1</t>
  </si>
  <si>
    <t xml:space="preserve">Core kinetic mirror and cross-family baseline; firing spends 1 TP for internal systems</t>
  </si>
  <si>
    <t xml:space="preserve">tl1_core_energy</t>
  </si>
  <si>
    <t xml:space="preserve">TL1 Core Energy Cruiser</t>
  </si>
  <si>
    <t xml:space="preserve">tl1_energy_cannon</t>
  </si>
  <si>
    <t xml:space="preserve">standard 2 TP</t>
  </si>
  <si>
    <t xml:space="preserve">unlimited</t>
  </si>
  <si>
    <t xml:space="preserve">Core energy mirror and cross-family baseline</t>
  </si>
  <si>
    <t xml:space="preserve">tl1_core_missile</t>
  </si>
  <si>
    <t xml:space="preserve">TL1 Core Missile Cruiser</t>
  </si>
  <si>
    <t xml:space="preserve">tl1_missile_launcher</t>
  </si>
  <si>
    <t xml:space="preserve">one TL1 Missile Flight / 0 TP launch</t>
  </si>
  <si>
    <t xml:space="preserve">25 total: 1 Ready + 24 reserve Missile Flights</t>
  </si>
  <si>
    <t xml:space="preserve">Core missile mirror and cross-family baseline</t>
  </si>
  <si>
    <t xml:space="preserve">tl1_kinetic_pds</t>
  </si>
  <si>
    <t xml:space="preserve">TL1 Kinetic PDS Fixture</t>
  </si>
  <si>
    <t xml:space="preserve">scenario-selected</t>
  </si>
  <si>
    <t xml:space="preserve">Kinetic PDS</t>
  </si>
  <si>
    <t xml:space="preserve">standard</t>
  </si>
  <si>
    <t xml:space="preserve">50 total: 1 Ready + 49 reserve PDS packages, plus weapon ammo</t>
  </si>
  <si>
    <t xml:space="preserve">core_plus_pds_v0_1</t>
  </si>
  <si>
    <t xml:space="preserve">PDS relevance and opportunity-cost tests</t>
  </si>
  <si>
    <t xml:space="preserve">tl1_amm_pds</t>
  </si>
  <si>
    <t xml:space="preserve">TL1 AMM Fixture</t>
  </si>
  <si>
    <t xml:space="preserve">AMM PDS</t>
  </si>
  <si>
    <t xml:space="preserve">25 total: 1 Ready + 24 reserve AMMs, plus weapon ammo</t>
  </si>
  <si>
    <t xml:space="preserve">Higher-reliability finite PDS test</t>
  </si>
  <si>
    <t xml:space="preserve">tl1_energy_pds</t>
  </si>
  <si>
    <t xml:space="preserve">TL1 Energy PDS Fixture</t>
  </si>
  <si>
    <t xml:space="preserve">Energy PDS</t>
  </si>
  <si>
    <t xml:space="preserve">weapon ammo only</t>
  </si>
  <si>
    <t xml:space="preserve">Higher-power ammunition-independent PDS test</t>
  </si>
  <si>
    <t xml:space="preserve">tl1_ecm</t>
  </si>
  <si>
    <t xml:space="preserve">TL1 ECM Fixture</t>
  </si>
  <si>
    <t xml:space="preserve">ECM max1</t>
  </si>
  <si>
    <t xml:space="preserve">weapon dependent</t>
  </si>
  <si>
    <t xml:space="preserve">core_plus_ew_v0_1</t>
  </si>
  <si>
    <t xml:space="preserve">ECM relevance and activation-timing tests</t>
  </si>
  <si>
    <t xml:space="preserve">tl1_eccm</t>
  </si>
  <si>
    <t xml:space="preserve">TL1 ECCM Fixture</t>
  </si>
  <si>
    <t xml:space="preserve">ECCM max1</t>
  </si>
  <si>
    <t xml:space="preserve">Counter-jamming tests</t>
  </si>
  <si>
    <t xml:space="preserve">tl1_shield_hardener</t>
  </si>
  <si>
    <t xml:space="preserve">TL1 Shield Hardener Fixture</t>
  </si>
  <si>
    <t xml:space="preserve">Shield Hardener SA1</t>
  </si>
  <si>
    <t xml:space="preserve">core_plus_defense_v0_1</t>
  </si>
  <si>
    <t xml:space="preserve">SPEN matchup tests</t>
  </si>
  <si>
    <t xml:space="preserve">tl1_combat_battery</t>
  </si>
  <si>
    <t xml:space="preserve">TL1 Combat Battery Fixture</t>
  </si>
  <si>
    <t xml:space="preserve">Combat Battery 3x2 TP</t>
  </si>
  <si>
    <t xml:space="preserve">5 TP plus battery</t>
  </si>
  <si>
    <t xml:space="preserve">core_plus_power_v0_1</t>
  </si>
  <si>
    <t xml:space="preserve">Finite emergency power tests</t>
  </si>
  <si>
    <t xml:space="preserve">tl1_capacitor</t>
  </si>
  <si>
    <t xml:space="preserve">TL1 Capacitor Fixture</t>
  </si>
  <si>
    <t xml:space="preserve">Capacitor 3 capacity</t>
  </si>
  <si>
    <t xml:space="preserve">Planned inter-turn storage tests</t>
  </si>
  <si>
    <t xml:space="preserve">tl1_aux_reactor</t>
  </si>
  <si>
    <t xml:space="preserve">TL1 Auxiliary Reactor Fixture</t>
  </si>
  <si>
    <t xml:space="preserve">Auxiliary Reactor +1 TP</t>
  </si>
  <si>
    <t xml:space="preserve">6 TP</t>
  </si>
  <si>
    <t xml:space="preserve">Early auxiliary-output threshold comparison; not normal TL1-hull equipment</t>
  </si>
  <si>
    <t xml:space="preserve">tl1_tractor</t>
  </si>
  <si>
    <t xml:space="preserve">TL1 Tractor Fixture</t>
  </si>
  <si>
    <t xml:space="preserve">Tractor max3 (legacy fixture; recalibration required under production Move1)</t>
  </si>
  <si>
    <t xml:space="preserve">tractor_test_v0_1</t>
  </si>
  <si>
    <t xml:space="preserve">Historical tractor controls only; recalibrate normal, overload, and combined thresholds against ship Move = Drive TL</t>
  </si>
  <si>
    <t xml:space="preserve">TL1 Core Combat Test Matrix v0.3</t>
  </si>
  <si>
    <t xml:space="preserve">62 staged specifications. Checkpoint 39 adds TL-scaled movement and overload service coverage while marking inherited tractor values for recalibration.</t>
  </si>
  <si>
    <t xml:space="preserve">scenario_id</t>
  </si>
  <si>
    <t xml:space="preserve">phase</t>
  </si>
  <si>
    <t xml:space="preserve">baseline_version</t>
  </si>
  <si>
    <t xml:space="preserve">side_a_fixture</t>
  </si>
  <si>
    <t xml:space="preserve">side_b_fixture</t>
  </si>
  <si>
    <t xml:space="preserve">starting_range_hexes</t>
  </si>
  <si>
    <t xml:space="preserve">starting_tracks</t>
  </si>
  <si>
    <t xml:space="preserve">changed_variable</t>
  </si>
  <si>
    <t xml:space="preserve">relevance_context</t>
  </si>
  <si>
    <t xml:space="preserve">trial_mode</t>
  </si>
  <si>
    <t xml:space="preserve">minimum_trials</t>
  </si>
  <si>
    <t xml:space="preserve">primary_metrics</t>
  </si>
  <si>
    <t xml:space="preserve">acceptance_question</t>
  </si>
  <si>
    <t xml:space="preserve">implementation_status</t>
  </si>
  <si>
    <t xml:space="preserve">runtime_scenario_file</t>
  </si>
  <si>
    <t xml:space="preserve">runtime_case_count</t>
  </si>
  <si>
    <t xml:space="preserve">TL1-A01</t>
  </si>
  <si>
    <t xml:space="preserve">A Mechanics</t>
  </si>
  <si>
    <t xml:space="preserve">Shield bypass and capacity</t>
  </si>
  <si>
    <t xml:space="preserve">TL1 Core Combat v0.1</t>
  </si>
  <si>
    <t xml:space="preserve">packet_fixture</t>
  </si>
  <si>
    <t xml:space="preserve">Firm</t>
  </si>
  <si>
    <t xml:space="preserve">fixed packet</t>
  </si>
  <si>
    <t xml:space="preserve">DAM/SPEN/SA</t>
  </si>
  <si>
    <t xml:space="preserve">relevant</t>
  </si>
  <si>
    <t xml:space="preserve">deterministic</t>
  </si>
  <si>
    <t xml:space="preserve">shield bypass; SA reduction; capacity loss; overflow</t>
  </si>
  <si>
    <t xml:space="preserve">Does one packet preserve DAM and apply SPEN then SA then capacity exactly once?</t>
  </si>
  <si>
    <t xml:space="preserve">implemented_checkpoint_25</t>
  </si>
  <si>
    <t xml:space="preserve">src/StarCluster.ScenarioRunner/Scenarios/TL1PhaseA/tl1-a01-shield-bypass-capacity.json</t>
  </si>
  <si>
    <t xml:space="preserve">TL1-A02</t>
  </si>
  <si>
    <t xml:space="preserve">Armor AI and AP sequence</t>
  </si>
  <si>
    <t xml:space="preserve">DAM/APEN/AP/AI</t>
  </si>
  <si>
    <t xml:space="preserve">AI loss; AP loss; Hull overflow</t>
  </si>
  <si>
    <t xml:space="preserve">Does armor resolve once per layer without AP recalculation inside the packet?</t>
  </si>
  <si>
    <t xml:space="preserve">src/StarCluster.ScenarioRunner/Scenarios/TL1PhaseA/tl1-a02-armor-ai-ap-sequence.json</t>
  </si>
  <si>
    <t xml:space="preserve">TL1-A03</t>
  </si>
  <si>
    <t xml:space="preserve">Turn-start shield recharge</t>
  </si>
  <si>
    <t xml:space="preserve">fixed state</t>
  </si>
  <si>
    <t xml:space="preserve">Base and Tactical recharge</t>
  </si>
  <si>
    <t xml:space="preserve">shield restored; TP Spent; available TP</t>
  </si>
  <si>
    <t xml:space="preserve">Is recharge applied before movement and is its power unavailable for the rest of the turn?</t>
  </si>
  <si>
    <t xml:space="preserve">src/StarCluster.ScenarioRunner/Scenarios/TL1PhaseA/tl1-a03-turn-start-shield-recharge.json</t>
  </si>
  <si>
    <t xml:space="preserve">TL1-A04</t>
  </si>
  <si>
    <t xml:space="preserve">One-way power state</t>
  </si>
  <si>
    <t xml:space="preserve">power_fixture</t>
  </si>
  <si>
    <t xml:space="preserve">boundary script</t>
  </si>
  <si>
    <t xml:space="preserve">Available to Powered/Spent</t>
  </si>
  <si>
    <t xml:space="preserve">power ledger by boundary</t>
  </si>
  <si>
    <t xml:space="preserve">Can power flow only from Available to Powered, earmarked, or Spent during the turn?</t>
  </si>
  <si>
    <t xml:space="preserve">src/StarCluster.ScenarioRunner/Scenarios/TL1PhaseA/tl1-a04-one-way-power-state.json</t>
  </si>
  <si>
    <t xml:space="preserve">TL1-A05</t>
  </si>
  <si>
    <t xml:space="preserve">Powered shutdown lock</t>
  </si>
  <si>
    <t xml:space="preserve">ecm_fixture</t>
  </si>
  <si>
    <t xml:space="preserve">sensor_fixture</t>
  </si>
  <si>
    <t xml:space="preserve">voluntary shutdown</t>
  </si>
  <si>
    <t xml:space="preserve">effect end; locked TP; reactivation flag</t>
  </si>
  <si>
    <t xml:space="preserve">Does shutdown end the effect without returning power or allowing same-turn restart?</t>
  </si>
  <si>
    <t xml:space="preserve">src/StarCluster.ScenarioRunner/Scenarios/TL1PhaseA/tl1-a05-powered-shutdown-lock.json</t>
  </si>
  <si>
    <t xml:space="preserve">TL1-A06</t>
  </si>
  <si>
    <t xml:space="preserve">Held interception earmark unused</t>
  </si>
  <si>
    <t xml:space="preserve">energy_hold_fixture</t>
  </si>
  <si>
    <t xml:space="preserve">missile_absent_fixture</t>
  </si>
  <si>
    <t xml:space="preserve">held fire</t>
  </si>
  <si>
    <t xml:space="preserve">conditional reservation</t>
  </si>
  <si>
    <t xml:space="preserve">irrelevant</t>
  </si>
  <si>
    <t xml:space="preserve">earmarked TP; attack opportunity; released earmark</t>
  </si>
  <si>
    <t xml:space="preserve">Does unused held power release cleanly while the reserved offensive cycle remains lost, including the 1-TP Kinetic earmark?</t>
  </si>
  <si>
    <t xml:space="preserve">implemented_checkpoint_33</t>
  </si>
  <si>
    <t xml:space="preserve">src/StarCluster.ScenarioRunner/Scenarios/TL1PhaseA/tl1-a06-held-interception-unused.json</t>
  </si>
  <si>
    <t xml:space="preserve">TL1-A07</t>
  </si>
  <si>
    <t xml:space="preserve">Held interception fires</t>
  </si>
  <si>
    <t xml:space="preserve">TP Spent; weapon cycle; interception result</t>
  </si>
  <si>
    <t xml:space="preserve">Does Held Main resolve before PDS, spend its normal resources when triggered, and preserve PDS ammunition on success?</t>
  </si>
  <si>
    <t xml:space="preserve">src/StarCluster.ScenarioRunner/Scenarios/TL1PhaseA/tl1-a07-held-interception-fires.json</t>
  </si>
  <si>
    <t xml:space="preserve">TL1-A08</t>
  </si>
  <si>
    <t xml:space="preserve">Mid-turn reactor degradation</t>
  </si>
  <si>
    <t xml:space="preserve">damage_fixture</t>
  </si>
  <si>
    <t xml:space="preserve">fixed damage</t>
  </si>
  <si>
    <t xml:space="preserve">Turn Power Envelope</t>
  </si>
  <si>
    <t xml:space="preserve">current-turn TP; next-turn output</t>
  </si>
  <si>
    <t xml:space="preserve">Does mid-turn reactor damage leave current distributed power unchanged and reduce the next refresh?</t>
  </si>
  <si>
    <t xml:space="preserve">src/StarCluster.ScenarioRunner/Scenarios/TL1PhaseA/tl1-a08-mid-turn-reactor-degradation.json</t>
  </si>
  <si>
    <t xml:space="preserve">TL1-A09</t>
  </si>
  <si>
    <t xml:space="preserve">Safe and forced overload</t>
  </si>
  <si>
    <t xml:space="preserve">reactor_fixture</t>
  </si>
  <si>
    <t xml:space="preserve">fixed rolls</t>
  </si>
  <si>
    <t xml:space="preserve">Strain threshold</t>
  </si>
  <si>
    <t xml:space="preserve">benefit; Strain; roll timing; condition</t>
  </si>
  <si>
    <t xml:space="preserve">Do safe overloads auto-succeed and forced overloads roll before benefit?</t>
  </si>
  <si>
    <t xml:space="preserve">src/StarCluster.ScenarioRunner/Scenarios/TL1PhaseA/tl1-a09-safe-and-forced-overload.json</t>
  </si>
  <si>
    <t xml:space="preserve">TL1-A10</t>
  </si>
  <si>
    <t xml:space="preserve">Turn and FTL resets</t>
  </si>
  <si>
    <t xml:space="preserve">state_fixture</t>
  </si>
  <si>
    <t xml:space="preserve">reset script</t>
  </si>
  <si>
    <t xml:space="preserve">temporary versus persistent state</t>
  </si>
  <si>
    <t xml:space="preserve">cleared states; retained damage/resources</t>
  </si>
  <si>
    <t xml:space="preserve">Are Turn Refresh and FTL the only universal resets and do neither heal or replenish?</t>
  </si>
  <si>
    <t xml:space="preserve">src/StarCluster.ScenarioRunner/Scenarios/TL1PhaseA/tl1-a10-turn-and-ftl-resets.json</t>
  </si>
  <si>
    <t xml:space="preserve">TL1-A11</t>
  </si>
  <si>
    <t xml:space="preserve">Weapon resource packets</t>
  </si>
  <si>
    <t xml:space="preserve">weapon_packet_fixture</t>
  </si>
  <si>
    <t xml:space="preserve">forced hit/miss</t>
  </si>
  <si>
    <t xml:space="preserve">weapon family and output mode</t>
  </si>
  <si>
    <t xml:space="preserve">TP spent; ammo spent; packet identity; layer result</t>
  </si>
  <si>
    <t xml:space="preserve">Do Kinetic fire (1 TP), Energy modes, and zero-TP Missile launch spend the correct power and ammunition packets?</t>
  </si>
  <si>
    <t xml:space="preserve">src/StarCluster.ScenarioRunner/Scenarios/TL1PhaseA/tl1-a11-weapon-resource-packets.json</t>
  </si>
  <si>
    <t xml:space="preserve">TL1-A12</t>
  </si>
  <si>
    <t xml:space="preserve">Charging, retention, and FTL reset</t>
  </si>
  <si>
    <t xml:space="preserve">charged_weapon_fixture</t>
  </si>
  <si>
    <t xml:space="preserve">state script</t>
  </si>
  <si>
    <t xml:space="preserve">charge and retention lifecycle</t>
  </si>
  <si>
    <t xml:space="preserve">charge progress; Ready state; upkeep TP; safe discharge</t>
  </si>
  <si>
    <t xml:space="preserve">Do one-per-turn consecutive charging payments, missed-turn reset, Ready-state upkeep, non-retaining automatic discharge, firing, disablement, and FTL transition preserve the accepted lifecycle without free power reuse?</t>
  </si>
  <si>
    <t xml:space="preserve">src/StarCluster.ScenarioRunner/Scenarios/TL1PhaseA/tl1-a12-charging-retention-ftl.json</t>
  </si>
  <si>
    <t xml:space="preserve">TL1-B01</t>
  </si>
  <si>
    <t xml:space="preserve">B Core duels</t>
  </si>
  <si>
    <t xml:space="preserve">Kinetic mirror</t>
  </si>
  <si>
    <t xml:space="preserve">Fixed Firm</t>
  </si>
  <si>
    <t xml:space="preserve">weapon family only</t>
  </si>
  <si>
    <t xml:space="preserve">ordinary</t>
  </si>
  <si>
    <t xml:space="preserve">paired Monte Carlo</t>
  </si>
  <si>
    <t xml:space="preserve">win; turns; layer timing; TP; ammo; damage</t>
  </si>
  <si>
    <t xml:space="preserve">Does the weapon show a coherent identity without an obvious universal winner?</t>
  </si>
  <si>
    <t xml:space="preserve">specification_only</t>
  </si>
  <si>
    <t xml:space="preserve">TL1-B02</t>
  </si>
  <si>
    <t xml:space="preserve">Energy mirror</t>
  </si>
  <si>
    <t xml:space="preserve">TL1-B03</t>
  </si>
  <si>
    <t xml:space="preserve">Missile mirror</t>
  </si>
  <si>
    <t xml:space="preserve">TL1-B04</t>
  </si>
  <si>
    <t xml:space="preserve">Kinetic versus Energy</t>
  </si>
  <si>
    <t xml:space="preserve">TL1-B05</t>
  </si>
  <si>
    <t xml:space="preserve">Energy versus Kinetic</t>
  </si>
  <si>
    <t xml:space="preserve">TL1-B06</t>
  </si>
  <si>
    <t xml:space="preserve">Kinetic versus Missile</t>
  </si>
  <si>
    <t xml:space="preserve">TL1-B07</t>
  </si>
  <si>
    <t xml:space="preserve">Missile versus Kinetic</t>
  </si>
  <si>
    <t xml:space="preserve">TL1-B08</t>
  </si>
  <si>
    <t xml:space="preserve">Energy versus Missile</t>
  </si>
  <si>
    <t xml:space="preserve">TL1-B09</t>
  </si>
  <si>
    <t xml:space="preserve">Missile versus Energy</t>
  </si>
  <si>
    <t xml:space="preserve">TL1-C01</t>
  </si>
  <si>
    <t xml:space="preserve">C PDS</t>
  </si>
  <si>
    <t xml:space="preserve">Kinetic PDS with no missile threat</t>
  </si>
  <si>
    <t xml:space="preserve">win; Powered TP; unused reactions</t>
  </si>
  <si>
    <t xml:space="preserve">Is the opportunity cost visible when no missile exists?</t>
  </si>
  <si>
    <t xml:space="preserve">implemented_checkpoint_30</t>
  </si>
  <si>
    <t xml:space="preserve">src/StarCluster.ScenarioRunner/Scenarios/TL1Calibration/tl1-pds01-interception-study.json</t>
  </si>
  <si>
    <t xml:space="preserve">TL1-C02</t>
  </si>
  <si>
    <t xml:space="preserve">Kinetic PDS versus ordinary missiles</t>
  </si>
  <si>
    <t xml:space="preserve">interceptions; effective hits; TP; win</t>
  </si>
  <si>
    <t xml:space="preserve">Does basic PDS materially help without erasing missiles?</t>
  </si>
  <si>
    <t xml:space="preserve">TL1-C03</t>
  </si>
  <si>
    <t xml:space="preserve">Kinetic PDS versus saturation</t>
  </si>
  <si>
    <t xml:space="preserve">missile_saturation_fixture</t>
  </si>
  <si>
    <t xml:space="preserve">threat count</t>
  </si>
  <si>
    <t xml:space="preserve">heavy</t>
  </si>
  <si>
    <t xml:space="preserve">attempt coverage; leaks; effective hits</t>
  </si>
  <si>
    <t xml:space="preserve">Can saturation penetrate a one-reaction PDS?</t>
  </si>
  <si>
    <t xml:space="preserve">TL1-C04</t>
  </si>
  <si>
    <t xml:space="preserve">AMM versus ordinary missiles</t>
  </si>
  <si>
    <t xml:space="preserve">PDS family</t>
  </si>
  <si>
    <t xml:space="preserve">interceptions; AMM use; win</t>
  </si>
  <si>
    <t xml:space="preserve">Is higher reliability worth scarce interceptor ammunition?</t>
  </si>
  <si>
    <t xml:space="preserve">TL1-C05</t>
  </si>
  <si>
    <t xml:space="preserve">AMM versus saturation</t>
  </si>
  <si>
    <t xml:space="preserve">interceptions; magazine depletion; leaks</t>
  </si>
  <si>
    <t xml:space="preserve">Does finite AMM supply remain a meaningful weakness?</t>
  </si>
  <si>
    <t xml:space="preserve">TL1-C06</t>
  </si>
  <si>
    <t xml:space="preserve">Energy PDS with no missile threat</t>
  </si>
  <si>
    <t xml:space="preserve">Powered TP; weapon output lost; win</t>
  </si>
  <si>
    <t xml:space="preserve">Is the two-TP cost painful when irrelevant?</t>
  </si>
  <si>
    <t xml:space="preserve">TL1-C07</t>
  </si>
  <si>
    <t xml:space="preserve">Energy PDS versus ordinary missiles</t>
  </si>
  <si>
    <t xml:space="preserve">interceptions; TP pressure; win</t>
  </si>
  <si>
    <t xml:space="preserve">Is ammunition independence worth the higher power cost?</t>
  </si>
  <si>
    <t xml:space="preserve">TL1-C08</t>
  </si>
  <si>
    <t xml:space="preserve">Held energy interception versus missiles</t>
  </si>
  <si>
    <t xml:space="preserve">held_interception_v0_1</t>
  </si>
  <si>
    <t xml:space="preserve">main-weapon hold</t>
  </si>
  <si>
    <t xml:space="preserve">interceptions; unused earmarks; lost offense</t>
  </si>
  <si>
    <t xml:space="preserve">Is held interception a viable alternative rather than a free extra attack?</t>
  </si>
  <si>
    <t xml:space="preserve">TL1-C09</t>
  </si>
  <si>
    <t xml:space="preserve">PDS plus held interception saturation</t>
  </si>
  <si>
    <t xml:space="preserve">pds_plus_hold_fixture</t>
  </si>
  <si>
    <t xml:space="preserve">layered_interception_v0_1</t>
  </si>
  <si>
    <t xml:space="preserve">defense combination</t>
  </si>
  <si>
    <t xml:space="preserve">window results; leaks; offense sacrificed</t>
  </si>
  <si>
    <t xml:space="preserve">Do layered defenses help without creating missile immunity?</t>
  </si>
  <si>
    <t xml:space="preserve">TL1-D01</t>
  </si>
  <si>
    <t xml:space="preserve">D EW</t>
  </si>
  <si>
    <t xml:space="preserve">ECM with no hostile fire-control need</t>
  </si>
  <si>
    <t xml:space="preserve">noncombat_observer_fixture</t>
  </si>
  <si>
    <t xml:space="preserve">Approximate</t>
  </si>
  <si>
    <t xml:space="preserve">TP cost; detection emission; track state</t>
  </si>
  <si>
    <t xml:space="preserve">Does ECM have a visible cost when precise hostile targeting is absent?</t>
  </si>
  <si>
    <t xml:space="preserve">TL1-D02</t>
  </si>
  <si>
    <t xml:space="preserve">ECM versus direct fire</t>
  </si>
  <si>
    <t xml:space="preserve">Firm loss; missed shots; TP; win</t>
  </si>
  <si>
    <t xml:space="preserve">Does ECM create meaningful targeting disruption?</t>
  </si>
  <si>
    <t xml:space="preserve">TL1-D03</t>
  </si>
  <si>
    <t xml:space="preserve">ECM overload versus strong observer</t>
  </si>
  <si>
    <t xml:space="preserve">ecm_overload_fixture</t>
  </si>
  <si>
    <t xml:space="preserve">strong_sensor_fixture</t>
  </si>
  <si>
    <t xml:space="preserve">ew_overload_v0_1</t>
  </si>
  <si>
    <t xml:space="preserve">overload rating</t>
  </si>
  <si>
    <t xml:space="preserve">track transitions; Strain; firing denial</t>
  </si>
  <si>
    <t xml:space="preserve">Does overload matter without becoming automatic lock-breaking?</t>
  </si>
  <si>
    <t xml:space="preserve">TL1-D04</t>
  </si>
  <si>
    <t xml:space="preserve">ECCM with no ECM</t>
  </si>
  <si>
    <t xml:space="preserve">TP cost; track quality</t>
  </si>
  <si>
    <t xml:space="preserve">Is ECCM appropriately useless against no jamming?</t>
  </si>
  <si>
    <t xml:space="preserve">TL1-D05</t>
  </si>
  <si>
    <t xml:space="preserve">ECCM versus ECM</t>
  </si>
  <si>
    <t xml:space="preserve">ECCM cancellation</t>
  </si>
  <si>
    <t xml:space="preserve">Firm recovery; TP; track transitions</t>
  </si>
  <si>
    <t xml:space="preserve">Does point-for-point counter-jamming work clearly?</t>
  </si>
  <si>
    <t xml:space="preserve">TL1-D06</t>
  </si>
  <si>
    <t xml:space="preserve">Simultaneous ECM and ECCM</t>
  </si>
  <si>
    <t xml:space="preserve">ecm_eccm_fixture</t>
  </si>
  <si>
    <t xml:space="preserve">simultaneous systems</t>
  </si>
  <si>
    <t xml:space="preserve">power pressure; tracks; shots</t>
  </si>
  <si>
    <t xml:space="preserve">Can both operate without special cross-interaction rules?</t>
  </si>
  <si>
    <t xml:space="preserve">TL1-D07</t>
  </si>
  <si>
    <t xml:space="preserve">Delayed ECM before Direct Fire</t>
  </si>
  <si>
    <t xml:space="preserve">delayed_ecm_fixture</t>
  </si>
  <si>
    <t xml:space="preserve">Firm after movement</t>
  </si>
  <si>
    <t xml:space="preserve">delayed_activation_v0_1</t>
  </si>
  <si>
    <t xml:space="preserve">activation timing</t>
  </si>
  <si>
    <t xml:space="preserve">deterministic plus Monte Carlo</t>
  </si>
  <si>
    <t xml:space="preserve">pre-fire refresh; earlier results retained</t>
  </si>
  <si>
    <t xml:space="preserve">Does delayed activation matter prospectively without retroactive changes?</t>
  </si>
  <si>
    <t xml:space="preserve">TL1-D08</t>
  </si>
  <si>
    <t xml:space="preserve">Active Sensor range overload</t>
  </si>
  <si>
    <t xml:space="preserve">active_sensor_fixture</t>
  </si>
  <si>
    <t xml:space="preserve">distant_contact_fixture</t>
  </si>
  <si>
    <t xml:space="preserve">Unknown</t>
  </si>
  <si>
    <t xml:space="preserve">sensor_range_v0_1</t>
  </si>
  <si>
    <t xml:space="preserve">range only</t>
  </si>
  <si>
    <t xml:space="preserve">detection; discrimination; Strain</t>
  </si>
  <si>
    <t xml:space="preserve">Does added power extend reach without improving intrinsic quality?</t>
  </si>
  <si>
    <t xml:space="preserve">TL1-E01</t>
  </si>
  <si>
    <t xml:space="preserve">E Power</t>
  </si>
  <si>
    <t xml:space="preserve">Combat Battery emergency shot</t>
  </si>
  <si>
    <t xml:space="preserve">battery_threshold_v0_1</t>
  </si>
  <si>
    <t xml:space="preserve">finite power</t>
  </si>
  <si>
    <t xml:space="preserve">discharges; TP used/lost; win</t>
  </si>
  <si>
    <t xml:space="preserve">Does one fixed discharge cross a meaningful action threshold?</t>
  </si>
  <si>
    <t xml:space="preserve">TL1-E02</t>
  </si>
  <si>
    <t xml:space="preserve">Combat Battery irrelevant reserve</t>
  </si>
  <si>
    <t xml:space="preserve">unused charges; installation opportunity cost</t>
  </si>
  <si>
    <t xml:space="preserve">Is the battery nonmandatory when extra power is not needed?</t>
  </si>
  <si>
    <t xml:space="preserve">TL1-E03</t>
  </si>
  <si>
    <t xml:space="preserve">Capacitor planned burst</t>
  </si>
  <si>
    <t xml:space="preserve">capacitor_plan_v0_1</t>
  </si>
  <si>
    <t xml:space="preserve">stored inter-turn power</t>
  </si>
  <si>
    <t xml:space="preserve">charge/discharge turns; burst actions</t>
  </si>
  <si>
    <t xml:space="preserve">Does planning create value distinct from a Combat Battery?</t>
  </si>
  <si>
    <t xml:space="preserve">TL1-E04</t>
  </si>
  <si>
    <t xml:space="preserve">Capacitor timing comparison</t>
  </si>
  <si>
    <t xml:space="preserve">capacitor_timing_v0_1</t>
  </si>
  <si>
    <t xml:space="preserve">charge window</t>
  </si>
  <si>
    <t xml:space="preserve">decision count; stored power; outcomes</t>
  </si>
  <si>
    <t xml:space="preserve">Should charging remain at both turn start and Damage Control or be narrowed?</t>
  </si>
  <si>
    <t xml:space="preserve">TL1-E05</t>
  </si>
  <si>
    <t xml:space="preserve">Auxiliary Reactor normal operation</t>
  </si>
  <si>
    <t xml:space="preserve">renewable output</t>
  </si>
  <si>
    <t xml:space="preserve">Powered systems; weapon output; win</t>
  </si>
  <si>
    <t xml:space="preserve">Is +1 renewable TP valuable without becoming automatic?</t>
  </si>
  <si>
    <t xml:space="preserve">src/StarCluster.ScenarioRunner/Scenarios/TL1Calibration/tl1-pe02-main-power-interception-correction-study.json</t>
  </si>
  <si>
    <t xml:space="preserve">TL1-E06</t>
  </si>
  <si>
    <t xml:space="preserve">Auxiliary Reactor after main loss</t>
  </si>
  <si>
    <t xml:space="preserve">reactor_damage_fixture</t>
  </si>
  <si>
    <t xml:space="preserve">reactor_redundancy_v0_1</t>
  </si>
  <si>
    <t xml:space="preserve">main reactor destroyed</t>
  </si>
  <si>
    <t xml:space="preserve">core operation; TP; survival</t>
  </si>
  <si>
    <t xml:space="preserve">Does the installed Auxiliary Reactor continue normally without a backup-bus tax?</t>
  </si>
  <si>
    <t xml:space="preserve">TL1-E07</t>
  </si>
  <si>
    <t xml:space="preserve">APU after main loss</t>
  </si>
  <si>
    <t xml:space="preserve">apu_fixture</t>
  </si>
  <si>
    <t xml:space="preserve">apu_redundancy_v0_1</t>
  </si>
  <si>
    <t xml:space="preserve">core systems; TP zero</t>
  </si>
  <si>
    <t xml:space="preserve">Does an APU preserve core operation but no flexible Tactical Power?</t>
  </si>
  <si>
    <t xml:space="preserve">TL1-E08</t>
  </si>
  <si>
    <t xml:space="preserve">Reactor overload threshold</t>
  </si>
  <si>
    <t xml:space="preserve">reactor_overload_fixture</t>
  </si>
  <si>
    <t xml:space="preserve">overload_threshold_v0_1</t>
  </si>
  <si>
    <t xml:space="preserve">+1 TP and Strain</t>
  </si>
  <si>
    <t xml:space="preserve">overload use; Strain; forced rolls</t>
  </si>
  <si>
    <t xml:space="preserve">Does overload solve occasional thresholds rather than define normal output?</t>
  </si>
  <si>
    <t xml:space="preserve">TL1-F01</t>
  </si>
  <si>
    <t xml:space="preserve">F Damage</t>
  </si>
  <si>
    <t xml:space="preserve">Crew casualty stage thresholds</t>
  </si>
  <si>
    <t xml:space="preserve">crew_damage_fixture</t>
  </si>
  <si>
    <t xml:space="preserve">n/a</t>
  </si>
  <si>
    <t xml:space="preserve">fixed casualty script</t>
  </si>
  <si>
    <t xml:space="preserve">Crew chunks</t>
  </si>
  <si>
    <t xml:space="preserve">stage; DC modifiers; total personnel</t>
  </si>
  <si>
    <t xml:space="preserve">Do 10/20/30-person chunks cross only three understandable stages?</t>
  </si>
  <si>
    <t xml:space="preserve">TL1-F02</t>
  </si>
  <si>
    <t xml:space="preserve">Reduced Crew Damage Control</t>
  </si>
  <si>
    <t xml:space="preserve">crew_reduced_fixture</t>
  </si>
  <si>
    <t xml:space="preserve">fixed repair</t>
  </si>
  <si>
    <t xml:space="preserve">Crew 21-50</t>
  </si>
  <si>
    <t xml:space="preserve">repair success; materials; recovery time</t>
  </si>
  <si>
    <t xml:space="preserve">Is the -10-point DC effect visible but not crippling?</t>
  </si>
  <si>
    <t xml:space="preserve">TL1-F03</t>
  </si>
  <si>
    <t xml:space="preserve">Critical Crew Damage Control</t>
  </si>
  <si>
    <t xml:space="preserve">crew_critical_fixture</t>
  </si>
  <si>
    <t xml:space="preserve">Crew 10-20</t>
  </si>
  <si>
    <t xml:space="preserve">DC capacity; repair success; survival</t>
  </si>
  <si>
    <t xml:space="preserve">Does Critical staffing create severe but understandable limits?</t>
  </si>
  <si>
    <t xml:space="preserve">TL1-F04</t>
  </si>
  <si>
    <t xml:space="preserve">Below minimum crew</t>
  </si>
  <si>
    <t xml:space="preserve">crew_below_min_fixture</t>
  </si>
  <si>
    <t xml:space="preserve">fixed operation audit</t>
  </si>
  <si>
    <t xml:space="preserve">Crew 0-9</t>
  </si>
  <si>
    <t xml:space="preserve">legal actions; core operation</t>
  </si>
  <si>
    <t xml:space="preserve">Are normal combat and Damage Control disabled while emergency core operation remains?</t>
  </si>
  <si>
    <t xml:space="preserve">TL1-F05</t>
  </si>
  <si>
    <t xml:space="preserve">Strain removal task</t>
  </si>
  <si>
    <t xml:space="preserve">strained_component_fixture</t>
  </si>
  <si>
    <t xml:space="preserve">fixed and random repair</t>
  </si>
  <si>
    <t xml:space="preserve">Damage Control versus Strain</t>
  </si>
  <si>
    <t xml:space="preserve">Strain removed; DC/material cost</t>
  </si>
  <si>
    <t xml:space="preserve">Does Strain repair compete meaningfully with damage repair?</t>
  </si>
  <si>
    <t xml:space="preserve">TL1-F06</t>
  </si>
  <si>
    <t xml:space="preserve">Armored Magazine ordinary protection</t>
  </si>
  <si>
    <t xml:space="preserve">armored_magazine_fixture</t>
  </si>
  <si>
    <t xml:space="preserve">magazine_hit_fixture</t>
  </si>
  <si>
    <t xml:space="preserve">magazine mitigation</t>
  </si>
  <si>
    <t xml:space="preserve">secondary explosion; Aux condition</t>
  </si>
  <si>
    <t xml:space="preserve">Does the Aux protection prevent or reduce only the listed hazards?</t>
  </si>
  <si>
    <t xml:space="preserve">TL1-F07</t>
  </si>
  <si>
    <t xml:space="preserve">Inert kinetic magazine hit</t>
  </si>
  <si>
    <t xml:space="preserve">inert_magazine_fixture</t>
  </si>
  <si>
    <t xml:space="preserve">Inert Ammunition</t>
  </si>
  <si>
    <t xml:space="preserve">secondary explosion</t>
  </si>
  <si>
    <t xml:space="preserve">Does inert railgun/mass-driver ammunition avoid an unjustified explosion?</t>
  </si>
  <si>
    <t xml:space="preserve">TL1-F08</t>
  </si>
  <si>
    <t xml:space="preserve">Charged weapon containment failure</t>
  </si>
  <si>
    <t xml:space="preserve">critical_damage_fixture</t>
  </si>
  <si>
    <t xml:space="preserve">Volatile Charge</t>
  </si>
  <si>
    <t xml:space="preserve">safe discharge; collateral damage</t>
  </si>
  <si>
    <t xml:space="preserve">Are catastrophic effects explicit and component-specific rather than universal?</t>
  </si>
  <si>
    <t xml:space="preserve">TL1-G01</t>
  </si>
  <si>
    <t xml:space="preserve">G Movement</t>
  </si>
  <si>
    <t xml:space="preserve">Evasive Maneuvering baseline</t>
  </si>
  <si>
    <t xml:space="preserve">evasive_fixture</t>
  </si>
  <si>
    <t xml:space="preserve">evasive_v0_1</t>
  </si>
  <si>
    <t xml:space="preserve">EvM</t>
  </si>
  <si>
    <t xml:space="preserve">fuel; TP; hit chance; own fire</t>
  </si>
  <si>
    <t xml:space="preserve">Does EvM trade offense and resources for defense without Strain?</t>
  </si>
  <si>
    <t xml:space="preserve">TL1-G02</t>
  </si>
  <si>
    <t xml:space="preserve">STL overload range control</t>
  </si>
  <si>
    <t xml:space="preserve">stl_overload_fixture</t>
  </si>
  <si>
    <t xml:space="preserve">range_control_v0_1</t>
  </si>
  <si>
    <t xml:space="preserve">+1 Move: TL1 ship Move1 to overloaded Move2</t>
  </si>
  <si>
    <t xml:space="preserve">distance; fuel; Strain; firing</t>
  </si>
  <si>
    <t xml:space="preserve">Does overload create one turn of emergency movement, spend power/fuel, and apply Strain/risk?</t>
  </si>
  <si>
    <t xml:space="preserve">implemented_core_service</t>
  </si>
  <si>
    <t xml:space="preserve">TL1-G03</t>
  </si>
  <si>
    <t xml:space="preserve">Partial tractor restraint</t>
  </si>
  <si>
    <t xml:space="preserve">tractor_v0_1</t>
  </si>
  <si>
    <t xml:space="preserve">Legacy Tractor3 versus production Move1</t>
  </si>
  <si>
    <t xml:space="preserve">remaining Move; acquisition; TP</t>
  </si>
  <si>
    <t xml:space="preserve">What normal tractor rating produces useful partial restraint under ship Move = Drive TL?</t>
  </si>
  <si>
    <t xml:space="preserve">TL1-G04</t>
  </si>
  <si>
    <t xml:space="preserve">Overloaded tractor hold</t>
  </si>
  <si>
    <t xml:space="preserve">tractor_overload_fixture</t>
  </si>
  <si>
    <t xml:space="preserve">Legacy Tractor4 overload versus production Move1</t>
  </si>
  <si>
    <t xml:space="preserve">hold; Strain; TP</t>
  </si>
  <si>
    <t xml:space="preserve">What overload increment creates a meaningful hold without trivializing TL1 movement?</t>
  </si>
  <si>
    <t xml:space="preserve">TL1-G05</t>
  </si>
  <si>
    <t xml:space="preserve">Excess tractor pull</t>
  </si>
  <si>
    <t xml:space="preserve">strong_tractor_fixture</t>
  </si>
  <si>
    <t xml:space="preserve">Legacy Tractor6 pull versus production Move1</t>
  </si>
  <si>
    <t xml:space="preserve">hold and pull distance</t>
  </si>
  <si>
    <t xml:space="preserve">What excess-power scale produces controlled pull under the new movement law?</t>
  </si>
  <si>
    <t xml:space="preserve">TL1-G06</t>
  </si>
  <si>
    <t xml:space="preserve">Multiple tractors hold only</t>
  </si>
  <si>
    <t xml:space="preserve">multiple_tractor_fixture</t>
  </si>
  <si>
    <t xml:space="preserve">Multiple legacy tractor sources versus production Move1</t>
  </si>
  <si>
    <t xml:space="preserve">net hold; no pull vector</t>
  </si>
  <si>
    <t xml:space="preserve">How should additive holds scale without arbitrary multi-vector repositioning?</t>
  </si>
  <si>
    <t xml:space="preserve">TL1-G07</t>
  </si>
  <si>
    <t xml:space="preserve">STL overload breaks hold</t>
  </si>
  <si>
    <t xml:space="preserve">tractor_counter_v0_1</t>
  </si>
  <si>
    <t xml:space="preserve">Overloaded Move2 versus tractor values requiring recalibration</t>
  </si>
  <si>
    <t xml:space="preserve">remaining Move; fuel; Strain</t>
  </si>
  <si>
    <t xml:space="preserve">Can emergency thrust contest a properly recalibrated TL1 tractor hold?</t>
  </si>
  <si>
    <t xml:space="preserve">TL1-G08</t>
  </si>
  <si>
    <t xml:space="preserve">Invalid tractor target classes</t>
  </si>
  <si>
    <t xml:space="preserve">stellar_body_fixture</t>
  </si>
  <si>
    <t xml:space="preserve">tractor_validation_v0_1</t>
  </si>
  <si>
    <t xml:space="preserve">target class</t>
  </si>
  <si>
    <t xml:space="preserve">eligibility rejection</t>
  </si>
  <si>
    <t xml:space="preserve">Are stars, planets, anomalies, and map features rejected before an attack roll?</t>
  </si>
  <si>
    <t xml:space="preserve">Checkpoint 25 TL1 Phase A Executable Corpus</t>
  </si>
  <si>
    <t xml:space="preserve">Baseline-driven JSON contracts. Expected JSON is a required subset so diagnostics may grow without weakening assertions.</t>
  </si>
  <si>
    <t xml:space="preserve">matrix_id</t>
  </si>
  <si>
    <t xml:space="preserve">scenario_document</t>
  </si>
  <si>
    <t xml:space="preserve">runtime_contract</t>
  </si>
  <si>
    <t xml:space="preserve">case_count</t>
  </si>
  <si>
    <t xml:space="preserve">operations</t>
  </si>
  <si>
    <t xml:space="preserve">tl1-a01-shield-bypass-capacity.json</t>
  </si>
  <si>
    <t xml:space="preserve">Shield bypass, Shield Armor, capacity, and overflow</t>
  </si>
  <si>
    <t xml:space="preserve">resolveDamage</t>
  </si>
  <si>
    <t xml:space="preserve">tl1-core-combat-v0.1</t>
  </si>
  <si>
    <t xml:space="preserve">Executable Checkpoint 25 contract</t>
  </si>
  <si>
    <t xml:space="preserve">tl1-a02-armor-ai-ap-sequence.json</t>
  </si>
  <si>
    <t xml:space="preserve">Armor Integrity, Armor Protection, and Hull overflow</t>
  </si>
  <si>
    <t xml:space="preserve">tl1-a03-turn-start-shield-recharge.json</t>
  </si>
  <si>
    <t xml:space="preserve">Turn-start Shield recharge and power spending</t>
  </si>
  <si>
    <t xml:space="preserve">turnStartRecharge</t>
  </si>
  <si>
    <t xml:space="preserve">tl1-a04-one-way-power-state.json</t>
  </si>
  <si>
    <t xml:space="preserve">Available, Powered, Spent, and earmarked Tactical Power</t>
  </si>
  <si>
    <t xml:space="preserve">powerScript</t>
  </si>
  <si>
    <t xml:space="preserve">tl1-a05-powered-shutdown-lock.json</t>
  </si>
  <si>
    <t xml:space="preserve">Powered-system shutdown and same-turn lock</t>
  </si>
  <si>
    <t xml:space="preserve">tl1-a06-held-interception-unused.json</t>
  </si>
  <si>
    <t xml:space="preserve">Unused held-interception earmarks</t>
  </si>
  <si>
    <t xml:space="preserve">heldInterception</t>
  </si>
  <si>
    <t xml:space="preserve">tl1-a07-held-interception-fires.json</t>
  </si>
  <si>
    <t xml:space="preserve">Triggered held-interception spending</t>
  </si>
  <si>
    <t xml:space="preserve">tl1-a08-mid-turn-reactor-degradation.json</t>
  </si>
  <si>
    <t xml:space="preserve">Turn Power Envelope under reactor damage</t>
  </si>
  <si>
    <t xml:space="preserve">reactorEnvelope</t>
  </si>
  <si>
    <t xml:space="preserve">tl1-a09-safe-and-forced-overload.json</t>
  </si>
  <si>
    <t xml:space="preserve">Safe and forced Reactor overload</t>
  </si>
  <si>
    <t xml:space="preserve">reactorOverload</t>
  </si>
  <si>
    <t xml:space="preserve">tl1-a10-turn-and-ftl-resets.json</t>
  </si>
  <si>
    <t xml:space="preserve">Turn Refresh and FTL transition resets</t>
  </si>
  <si>
    <t xml:space="preserve">resetState</t>
  </si>
  <si>
    <t xml:space="preserve">tl1-a11-weapon-resource-packets.json</t>
  </si>
  <si>
    <t xml:space="preserve">TL1 weapon resource packets and damage identities</t>
  </si>
  <si>
    <t xml:space="preserve">weaponFire</t>
  </si>
  <si>
    <t xml:space="preserve">tl1-a12-charging-retention-ftl.json</t>
  </si>
  <si>
    <t xml:space="preserve">Consecutive charging, Ready-state retention, non-retaining auto-discharge, safe discharge, and FTL reset</t>
  </si>
  <si>
    <t xml:space="preserve">chargedWeaponScript</t>
  </si>
  <si>
    <t xml:space="preserve">Component State and Profile Schema v0.2</t>
  </si>
  <si>
    <t xml:space="preserve">Shared core plus optional blocks; includes explicit Checkpoint 25 Core mappings and deferred runtime boundaries.</t>
  </si>
  <si>
    <t xml:space="preserve">group</t>
  </si>
  <si>
    <t xml:space="preserve">block</t>
  </si>
  <si>
    <t xml:space="preserve">contract</t>
  </si>
  <si>
    <t xml:space="preserve">State ownership</t>
  </si>
  <si>
    <t xml:space="preserve">Installed pristine</t>
  </si>
  <si>
    <t xml:space="preserve">IDs, TL, installation, pristine maximums, traits, requirements, and Strain Limit.</t>
  </si>
  <si>
    <t xml:space="preserve">Persistent current</t>
  </si>
  <si>
    <t xml:space="preserve">Condition, current integrity/capacity/resources, Strain, charge progress, Ready state, repair ceiling.</t>
  </si>
  <si>
    <t xml:space="preserve">Derived</t>
  </si>
  <si>
    <t xml:space="preserve">Effective output, ranges, profiles, installed maximums, Total Personnel, casualty stage, compatibility.</t>
  </si>
  <si>
    <t xml:space="preserve">Turn-local</t>
  </si>
  <si>
    <t xml:space="preserve">Available/Powered/Spent power, earmarks, overload flags, overcapacity, EvM, holds, tractors, shutdown flags.</t>
  </si>
  <si>
    <t xml:space="preserve">Precedence</t>
  </si>
  <si>
    <t xml:space="preserve">1-8</t>
  </si>
  <si>
    <t xml:space="preserve">Pristine -&gt; condition -&gt; permanent/Aux -&gt; Powered level -&gt; normal mode -&gt; overload -&gt; situational -&gt; caps.</t>
  </si>
  <si>
    <t xml:space="preserve">Common core</t>
  </si>
  <si>
    <t xml:space="preserve">Identity</t>
  </si>
  <si>
    <t xml:space="preserve">component_id, family, subtype, Item TL, location, capacity, compatibility, condition, repair difficulty.</t>
  </si>
  <si>
    <t xml:space="preserve">Optional profile</t>
  </si>
  <si>
    <t xml:space="preserve">Powered levels, Spent costs, opportunities, shutdown, reactivation, emergency restrictions.</t>
  </si>
  <si>
    <t xml:space="preserve">Accuracy, DAM/SPEN/APEN, range, output modes, ammo, charge, retention, interception, hazards.</t>
  </si>
  <si>
    <t xml:space="preserve">Shield, SA, recharge, collapse/recovery, armor, Powered Armor, repair ceilings.</t>
  </si>
  <si>
    <t xml:space="preserve">Sensors/EW</t>
  </si>
  <si>
    <t xml:space="preserve">Passive/active envelopes, overload range, ECM/ECCM, cloak restrictions.</t>
  </si>
  <si>
    <t xml:space="preserve">Local fire control, readiness, reactions, windows, ammo, compensation.</t>
  </si>
  <si>
    <t xml:space="preserve">Propulsion/tractor</t>
  </si>
  <si>
    <t xml:space="preserve">STL, fuel, EvM, overload, tractor acquisition, power, pull/hold, valid targets.</t>
  </si>
  <si>
    <t xml:space="preserve">Reactor/storage</t>
  </si>
  <si>
    <t xml:space="preserve">Output, Degraded/Emergency output, overload, battery and capacitor behavior.</t>
  </si>
  <si>
    <t xml:space="preserve">Crew/Marine capacities and current counts, minimum crew, stage, Total Personnel.</t>
  </si>
  <si>
    <t xml:space="preserve">Condition/repair</t>
  </si>
  <si>
    <t xml:space="preserve">Operational/Degraded/Disabled/Destroyed, pristine/current/ceiling, materials.</t>
  </si>
  <si>
    <t xml:space="preserve">Overload/Strain</t>
  </si>
  <si>
    <t xml:space="preserve">Modes, cost, benefit, duration, Strain, limit, forced roll, criticals.</t>
  </si>
  <si>
    <t xml:space="preserve">Hazards</t>
  </si>
  <si>
    <t xml:space="preserve">Volatile charge, explosive/inert ammo, safe discharge, armored/insensitive protection.</t>
  </si>
  <si>
    <t xml:space="preserve">Turn Refresh, FTL transition, persistent exceptions.</t>
  </si>
  <si>
    <t xml:space="preserve">KISS rule</t>
  </si>
  <si>
    <t xml:space="preserve">Prune</t>
  </si>
  <si>
    <t xml:space="preserve">Remove or defer fields that support no implemented rule, player consequence, validation, or save compatibility.</t>
  </si>
  <si>
    <t xml:space="preserve">Runtime mapping</t>
  </si>
  <si>
    <t xml:space="preserve">Component condition</t>
  </si>
  <si>
    <t xml:space="preserve">Core enum with Operational, Degraded, Disabled, and Destroyed states.</t>
  </si>
  <si>
    <t xml:space="preserve">Layered defense</t>
  </si>
  <si>
    <t xml:space="preserve">Core persistent Shield, armor layers, Hull, temporary overcapacity, and exact packet resolution.</t>
  </si>
  <si>
    <t xml:space="preserve">Shield recharge</t>
  </si>
  <si>
    <t xml:space="preserve">Core turn-start Base/Tactical recharge service with condition profiles and Spent power.</t>
  </si>
  <si>
    <t xml:space="preserve">Tactical Power</t>
  </si>
  <si>
    <t xml:space="preserve">Core Available/Powered/Spent ledger with earmarks, shutdown lock, and FTL clear.</t>
  </si>
  <si>
    <t xml:space="preserve">Reactor</t>
  </si>
  <si>
    <t xml:space="preserve">Core condition output, Turn-start output lookup, overload, Strain, criticals, and once-per-turn use.</t>
  </si>
  <si>
    <t xml:space="preserve">Weapons</t>
  </si>
  <si>
    <t xml:space="preserve">Core safe packet/resource profiles for kinetic, energy, and missile weapons.</t>
  </si>
  <si>
    <t xml:space="preserve">Charging</t>
  </si>
  <si>
    <t xml:space="preserve">Core charge progress, Ready state, retention, safe discharge, condition reset, and FTL reset.</t>
  </si>
  <si>
    <t xml:space="preserve">Deferred runtime</t>
  </si>
  <si>
    <t xml:space="preserve">Phase B</t>
  </si>
  <si>
    <t xml:space="preserve">Hit, initiative, endpoints, doctrine, paired Monte Carlo, and missile-flight compatibility remain next-pass work.</t>
  </si>
  <si>
    <t xml:space="preserve">Checkpoint 25 and Follow-On Plan</t>
  </si>
  <si>
    <t xml:space="preserve">Phase A deterministic mechanics are implemented; Phase B remains gated by exact Windows validation and unresolved duel contracts.</t>
  </si>
  <si>
    <t xml:space="preserve">order</t>
  </si>
  <si>
    <t xml:space="preserve">work_item</t>
  </si>
  <si>
    <t xml:space="preserve">deliverable</t>
  </si>
  <si>
    <t xml:space="preserve">gate</t>
  </si>
  <si>
    <t xml:space="preserve">Phase A deterministic mechanics - IMPLEMENTED</t>
  </si>
  <si>
    <t xml:space="preserve">Core layered damage, Shield recharge, Tactical Power, Reactor overload, safe weapon packets, consecutive charging, resets, and 54-case corpus.</t>
  </si>
  <si>
    <t xml:space="preserve">Checkpoint 25 validator: build, 562 tests, 7 legacy scenarios, 54 Phase A cases, and 46 self-tests.</t>
  </si>
  <si>
    <t xml:space="preserve">Phase B core duels - NEXT</t>
  </si>
  <si>
    <t xml:space="preserve">Define initiative, hit, endpoint, doctrine, event metrics, side swapping, and Missile Flight compatibility before Monte Carlo.</t>
  </si>
  <si>
    <t xml:space="preserve">Mirror symmetry and causal metrics verified.</t>
  </si>
  <si>
    <t xml:space="preserve">Phase C defensive systems</t>
  </si>
  <si>
    <t xml:space="preserve">Add kinetic PDS, AMM, energy PDS, Shield Hardener, and Shield Battery one at a time.</t>
  </si>
  <si>
    <t xml:space="preserve">Irrelevant/relevant/heavy threat space mapped.</t>
  </si>
  <si>
    <t xml:space="preserve">Phase D EW</t>
  </si>
  <si>
    <t xml:space="preserve">Add ECM, ECCM, simultaneous operation, delayed activation, and Active Sensor range.</t>
  </si>
  <si>
    <t xml:space="preserve">One prospective refresh; no power probing.</t>
  </si>
  <si>
    <t xml:space="preserve">Phase E power flexibility</t>
  </si>
  <si>
    <t xml:space="preserve">Extend power flexibility beyond the implemented Phase A Reactor overload: Combat Battery, Capacitor, Auxiliary Reactor, APU, and remaining subsystem overload modes.</t>
  </si>
  <si>
    <t xml:space="preserve">Distinct identities and opportunity costs.</t>
  </si>
  <si>
    <t xml:space="preserve">Phase F damage/personnel</t>
  </si>
  <si>
    <t xml:space="preserve">Add component conditions, Crew chunks/stages, Marines, DC, Strain removal, and hazards.</t>
  </si>
  <si>
    <t xml:space="preserve">No micromodifier or explosion-table bloat.</t>
  </si>
  <si>
    <t xml:space="preserve">Phase G movement</t>
  </si>
  <si>
    <t xml:space="preserve">Add range control, EvM, STL overload, tractor, held interception, pursuit, and retreat.</t>
  </si>
  <si>
    <t xml:space="preserve">Movement systems create choices without geometry micromanagement.</t>
  </si>
  <si>
    <t xml:space="preserve">Higher TL</t>
  </si>
  <si>
    <t xml:space="preserve">Only after TL1 is stable, define TL2-TL9 hybrid progression and mixed-TL stress cases.</t>
  </si>
  <si>
    <t xml:space="preserve">No dead levels, cliffs, or universal optimal path.</t>
  </si>
  <si>
    <t xml:space="preserve">Player TL 1-9 Standard Component Matrix</t>
  </si>
  <si>
    <t xml:space="preserve">Existing 99-component standard-family spine. The new TL1-9 Subfamilies sheet adds AUX and supporting lineages; all numerical values remain provisional unless separately accepted.</t>
  </si>
  <si>
    <t xml:space="preserve">tl</t>
  </si>
  <si>
    <t xml:space="preserve">era</t>
  </si>
  <si>
    <t xml:space="preserve">Standard Cruiser Hull</t>
  </si>
  <si>
    <t xml:space="preserve">Standard Armor</t>
  </si>
  <si>
    <t xml:space="preserve">Standard Shield Generator</t>
  </si>
  <si>
    <t xml:space="preserve">Standard Reactor</t>
  </si>
  <si>
    <t xml:space="preserve">Standard FTL Drive</t>
  </si>
  <si>
    <t xml:space="preserve">Standard Sublight Drive</t>
  </si>
  <si>
    <t xml:space="preserve">Standard Sensor and EW Suite</t>
  </si>
  <si>
    <t xml:space="preserve">Standard Command and Fire-Control Computer</t>
  </si>
  <si>
    <t xml:space="preserve">Standard Kinetic Battery</t>
  </si>
  <si>
    <t xml:space="preserve">Standard Beam Battery</t>
  </si>
  <si>
    <t xml:space="preserve">Standard Missile Flight</t>
  </si>
  <si>
    <t xml:space="preserve">First Practical</t>
  </si>
  <si>
    <t xml:space="preserve">Welded Pressure Hull</t>
  </si>
  <si>
    <t xml:space="preserve">Rolled Alloy Plating</t>
  </si>
  <si>
    <t xml:space="preserve">Magnetic Deflector Array</t>
  </si>
  <si>
    <t xml:space="preserve">Fission Reactor</t>
  </si>
  <si>
    <t xml:space="preserve">Prototype Fold Drive</t>
  </si>
  <si>
    <t xml:space="preserve">Nuclear Pulse Drive</t>
  </si>
  <si>
    <t xml:space="preserve">Radio-Optical Survey Suite</t>
  </si>
  <si>
    <t xml:space="preserve">Electronic Fire-Control Computer</t>
  </si>
  <si>
    <t xml:space="preserve">Caseless Autocannon</t>
  </si>
  <si>
    <t xml:space="preserve">Solid-State Laser Cannon</t>
  </si>
  <si>
    <t xml:space="preserve">Nuclear Missile Flight</t>
  </si>
  <si>
    <t xml:space="preserve">Mature Early</t>
  </si>
  <si>
    <t xml:space="preserve">Reinforced Spaceframe</t>
  </si>
  <si>
    <t xml:space="preserve">Ceramic Composite Plating</t>
  </si>
  <si>
    <t xml:space="preserve">Magnetoplasma Screen</t>
  </si>
  <si>
    <t xml:space="preserve">Fusion Reactor</t>
  </si>
  <si>
    <t xml:space="preserve">Stabilized Fold Drive</t>
  </si>
  <si>
    <t xml:space="preserve">Fusion Torch Drive</t>
  </si>
  <si>
    <t xml:space="preserve">Multispectral Sensor Suite</t>
  </si>
  <si>
    <t xml:space="preserve">Photonic Tactical Computer</t>
  </si>
  <si>
    <t xml:space="preserve">Coil Cannon</t>
  </si>
  <si>
    <t xml:space="preserve">Pulsed Laser Cannon</t>
  </si>
  <si>
    <t xml:space="preserve">Fusion Missile Flight</t>
  </si>
  <si>
    <t xml:space="preserve">Advanced Conventional</t>
  </si>
  <si>
    <t xml:space="preserve">Modular Truss Hull</t>
  </si>
  <si>
    <t xml:space="preserve">Titanium-Carbide Laminate</t>
  </si>
  <si>
    <t xml:space="preserve">Deflector Shield Array</t>
  </si>
  <si>
    <t xml:space="preserve">High-Flux Fusion Reactor</t>
  </si>
  <si>
    <t xml:space="preserve">Deep-Fold Drive</t>
  </si>
  <si>
    <t xml:space="preserve">Magnetoplasma Drive</t>
  </si>
  <si>
    <t xml:space="preserve">Phased-Aperture Sensor Suite</t>
  </si>
  <si>
    <t xml:space="preserve">Neural-Pattern Combat Computer</t>
  </si>
  <si>
    <t xml:space="preserve">Rail Cannon</t>
  </si>
  <si>
    <t xml:space="preserve">Free-Electron Laser</t>
  </si>
  <si>
    <t xml:space="preserve">Directed-Fusion Missile Flight</t>
  </si>
  <si>
    <t xml:space="preserve">Transitional Exotic</t>
  </si>
  <si>
    <t xml:space="preserve">Cellular Compartment Hull</t>
  </si>
  <si>
    <t xml:space="preserve">Nanobonded Armor</t>
  </si>
  <si>
    <t xml:space="preserve">Vector Shield Matrix</t>
  </si>
  <si>
    <t xml:space="preserve">Antimatter-Catalyzed Fusion Core</t>
  </si>
  <si>
    <t xml:space="preserve">Slipstream Drive</t>
  </si>
  <si>
    <t xml:space="preserve">Antimatter-Catalyzed Plasma Drive</t>
  </si>
  <si>
    <t xml:space="preserve">Neutrino Sensor Suite</t>
  </si>
  <si>
    <t xml:space="preserve">Quantum Fire-Control Core</t>
  </si>
  <si>
    <t xml:space="preserve">Hypervelocity Rail Cannon</t>
  </si>
  <si>
    <t xml:space="preserve">Ion Beam Cannon</t>
  </si>
  <si>
    <t xml:space="preserve">Antimatter-Catalyzed Missile Flight</t>
  </si>
  <si>
    <t xml:space="preserve">Interstellar Standard</t>
  </si>
  <si>
    <t xml:space="preserve">Integrated Monocoque Hull</t>
  </si>
  <si>
    <t xml:space="preserve">Diamondoid Composite Armor</t>
  </si>
  <si>
    <t xml:space="preserve">Phased Shield Matrix</t>
  </si>
  <si>
    <t xml:space="preserve">Antimatter Reactor</t>
  </si>
  <si>
    <t xml:space="preserve">Subspace Corridor Drive</t>
  </si>
  <si>
    <t xml:space="preserve">Antimatter Impulse Drive</t>
  </si>
  <si>
    <t xml:space="preserve">Gravitic Interferometer Suite</t>
  </si>
  <si>
    <t xml:space="preserve">Predictive Engagement Core</t>
  </si>
  <si>
    <t xml:space="preserve">Plasma-Armature Mass Driver</t>
  </si>
  <si>
    <t xml:space="preserve">Neutral Particle Beam</t>
  </si>
  <si>
    <t xml:space="preserve">Antimatter Missile Flight</t>
  </si>
  <si>
    <t xml:space="preserve">Exotic Engineering</t>
  </si>
  <si>
    <t xml:space="preserve">Distributed Loadframe</t>
  </si>
  <si>
    <t xml:space="preserve">Metamaterial Weave Armor</t>
  </si>
  <si>
    <t xml:space="preserve">Harmonic Barrier</t>
  </si>
  <si>
    <t xml:space="preserve">Direct-Conversion Antimatter Core</t>
  </si>
  <si>
    <t xml:space="preserve">Phase-Transit Drive</t>
  </si>
  <si>
    <t xml:space="preserve">Inertial-Compensated Drive</t>
  </si>
  <si>
    <t xml:space="preserve">Quantum Baseline Array</t>
  </si>
  <si>
    <t xml:space="preserve">Distributed Tactical Matrix</t>
  </si>
  <si>
    <t xml:space="preserve">Gravitic Mass Driver</t>
  </si>
  <si>
    <t xml:space="preserve">Gamma-Ray Laser</t>
  </si>
  <si>
    <t xml:space="preserve">Phase-Penetrator Missile Flight</t>
  </si>
  <si>
    <t xml:space="preserve">Advanced Exotic</t>
  </si>
  <si>
    <t xml:space="preserve">Metamaterial Stressframe</t>
  </si>
  <si>
    <t xml:space="preserve">Shape-Memory Lattice Armor</t>
  </si>
  <si>
    <t xml:space="preserve">Quantum Barrier Matrix</t>
  </si>
  <si>
    <t xml:space="preserve">Vacuum Flux Reactor</t>
  </si>
  <si>
    <t xml:space="preserve">Metric Translation Drive</t>
  </si>
  <si>
    <t xml:space="preserve">Gravitic Impulse Drive</t>
  </si>
  <si>
    <t xml:space="preserve">Subspace Resonance Array</t>
  </si>
  <si>
    <t xml:space="preserve">Entangled Command Matrix</t>
  </si>
  <si>
    <t xml:space="preserve">Inertial-Compensated Impactor</t>
  </si>
  <si>
    <t xml:space="preserve">Phased Particle Lance</t>
  </si>
  <si>
    <t xml:space="preserve">Gravitic Implosion Missile Flight</t>
  </si>
  <si>
    <t xml:space="preserve">Spacetime Engineering</t>
  </si>
  <si>
    <t xml:space="preserve">Adaptive Lattice Hull</t>
  </si>
  <si>
    <t xml:space="preserve">Ultradense Lattice Armor</t>
  </si>
  <si>
    <t xml:space="preserve">Metric Gradient Barrier</t>
  </si>
  <si>
    <t xml:space="preserve">Micro-Singularity Core</t>
  </si>
  <si>
    <t xml:space="preserve">Horizon Passage Drive</t>
  </si>
  <si>
    <t xml:space="preserve">Metric-Gradient Drive</t>
  </si>
  <si>
    <t xml:space="preserve">Metric Gradient Array</t>
  </si>
  <si>
    <t xml:space="preserve">Causal Analysis Core</t>
  </si>
  <si>
    <t xml:space="preserve">Relativistic Impactor Cannon</t>
  </si>
  <si>
    <t xml:space="preserve">Gravitic Shear Beam</t>
  </si>
  <si>
    <t xml:space="preserve">Quantum Rupture Missile Flight</t>
  </si>
  <si>
    <t xml:space="preserve">Player Pinnacle</t>
  </si>
  <si>
    <t xml:space="preserve">Programmable-Matter Hull</t>
  </si>
  <si>
    <t xml:space="preserve">Degenerate-Matter Laminate</t>
  </si>
  <si>
    <t xml:space="preserve">Continuum Shield Matrix</t>
  </si>
  <si>
    <t xml:space="preserve">Metric Conversion Core</t>
  </si>
  <si>
    <t xml:space="preserve">Continuum Passage Drive</t>
  </si>
  <si>
    <t xml:space="preserve">Inertialess Translation Drive</t>
  </si>
  <si>
    <t xml:space="preserve">Deep-Metric Sensor Matrix</t>
  </si>
  <si>
    <t xml:space="preserve">Strategic Cognition Matrix</t>
  </si>
  <si>
    <t xml:space="preserve">Metric Impactor</t>
  </si>
  <si>
    <t xml:space="preserve">Metric Disruption Lance</t>
  </si>
  <si>
    <t xml:space="preserve">Metric Collapse Missile Flight</t>
  </si>
  <si>
    <t xml:space="preserve">Standard Player Components</t>
  </si>
  <si>
    <t xml:space="preserve">99 named player components. Green text marks imported/source-linked fields; orange text marks review or provisional status. No structured Excel tables are used.</t>
  </si>
  <si>
    <t xml:space="preserve">technology_id</t>
  </si>
  <si>
    <t xml:space="preserve">technology_name</t>
  </si>
  <si>
    <t xml:space="preserve">component_family_id</t>
  </si>
  <si>
    <t xml:space="preserve">component_family_name</t>
  </si>
  <si>
    <t xml:space="preserve">component_id</t>
  </si>
  <si>
    <t xml:space="preserve">short_name</t>
  </si>
  <si>
    <t xml:space="preserve">progression_basis</t>
  </si>
  <si>
    <t xml:space="preserve">mechanical_promise</t>
  </si>
  <si>
    <t xml:space="preserve">candidate_capability_tags</t>
  </si>
  <si>
    <t xml:space="preserve">name_status</t>
  </si>
  <si>
    <t xml:space="preserve">mechanics_status</t>
  </si>
  <si>
    <t xml:space="preserve">review_flag</t>
  </si>
  <si>
    <t xml:space="preserve">confidence</t>
  </si>
  <si>
    <t xml:space="preserve">compatibility_profile_id</t>
  </si>
  <si>
    <t xml:space="preserve">required_capability_tags</t>
  </si>
  <si>
    <t xml:space="preserve">non_emulatable_capability_tags</t>
  </si>
  <si>
    <t xml:space="preserve">compatibility_override_status</t>
  </si>
  <si>
    <t xml:space="preserve">compatibility_notes</t>
  </si>
  <si>
    <t xml:space="preserve">reference_influence_ids</t>
  </si>
  <si>
    <t xml:space="preserve">originality_guardrail</t>
  </si>
  <si>
    <t xml:space="preserve">numeric_status</t>
  </si>
  <si>
    <t xml:space="preserve">framework_status</t>
  </si>
  <si>
    <t xml:space="preserve">hull</t>
  </si>
  <si>
    <t xml:space="preserve">1</t>
  </si>
  <si>
    <t xml:space="preserve">hull_standard_tl_01</t>
  </si>
  <si>
    <t xml:space="preserve">Pressure Hull</t>
  </si>
  <si>
    <t xml:space="preserve">structural architecture</t>
  </si>
  <si>
    <t xml:space="preserve">Baseline cruiser structure with 1 Weapon Bay, 1 Auxiliary Capacity, one shuttle berth, limited Hull Points, and minimal compartmentation.</t>
  </si>
  <si>
    <t xml:space="preserve">pressure_hull</t>
  </si>
  <si>
    <t xml:space="preserve">intentional_draft</t>
  </si>
  <si>
    <t xml:space="preserve">provisional</t>
  </si>
  <si>
    <t xml:space="preserve">high</t>
  </si>
  <si>
    <t xml:space="preserve">hull_foundation</t>
  </si>
  <si>
    <t xml:space="preserve">use_family_profile</t>
  </si>
  <si>
    <t xml:space="preserve">Per-item support floors and hard capability tags remain to be assigned during the numerical-mechanics pass.</t>
  </si>
  <si>
    <t xml:space="preserve">T4_BIG_HULLS; T4_STARSHIPS; GURPS_SPACE; STARFIRE_ULTRA_COMPLETE</t>
  </si>
  <si>
    <t xml:space="preserve">Original Star Cluster draft. References influence patterns only; do not copy proprietary names, exact ladders, tables, numerical progressions, or core mechanics.</t>
  </si>
  <si>
    <t xml:space="preserve">not_yet_assigned</t>
  </si>
  <si>
    <t xml:space="preserve">checkpoint_23_reference_mined_draft</t>
  </si>
  <si>
    <t xml:space="preserve">2</t>
  </si>
  <si>
    <t xml:space="preserve">hull_standard_tl_02</t>
  </si>
  <si>
    <t xml:space="preserve">Improved Hull Points and load tolerance while retaining 1 Weapon Bay and 1 Auxiliary Capacity; the cruiser-scale identity is unchanged.</t>
  </si>
  <si>
    <t xml:space="preserve">reinforced_structure</t>
  </si>
  <si>
    <t xml:space="preserve">3</t>
  </si>
  <si>
    <t xml:space="preserve">hull_standard_tl_03</t>
  </si>
  <si>
    <t xml:space="preserve">Modular Truss</t>
  </si>
  <si>
    <t xml:space="preserve">Major refit milestone: modular structure supports 2 Weapon Bays and 2 Auxiliary Capacity while improving installation access.</t>
  </si>
  <si>
    <t xml:space="preserve">modular_mounts</t>
  </si>
  <si>
    <t xml:space="preserve">Capacity milestone reviewed: 2 Weapon Bays / 2 AUX.</t>
  </si>
  <si>
    <t xml:space="preserve">4</t>
  </si>
  <si>
    <t xml:space="preserve">hull_standard_tl_04</t>
  </si>
  <si>
    <t xml:space="preserve">Cellular Hull</t>
  </si>
  <si>
    <t xml:space="preserve">compartmentation</t>
  </si>
  <si>
    <t xml:space="preserve">Better internal isolation, stores organization, and resistance to cascading internal exposure; installation capacity remains 2 Weapon Bays and 2 Auxiliary Capacity.</t>
  </si>
  <si>
    <t xml:space="preserve">cellular_compartmentation</t>
  </si>
  <si>
    <t xml:space="preserve">5</t>
  </si>
  <si>
    <t xml:space="preserve">hull_standard_tl_05</t>
  </si>
  <si>
    <t xml:space="preserve">Integrated Monocoque</t>
  </si>
  <si>
    <t xml:space="preserve">integrated architecture</t>
  </si>
  <si>
    <t xml:space="preserve">Higher structural efficiency and embedded power/data pathways support 3 Auxiliary Capacity while retaining 2 Weapon Bays.</t>
  </si>
  <si>
    <t xml:space="preserve">integrated_conduits</t>
  </si>
  <si>
    <t xml:space="preserve">Capacity milestone reviewed: 3 AUX.</t>
  </si>
  <si>
    <t xml:space="preserve">medium</t>
  </si>
  <si>
    <t xml:space="preserve">6</t>
  </si>
  <si>
    <t xml:space="preserve">hull_standard_tl_06</t>
  </si>
  <si>
    <t xml:space="preserve">load distribution</t>
  </si>
  <si>
    <t xml:space="preserve">Distributed load paths support the third Weapon Bay while retaining 3 Auxiliary Capacity and cruiser-scale handling.</t>
  </si>
  <si>
    <t xml:space="preserve">distributed_load_paths</t>
  </si>
  <si>
    <t xml:space="preserve">Capacity milestone reviewed: 3 Weapon Bays.</t>
  </si>
  <si>
    <t xml:space="preserve">7</t>
  </si>
  <si>
    <t xml:space="preserve">hull_standard_tl_07</t>
  </si>
  <si>
    <t xml:space="preserve">metamaterial structure</t>
  </si>
  <si>
    <t xml:space="preserve">Engineered stress routing reduces subsystem-failure penalties and improves damage-control access; capacity remains 3 Weapon Bays and 3 Auxiliary Capacity.</t>
  </si>
  <si>
    <t xml:space="preserve">metamaterial_structure</t>
  </si>
  <si>
    <t xml:space="preserve">8</t>
  </si>
  <si>
    <t xml:space="preserve">hull_standard_tl_08</t>
  </si>
  <si>
    <t xml:space="preserve">Adaptive Lattice</t>
  </si>
  <si>
    <t xml:space="preserve">adaptive structure</t>
  </si>
  <si>
    <t xml:space="preserve">High-end integration supports 4 Auxiliary Capacity and improved tolerance for adapted high-TL or alien components; exact second-shuttle timing remains deferred.</t>
  </si>
  <si>
    <t xml:space="preserve">adaptive_structure</t>
  </si>
  <si>
    <t xml:space="preserve">Capacity milestone reviewed: 4 AUX; exact second shuttle berth still deferred.</t>
  </si>
  <si>
    <t xml:space="preserve">Per-item support floors and hard capability tags remain to be assigned during the numerical-mechanics pass. Existing review: Define whether adaptation is passive or requires support electronics.</t>
  </si>
  <si>
    <t xml:space="preserve">9</t>
  </si>
  <si>
    <t xml:space="preserve">hull_standard_tl_09</t>
  </si>
  <si>
    <t xml:space="preserve">programmable matter</t>
  </si>
  <si>
    <t xml:space="preserve">Final major cruiser refit supports 4 Weapon Bays while retaining 4 Auxiliary Capacity; its separate TL9 structural capstone remains to be explicitly defined.</t>
  </si>
  <si>
    <t xml:space="preserve">programmable_matter</t>
  </si>
  <si>
    <t xml:space="preserve">Capacity milestone reviewed: 4 Weapon Bays; separate TL9 capstone still deferred.</t>
  </si>
  <si>
    <t xml:space="preserve">Per-item support floors and hard capability tags remain to be assigned during the numerical-mechanics pass. Existing review: Must receive a visible TL9 mechanic; name implies limited reconfiguration or reconstruction.</t>
  </si>
  <si>
    <t xml:space="preserve">armor</t>
  </si>
  <si>
    <t xml:space="preserve">Armor</t>
  </si>
  <si>
    <t xml:space="preserve">armor_standard_tl_01</t>
  </si>
  <si>
    <t xml:space="preserve">Alloy Plating</t>
  </si>
  <si>
    <t xml:space="preserve">material</t>
  </si>
  <si>
    <t xml:space="preserve">Baseline passive Armor Protection and Integrity; inexpensive and straightforward to repair.</t>
  </si>
  <si>
    <t xml:space="preserve">alloy_armor</t>
  </si>
  <si>
    <t xml:space="preserve">armor_hull_interface</t>
  </si>
  <si>
    <t xml:space="preserve">MOO2_MANUAL; T4_STARSHIPS; GURPS_SPACE; STARFIRE_ULTRA_COMPLETE</t>
  </si>
  <si>
    <t xml:space="preserve">armor_standard_tl_02</t>
  </si>
  <si>
    <t xml:space="preserve">Composite Plating</t>
  </si>
  <si>
    <t xml:space="preserve">Improved protection-to-mass ratio and better resistance to heat and fragmentation.</t>
  </si>
  <si>
    <t xml:space="preserve">ceramic_composite</t>
  </si>
  <si>
    <t xml:space="preserve">armor_standard_tl_03</t>
  </si>
  <si>
    <t xml:space="preserve">Titanium-Carbide Armor</t>
  </si>
  <si>
    <t xml:space="preserve">laminate construction</t>
  </si>
  <si>
    <t xml:space="preserve">Higher Integrity and more consistent per-packet protection.</t>
  </si>
  <si>
    <t xml:space="preserve">carbide_laminate</t>
  </si>
  <si>
    <t xml:space="preserve">armor_standard_tl_04</t>
  </si>
  <si>
    <t xml:space="preserve">nanoengineering</t>
  </si>
  <si>
    <t xml:space="preserve">Improved layer adhesion, reduced spalling, and better repair compatibility.</t>
  </si>
  <si>
    <t xml:space="preserve">nanobonded_materials</t>
  </si>
  <si>
    <t xml:space="preserve">armor_standard_tl_05</t>
  </si>
  <si>
    <t xml:space="preserve">Diamondoid Armor</t>
  </si>
  <si>
    <t xml:space="preserve">advanced material</t>
  </si>
  <si>
    <t xml:space="preserve">Mature midgame passive armor with high hardness and efficient structural support.</t>
  </si>
  <si>
    <t xml:space="preserve">diamondoid_composite</t>
  </si>
  <si>
    <t xml:space="preserve">armor_standard_tl_06</t>
  </si>
  <si>
    <t xml:space="preserve">Metamaterial Armor</t>
  </si>
  <si>
    <t xml:space="preserve">metamaterial</t>
  </si>
  <si>
    <t xml:space="preserve">Engineered impact and energy-path control; candidate improved penetration resistance.</t>
  </si>
  <si>
    <t xml:space="preserve">metamaterial_armor</t>
  </si>
  <si>
    <t xml:space="preserve">Define whether benefit is Protection, Integrity efficiency, or penetration interaction.</t>
  </si>
  <si>
    <t xml:space="preserve">Per-item support floors and hard capability tags remain to be assigned during the numerical-mechanics pass. Existing review: Define whether benefit is Protection, Integrity efficiency, or penetration interaction.</t>
  </si>
  <si>
    <t xml:space="preserve">armor_standard_tl_07</t>
  </si>
  <si>
    <t xml:space="preserve">Memory-Lattice Armor</t>
  </si>
  <si>
    <t xml:space="preserve">adaptive material</t>
  </si>
  <si>
    <t xml:space="preserve">Improved field repair and bounded recovery of deformed armor structure.</t>
  </si>
  <si>
    <t xml:space="preserve">shape_memory_armor</t>
  </si>
  <si>
    <t xml:space="preserve">Name promises a repair or Integrity-restoration benefit.</t>
  </si>
  <si>
    <t xml:space="preserve">Per-item support floors and hard capability tags remain to be assigned during the numerical-mechanics pass. Existing review: Name promises a repair or Integrity-restoration benefit.</t>
  </si>
  <si>
    <t xml:space="preserve">armor_standard_tl_08</t>
  </si>
  <si>
    <t xml:space="preserve">Ultradense Armor</t>
  </si>
  <si>
    <t xml:space="preserve">ultradense material</t>
  </si>
  <si>
    <t xml:space="preserve">Very high passive protection and Integrity per installed capacity.</t>
  </si>
  <si>
    <t xml:space="preserve">ultradense_materials</t>
  </si>
  <si>
    <t xml:space="preserve">Confirm mass/capacity tradeoff.</t>
  </si>
  <si>
    <t xml:space="preserve">Per-item support floors and hard capability tags remain to be assigned during the numerical-mechanics pass. Existing review: Confirm mass/capacity tradeoff.</t>
  </si>
  <si>
    <t xml:space="preserve">armor_standard_tl_09</t>
  </si>
  <si>
    <t xml:space="preserve">Degenerate Laminate</t>
  </si>
  <si>
    <t xml:space="preserve">exotic passive material</t>
  </si>
  <si>
    <t xml:space="preserve">Pinnacle passive protection without requiring Tactical Power; exceptionally difficult to manufacture and repair.</t>
  </si>
  <si>
    <t xml:space="preserve">degenerate_matter</t>
  </si>
  <si>
    <t xml:space="preserve">Keep distinct from alien/Precursor supermaterials.</t>
  </si>
  <si>
    <t xml:space="preserve">Per-item support floors and hard capability tags remain to be assigned during the numerical-mechanics pass. Existing review: Keep distinct from alien/Precursor supermaterials.</t>
  </si>
  <si>
    <t xml:space="preserve">shields</t>
  </si>
  <si>
    <t xml:space="preserve">Shields</t>
  </si>
  <si>
    <t xml:space="preserve">shields_standard_tl_01</t>
  </si>
  <si>
    <t xml:space="preserve">Magnetic Deflector</t>
  </si>
  <si>
    <t xml:space="preserve">field architecture</t>
  </si>
  <si>
    <t xml:space="preserve">Minimal starter shield capacity; strong dependence on reactor support and limited recharge.</t>
  </si>
  <si>
    <t xml:space="preserve">field_control</t>
  </si>
  <si>
    <t xml:space="preserve">shield_power_control</t>
  </si>
  <si>
    <t xml:space="preserve">MOO2_MANUAL; GURPS_SPACE; STARFIRE_ULTRA_COMPLETE</t>
  </si>
  <si>
    <t xml:space="preserve">shields_standard_tl_02</t>
  </si>
  <si>
    <t xml:space="preserve">Improved capacity and broader protection against charged particles and energetic debris.</t>
  </si>
  <si>
    <t xml:space="preserve">magnetoplasma_control</t>
  </si>
  <si>
    <t xml:space="preserve">shields_standard_tl_03</t>
  </si>
  <si>
    <t xml:space="preserve">Deflector Shield</t>
  </si>
  <si>
    <t xml:space="preserve">Reliable general-purpose shield with practical recharge and overload behavior.</t>
  </si>
  <si>
    <t xml:space="preserve">deflector_fields</t>
  </si>
  <si>
    <t xml:space="preserve">shields_standard_tl_04</t>
  </si>
  <si>
    <t xml:space="preserve">Vector Shield</t>
  </si>
  <si>
    <t xml:space="preserve">field steering</t>
  </si>
  <si>
    <t xml:space="preserve">Better field shaping, directional load handling, and shield-booster compatibility.</t>
  </si>
  <si>
    <t xml:space="preserve">vector_field_control</t>
  </si>
  <si>
    <t xml:space="preserve">shields_standard_tl_05</t>
  </si>
  <si>
    <t xml:space="preserve">Phased Shield</t>
  </si>
  <si>
    <t xml:space="preserve">phase control</t>
  </si>
  <si>
    <t xml:space="preserve">Mature midgame field with improved efficiency and candidate resistance to shield penetration.</t>
  </si>
  <si>
    <t xml:space="preserve">phase_field_control</t>
  </si>
  <si>
    <t xml:space="preserve">Define exact penetration or hardening behavior.</t>
  </si>
  <si>
    <t xml:space="preserve">Per-item support floors and hard capability tags remain to be assigned during the numerical-mechanics pass. Existing review: Define exact penetration or hardening behavior.</t>
  </si>
  <si>
    <t xml:space="preserve">shields_standard_tl_06</t>
  </si>
  <si>
    <t xml:space="preserve">resonant field control</t>
  </si>
  <si>
    <t xml:space="preserve">Adaptive frequency management improves overload resistance and recharge stability.</t>
  </si>
  <si>
    <t xml:space="preserve">harmonic_field_control</t>
  </si>
  <si>
    <t xml:space="preserve">shields_standard_tl_07</t>
  </si>
  <si>
    <t xml:space="preserve">Quantum Barrier</t>
  </si>
  <si>
    <t xml:space="preserve">quantum field control</t>
  </si>
  <si>
    <t xml:space="preserve">High field coherence, improved hardening, and efficient support for advanced boosters.</t>
  </si>
  <si>
    <t xml:space="preserve">quantum_field_control</t>
  </si>
  <si>
    <t xml:space="preserve">shields_standard_tl_08</t>
  </si>
  <si>
    <t xml:space="preserve">Metric Barrier</t>
  </si>
  <si>
    <t xml:space="preserve">metric engineering</t>
  </si>
  <si>
    <t xml:space="preserve">Uses controlled spacetime gradients to redirect damaging energy and momentum.</t>
  </si>
  <si>
    <t xml:space="preserve">metric_field_control</t>
  </si>
  <si>
    <t xml:space="preserve">Requires high Power and Computing prerequisites. Review repeated use of Metric and reserve it for mechanics that truly manipulate spacetime geometry.</t>
  </si>
  <si>
    <t xml:space="preserve">Per-item support floors and hard capability tags remain to be assigned during the numerical-mechanics pass. Existing review: Requires high Power and Computing prerequisites.</t>
  </si>
  <si>
    <t xml:space="preserve">shields_standard_tl_09</t>
  </si>
  <si>
    <t xml:space="preserve">Continuum Shield</t>
  </si>
  <si>
    <t xml:space="preserve">continuum engineering</t>
  </si>
  <si>
    <t xml:space="preserve">Pinnacle player shield with a visible campaign-defining capability, not merely more capacity.</t>
  </si>
  <si>
    <t xml:space="preserve">continuum_field_control</t>
  </si>
  <si>
    <t xml:space="preserve">Choose a distinctive TL9 mechanic such as bounded collapse prevention or exceptional overcharge.</t>
  </si>
  <si>
    <t xml:space="preserve">Per-item support floors and hard capability tags remain to be assigned during the numerical-mechanics pass. Existing review: Choose a distinctive TL9 mechanic such as bounded collapse prevention or exceptional overcharge.</t>
  </si>
  <si>
    <t xml:space="preserve">power</t>
  </si>
  <si>
    <t xml:space="preserve">Power / Reactor</t>
  </si>
  <si>
    <t xml:space="preserve">reactor</t>
  </si>
  <si>
    <t xml:space="preserve">power_reactor_tl_01</t>
  </si>
  <si>
    <t xml:space="preserve">energy source</t>
  </si>
  <si>
    <t xml:space="preserve">Baseline Tactical Power Capacity, core power, and small emergency output.</t>
  </si>
  <si>
    <t xml:space="preserve">fission_power</t>
  </si>
  <si>
    <t xml:space="preserve">reactor_hull_containment</t>
  </si>
  <si>
    <t xml:space="preserve">MOO2_MANUAL; T4_STARSHIPS; GURPS_SPACE</t>
  </si>
  <si>
    <t xml:space="preserve">power_reactor_tl_02</t>
  </si>
  <si>
    <t xml:space="preserve">Higher Tactical Power and improved efficiency with lower fuel burden.</t>
  </si>
  <si>
    <t xml:space="preserve">fusion_power</t>
  </si>
  <si>
    <t xml:space="preserve">power_reactor_tl_03</t>
  </si>
  <si>
    <t xml:space="preserve">High-Flux Fusion</t>
  </si>
  <si>
    <t xml:space="preserve">reactor architecture</t>
  </si>
  <si>
    <t xml:space="preserve">Greater peak Tactical Power and improved support for multiple active combat systems.</t>
  </si>
  <si>
    <t xml:space="preserve">high_flux_fusion</t>
  </si>
  <si>
    <t xml:space="preserve">power_reactor_tl_04</t>
  </si>
  <si>
    <t xml:space="preserve">Catalyzed Fusion Core</t>
  </si>
  <si>
    <t xml:space="preserve">catalyzed reaction</t>
  </si>
  <si>
    <t xml:space="preserve">Transitional reactor using tiny antimatter quantities to increase fusion yield and compactness.</t>
  </si>
  <si>
    <t xml:space="preserve">antimatter_catalysis</t>
  </si>
  <si>
    <t xml:space="preserve">power_reactor_tl_05</t>
  </si>
  <si>
    <t xml:space="preserve">matter conversion</t>
  </si>
  <si>
    <t xml:space="preserve">Mature midgame high-output reactor enabling demanding shields, beams, and drives.</t>
  </si>
  <si>
    <t xml:space="preserve">antimatter_handling</t>
  </si>
  <si>
    <t xml:space="preserve">power_reactor_tl_06</t>
  </si>
  <si>
    <t xml:space="preserve">Direct-Conversion Core</t>
  </si>
  <si>
    <t xml:space="preserve">direct conversion</t>
  </si>
  <si>
    <t xml:space="preserve">Improved conversion efficiency, power conditioning, and reduced waste heat.</t>
  </si>
  <si>
    <t xml:space="preserve">direct_energy_conversion</t>
  </si>
  <si>
    <t xml:space="preserve">power_reactor_tl_07</t>
  </si>
  <si>
    <t xml:space="preserve">quantum vacuum engineering</t>
  </si>
  <si>
    <t xml:space="preserve">Exotic but controllable power source with improved endurance and candidate reliability benefits.</t>
  </si>
  <si>
    <t xml:space="preserve">vacuum_flux_control</t>
  </si>
  <si>
    <t xml:space="preserve">Avoid implying unlimited energy.</t>
  </si>
  <si>
    <t xml:space="preserve">Per-item support floors and hard capability tags remain to be assigned during the numerical-mechanics pass. Existing review: Avoid implying unlimited energy.</t>
  </si>
  <si>
    <t xml:space="preserve">power_reactor_tl_08</t>
  </si>
  <si>
    <t xml:space="preserve">Singularity Core</t>
  </si>
  <si>
    <t xml:space="preserve">singularity engineering</t>
  </si>
  <si>
    <t xml:space="preserve">Extremely dense power generation with major containment and integration requirements.</t>
  </si>
  <si>
    <t xml:space="preserve">singularity_containment</t>
  </si>
  <si>
    <t xml:space="preserve">Define damage-state consequences carefully.</t>
  </si>
  <si>
    <t xml:space="preserve">Per-item support floors and hard capability tags remain to be assigned during the numerical-mechanics pass. Existing review: Define damage-state consequences carefully.</t>
  </si>
  <si>
    <t xml:space="preserve">power_reactor_tl_09</t>
  </si>
  <si>
    <t xml:space="preserve">Pinnacle reactor that converts controlled spacetime stress into usable power; must provide a memorable TL9 benefit.</t>
  </si>
  <si>
    <t xml:space="preserve">metric_energy_conversion</t>
  </si>
  <si>
    <t xml:space="preserve">Keep below Precursor-scale reality manipulation. Review repeated use of Metric and reserve it for mechanics that truly manipulate spacetime geometry.</t>
  </si>
  <si>
    <t xml:space="preserve">Per-item support floors and hard capability tags remain to be assigned during the numerical-mechanics pass. Existing review: Keep below Precursor-scale reality manipulation.</t>
  </si>
  <si>
    <t xml:space="preserve">propulsion</t>
  </si>
  <si>
    <t xml:space="preserve">ftl_drive</t>
  </si>
  <si>
    <t xml:space="preserve">propulsion_ftl_drive_tl_01</t>
  </si>
  <si>
    <t xml:space="preserve">spacetime folding</t>
  </si>
  <si>
    <t xml:space="preserve">First practical interstellar drive; short, inefficient, but reliable enough for the second starship.</t>
  </si>
  <si>
    <t xml:space="preserve">fold_drive</t>
  </si>
  <si>
    <t xml:space="preserve">ftl_propulsion_integration</t>
  </si>
  <si>
    <t xml:space="preserve">T4_STARSHIPS; GURPS_SPACE; MOO2_MANUAL</t>
  </si>
  <si>
    <t xml:space="preserve">propulsion_ftl_drive_tl_02</t>
  </si>
  <si>
    <t xml:space="preserve">Improved route reliability, efficiency, and strategic movement allowance.</t>
  </si>
  <si>
    <t xml:space="preserve">stabilized_fold</t>
  </si>
  <si>
    <t xml:space="preserve">propulsion_ftl_drive_tl_03</t>
  </si>
  <si>
    <t xml:space="preserve">Sustains a deeper fold geometry for faster charted-sector travel.</t>
  </si>
  <si>
    <t xml:space="preserve">deep_fold</t>
  </si>
  <si>
    <t xml:space="preserve">propulsion_ftl_drive_tl_04</t>
  </si>
  <si>
    <t xml:space="preserve">sustained transit channel</t>
  </si>
  <si>
    <t xml:space="preserve">Maintains a stable moving corridor rather than repeatedly initiating short folds.</t>
  </si>
  <si>
    <t xml:space="preserve">slipstream_transit</t>
  </si>
  <si>
    <t xml:space="preserve">propulsion_ftl_drive_tl_05</t>
  </si>
  <si>
    <t xml:space="preserve">subspace transit</t>
  </si>
  <si>
    <t xml:space="preserve">Mature midgame FTL using engineered transit corridors with improved range and interruption recovery.</t>
  </si>
  <si>
    <t xml:space="preserve">subspace_corridor</t>
  </si>
  <si>
    <t xml:space="preserve">propulsion_ftl_drive_tl_06</t>
  </si>
  <si>
    <t xml:space="preserve">phase-space transit</t>
  </si>
  <si>
    <t xml:space="preserve">Moves through a controlled phase offset, improving travel efficiency and hazard tolerance.</t>
  </si>
  <si>
    <t xml:space="preserve">phase_transit</t>
  </si>
  <si>
    <t xml:space="preserve">propulsion_ftl_drive_tl_07</t>
  </si>
  <si>
    <t xml:space="preserve">Translates the ship by reshaping local spacetime geometry with high precision.</t>
  </si>
  <si>
    <t xml:space="preserve">metric_translation</t>
  </si>
  <si>
    <t xml:space="preserve">Review repeated use of Metric and reserve it for mechanics that truly manipulate spacetime geometry.</t>
  </si>
  <si>
    <t xml:space="preserve">propulsion_ftl_drive_tl_08</t>
  </si>
  <si>
    <t xml:space="preserve">horizon engineering</t>
  </si>
  <si>
    <t xml:space="preserve">Uses bounded artificial horizons to sustain very rapid but still interruptible strategic passage.</t>
  </si>
  <si>
    <t xml:space="preserve">horizon_control</t>
  </si>
  <si>
    <t xml:space="preserve">Avoid implying instant teleportation unless mechanics later support it.</t>
  </si>
  <si>
    <t xml:space="preserve">Per-item support floors and hard capability tags remain to be assigned during the numerical-mechanics pass. Existing review: Avoid implying instant teleportation unless mechanics later support it.</t>
  </si>
  <si>
    <t xml:space="preserve">propulsion_ftl_drive_tl_09</t>
  </si>
  <si>
    <t xml:space="preserve">Pinnacle strategic propulsion with a visible campaign-defining travel capability.</t>
  </si>
  <si>
    <t xml:space="preserve">continuum_transit</t>
  </si>
  <si>
    <t xml:space="preserve">Define TL9 benefit: exceptional charted travel, hazard bypass, or bounded emergency jump.</t>
  </si>
  <si>
    <t xml:space="preserve">Per-item support floors and hard capability tags remain to be assigned during the numerical-mechanics pass. Existing review: Define TL9 benefit: exceptional charted travel, hazard bypass, or bounded emergency jump.</t>
  </si>
  <si>
    <t xml:space="preserve">stl_drive</t>
  </si>
  <si>
    <t xml:space="preserve">propulsion_stl_drive_tl_01</t>
  </si>
  <si>
    <t xml:space="preserve">reaction propulsion</t>
  </si>
  <si>
    <t xml:space="preserve">Baseline in-system movement and fuel use for an early FTL cruiser.</t>
  </si>
  <si>
    <t xml:space="preserve">nuclear_pulse_propulsion</t>
  </si>
  <si>
    <t xml:space="preserve">stl_propulsion_integration</t>
  </si>
  <si>
    <t xml:space="preserve">T4_STARSHIPS; GURPS_SPACE; TRIPLANETARY</t>
  </si>
  <si>
    <t xml:space="preserve">propulsion_stl_drive_tl_02</t>
  </si>
  <si>
    <t xml:space="preserve">Fusion Torch</t>
  </si>
  <si>
    <t xml:space="preserve">fusion propulsion</t>
  </si>
  <si>
    <t xml:space="preserve">Higher sustained thrust and improved fuel efficiency.</t>
  </si>
  <si>
    <t xml:space="preserve">fusion_propulsion</t>
  </si>
  <si>
    <t xml:space="preserve">propulsion_stl_drive_tl_03</t>
  </si>
  <si>
    <t xml:space="preserve">plasma propulsion</t>
  </si>
  <si>
    <t xml:space="preserve">Better maneuver authority and efficient continuous thrust.</t>
  </si>
  <si>
    <t xml:space="preserve">magnetoplasma_propulsion</t>
  </si>
  <si>
    <t xml:space="preserve">propulsion_stl_drive_tl_04</t>
  </si>
  <si>
    <t xml:space="preserve">Catalyzed Plasma Drive</t>
  </si>
  <si>
    <t xml:space="preserve">catalyzed plasma propulsion</t>
  </si>
  <si>
    <t xml:space="preserve">Transitional high-energy drive with improved acceleration and endurance.</t>
  </si>
  <si>
    <t xml:space="preserve">propulsion_stl_drive_tl_05</t>
  </si>
  <si>
    <t xml:space="preserve">antimatter propulsion</t>
  </si>
  <si>
    <t xml:space="preserve">Mature midgame high-performance sublight drive for pursuit and withdrawal.</t>
  </si>
  <si>
    <t xml:space="preserve">antimatter_propulsion</t>
  </si>
  <si>
    <t xml:space="preserve">propulsion_stl_drive_tl_06</t>
  </si>
  <si>
    <t xml:space="preserve">inertial control</t>
  </si>
  <si>
    <t xml:space="preserve">Reduces maneuver penalties and permits higher thrust without overwhelming ship structure and crew.</t>
  </si>
  <si>
    <t xml:space="preserve">inertial_compensation</t>
  </si>
  <si>
    <t xml:space="preserve">Define interaction with Evasive Maneuvering.</t>
  </si>
  <si>
    <t xml:space="preserve">Per-item support floors and hard capability tags remain to be assigned during the numerical-mechanics pass. Existing review: Define interaction with Evasive Maneuvering.</t>
  </si>
  <si>
    <t xml:space="preserve">propulsion_stl_drive_tl_07</t>
  </si>
  <si>
    <t xml:space="preserve">gravitic propulsion</t>
  </si>
  <si>
    <t xml:space="preserve">Uses controlled gravity gradients for strong maneuver authority and reduced reaction mass.</t>
  </si>
  <si>
    <t xml:space="preserve">gravitic_propulsion</t>
  </si>
  <si>
    <t xml:space="preserve">propulsion_stl_drive_tl_08</t>
  </si>
  <si>
    <t xml:space="preserve">metric propulsion</t>
  </si>
  <si>
    <t xml:space="preserve">Directly shapes local spacetime gradients for rapid system-map movement.</t>
  </si>
  <si>
    <t xml:space="preserve">metric_propulsion</t>
  </si>
  <si>
    <t xml:space="preserve">propulsion_stl_drive_tl_09</t>
  </si>
  <si>
    <t xml:space="preserve">Inertialess Drive</t>
  </si>
  <si>
    <t xml:space="preserve">advanced metric propulsion</t>
  </si>
  <si>
    <t xml:space="preserve">Pinnacle local propulsion with a campaign-defining movement or withdrawal capability.</t>
  </si>
  <si>
    <t xml:space="preserve">inertialess_translation</t>
  </si>
  <si>
    <t xml:space="preserve">Must not eliminate tactical positioning; define bounded benefit.</t>
  </si>
  <si>
    <t xml:space="preserve">Per-item support floors and hard capability tags remain to be assigned during the numerical-mechanics pass. Existing review: Must not eliminate tactical positioning; define bounded benefit.</t>
  </si>
  <si>
    <t xml:space="preserve">sensors_ew</t>
  </si>
  <si>
    <t xml:space="preserve">Sensors / EW</t>
  </si>
  <si>
    <t xml:space="preserve">sensors_ew_standard_tl_01</t>
  </si>
  <si>
    <t xml:space="preserve">Radio-Optical Suite</t>
  </si>
  <si>
    <t xml:space="preserve">sensor spectrum</t>
  </si>
  <si>
    <t xml:space="preserve">Baseline passive/active sensing, communications, and limited electronic countermeasures.</t>
  </si>
  <si>
    <t xml:space="preserve">radio_optical_sensing</t>
  </si>
  <si>
    <t xml:space="preserve">sensor_processing</t>
  </si>
  <si>
    <t xml:space="preserve">T4_STARSHIPS; GURPS_SPACE; STARFIRE_ULTRA_COMPLETE</t>
  </si>
  <si>
    <t xml:space="preserve">sensors_ew_standard_tl_02</t>
  </si>
  <si>
    <t xml:space="preserve">Multispectral Suite</t>
  </si>
  <si>
    <t xml:space="preserve">sensor fusion</t>
  </si>
  <si>
    <t xml:space="preserve">Improved target discrimination and more reliable passive track formation.</t>
  </si>
  <si>
    <t xml:space="preserve">multispectral_fusion</t>
  </si>
  <si>
    <t xml:space="preserve">sensors_ew_standard_tl_03</t>
  </si>
  <si>
    <t xml:space="preserve">Phased-Aperture Suite</t>
  </si>
  <si>
    <t xml:space="preserve">aperture synthesis</t>
  </si>
  <si>
    <t xml:space="preserve">Better range, angular resolution, and ECCM through coordinated apertures.</t>
  </si>
  <si>
    <t xml:space="preserve">phased_aperture</t>
  </si>
  <si>
    <t xml:space="preserve">sensors_ew_standard_tl_04</t>
  </si>
  <si>
    <t xml:space="preserve">Neutrino Suite</t>
  </si>
  <si>
    <t xml:space="preserve">exotic particle sensing</t>
  </si>
  <si>
    <t xml:space="preserve">Detects reactor and drive signatures through clutter and some occlusion conditions.</t>
  </si>
  <si>
    <t xml:space="preserve">neutrino_sensing</t>
  </si>
  <si>
    <t xml:space="preserve">Define which occlusion rules remain hard constraints.</t>
  </si>
  <si>
    <t xml:space="preserve">Per-item support floors and hard capability tags remain to be assigned during the numerical-mechanics pass. Existing review: Define which occlusion rules remain hard constraints.</t>
  </si>
  <si>
    <t xml:space="preserve">sensors_ew_standard_tl_05</t>
  </si>
  <si>
    <t xml:space="preserve">Gravitic Interferometer</t>
  </si>
  <si>
    <t xml:space="preserve">gravitic sensing</t>
  </si>
  <si>
    <t xml:space="preserve">Mature midgame detection of mass movement, drive stress, and subtle trajectory changes.</t>
  </si>
  <si>
    <t xml:space="preserve">gravitic_sensing</t>
  </si>
  <si>
    <t xml:space="preserve">sensors_ew_standard_tl_06</t>
  </si>
  <si>
    <t xml:space="preserve">quantum interferometry</t>
  </si>
  <si>
    <t xml:space="preserve">Improved precision, track freshness, and resistance to deceptive emissions.</t>
  </si>
  <si>
    <t xml:space="preserve">quantum_interferometry</t>
  </si>
  <si>
    <t xml:space="preserve">sensors_ew_standard_tl_07</t>
  </si>
  <si>
    <t xml:space="preserve">subspace sensing</t>
  </si>
  <si>
    <t xml:space="preserve">Detects FTL, datalink, and advanced drive disturbances across broader conditions.</t>
  </si>
  <si>
    <t xml:space="preserve">subspace_sensing</t>
  </si>
  <si>
    <t xml:space="preserve">sensors_ew_standard_tl_08</t>
  </si>
  <si>
    <t xml:space="preserve">metric sensing</t>
  </si>
  <si>
    <t xml:space="preserve">Measures engineered spacetime gradients for high-end tracking and ECCM.</t>
  </si>
  <si>
    <t xml:space="preserve">metric_sensing</t>
  </si>
  <si>
    <t xml:space="preserve">sensors_ew_standard_tl_09</t>
  </si>
  <si>
    <t xml:space="preserve">Deep-Metric Matrix</t>
  </si>
  <si>
    <t xml:space="preserve">deep metric sensing</t>
  </si>
  <si>
    <t xml:space="preserve">Pinnacle player sensing with a memorable information advantage that still preserves fog of war.</t>
  </si>
  <si>
    <t xml:space="preserve">deep_metric_sensing</t>
  </si>
  <si>
    <t xml:space="preserve">Do not permit omniscience; define a bounded TL9 capability. Review repeated use of Metric and reserve it for mechanics that truly manipulate spacetime geometry.</t>
  </si>
  <si>
    <t xml:space="preserve">Per-item support floors and hard capability tags remain to be assigned during the numerical-mechanics pass. Existing review: Do not permit omniscience; define a bounded TL9 capability.</t>
  </si>
  <si>
    <t xml:space="preserve">computing_fire_control</t>
  </si>
  <si>
    <t xml:space="preserve">Computing / Fire Control</t>
  </si>
  <si>
    <t xml:space="preserve">computing_fire_control_standard_tl_01</t>
  </si>
  <si>
    <t xml:space="preserve">Electronic Fire Control</t>
  </si>
  <si>
    <t xml:space="preserve">computing architecture</t>
  </si>
  <si>
    <t xml:space="preserve">Baseline targeting, communications, and guidance computation.</t>
  </si>
  <si>
    <t xml:space="preserve">electronic_computing</t>
  </si>
  <si>
    <t xml:space="preserve">computing_power_bus</t>
  </si>
  <si>
    <t xml:space="preserve">T4_STARSHIPS; MOO2_MANUAL; GURPS_SPACE; STARFIRE_ULTRA_COMPLETE</t>
  </si>
  <si>
    <t xml:space="preserve">computing_fire_control_standard_tl_02</t>
  </si>
  <si>
    <t xml:space="preserve">Faster track fusion and improved targeting efficiency.</t>
  </si>
  <si>
    <t xml:space="preserve">photonic_computing</t>
  </si>
  <si>
    <t xml:space="preserve">computing_fire_control_standard_tl_03</t>
  </si>
  <si>
    <t xml:space="preserve">Neural-Pattern Computer</t>
  </si>
  <si>
    <t xml:space="preserve">adaptive computing</t>
  </si>
  <si>
    <t xml:space="preserve">Adaptive pattern recognition improves maneuver-fire correction and target classification.</t>
  </si>
  <si>
    <t xml:space="preserve">neural_pattern_processing</t>
  </si>
  <si>
    <t xml:space="preserve">Not sentient; preserve crew agency.</t>
  </si>
  <si>
    <t xml:space="preserve">Per-item support floors and hard capability tags remain to be assigned during the numerical-mechanics pass. Existing review: Not sentient; preserve crew agency.</t>
  </si>
  <si>
    <t xml:space="preserve">computing_fire_control_standard_tl_04</t>
  </si>
  <si>
    <t xml:space="preserve">Quantum Fire Control</t>
  </si>
  <si>
    <t xml:space="preserve">quantum computing</t>
  </si>
  <si>
    <t xml:space="preserve">Improved multi-variable fire solutions and high-TL guidance support.</t>
  </si>
  <si>
    <t xml:space="preserve">quantum_computing</t>
  </si>
  <si>
    <t xml:space="preserve">computing_fire_control_standard_tl_05</t>
  </si>
  <si>
    <t xml:space="preserve">predictive control</t>
  </si>
  <si>
    <t xml:space="preserve">Mature midgame combat prediction, coordinated fire, and Evasive Compensation.</t>
  </si>
  <si>
    <t xml:space="preserve">predictive_fire_control</t>
  </si>
  <si>
    <t xml:space="preserve">computing_fire_control_standard_tl_06</t>
  </si>
  <si>
    <t xml:space="preserve">distributed computing</t>
  </si>
  <si>
    <t xml:space="preserve">Redundant processing across the ship improves resilience and multi-system coordination.</t>
  </si>
  <si>
    <t xml:space="preserve">distributed_computing</t>
  </si>
  <si>
    <t xml:space="preserve">computing_fire_control_standard_tl_07</t>
  </si>
  <si>
    <t xml:space="preserve">entangled processing</t>
  </si>
  <si>
    <t xml:space="preserve">Low-latency coordination among sensors, weapons, missiles, and defensive systems.</t>
  </si>
  <si>
    <t xml:space="preserve">entangled_processing</t>
  </si>
  <si>
    <t xml:space="preserve">Avoid literal faster-than-light information unless intentionally supported.</t>
  </si>
  <si>
    <t xml:space="preserve">Per-item support floors and hard capability tags remain to be assigned during the numerical-mechanics pass. Existing review: Avoid literal faster-than-light information unless intentionally supported.</t>
  </si>
  <si>
    <t xml:space="preserve">computing_fire_control_standard_tl_08</t>
  </si>
  <si>
    <t xml:space="preserve">advanced inference</t>
  </si>
  <si>
    <t xml:space="preserve">Rapid causal modeling anticipates likely maneuvers without revealing hidden authoritative state.</t>
  </si>
  <si>
    <t xml:space="preserve">causal_inference</t>
  </si>
  <si>
    <t xml:space="preserve">Explicitly not precognition.</t>
  </si>
  <si>
    <t xml:space="preserve">Per-item support floors and hard capability tags remain to be assigned during the numerical-mechanics pass. Existing review: Explicitly not precognition.</t>
  </si>
  <si>
    <t xml:space="preserve">computing_fire_control_standard_tl_09</t>
  </si>
  <si>
    <t xml:space="preserve">machine cognition</t>
  </si>
  <si>
    <t xml:space="preserve">Pinnacle decision-support and coordination while leaving command authority with the crew.</t>
  </si>
  <si>
    <t xml:space="preserve">strategic_cognition</t>
  </si>
  <si>
    <t xml:space="preserve">Define a visible TL9 coordination benefit; do not replace player choice.</t>
  </si>
  <si>
    <t xml:space="preserve">Per-item support floors and hard capability tags remain to be assigned during the numerical-mechanics pass. Existing review: Define a visible TL9 coordination benefit; do not replace player choice.</t>
  </si>
  <si>
    <t xml:space="preserve">kinetic_weapons</t>
  </si>
  <si>
    <t xml:space="preserve">Kinetic Weapons</t>
  </si>
  <si>
    <t xml:space="preserve">kinetic_weapon</t>
  </si>
  <si>
    <t xml:space="preserve">kinetic_weapons_kinetic_weapon_tl_01</t>
  </si>
  <si>
    <t xml:space="preserve">Autocannon</t>
  </si>
  <si>
    <t xml:space="preserve">chemical acceleration</t>
  </si>
  <si>
    <t xml:space="preserve">Reliable starter kinetic weapon with modest range and ammunition efficiency.</t>
  </si>
  <si>
    <t xml:space="preserve">chemical_ballistics</t>
  </si>
  <si>
    <t xml:space="preserve">kinetic_mount_control</t>
  </si>
  <si>
    <t xml:space="preserve">MOO2_MANUAL; T4_STARSHIPS; STARFIRE_ULTRA_COMPLETE</t>
  </si>
  <si>
    <t xml:space="preserve">kinetic_weapons_kinetic_weapon_tl_02</t>
  </si>
  <si>
    <t xml:space="preserve">electromagnetic acceleration</t>
  </si>
  <si>
    <t xml:space="preserve">Improved projectile velocity, accuracy, and armor interaction.</t>
  </si>
  <si>
    <t xml:space="preserve">coil_acceleration</t>
  </si>
  <si>
    <t xml:space="preserve">kinetic_weapons_kinetic_weapon_tl_03</t>
  </si>
  <si>
    <t xml:space="preserve">Higher velocity and penetration with greater power and maintenance demands.</t>
  </si>
  <si>
    <t xml:space="preserve">rail_acceleration</t>
  </si>
  <si>
    <t xml:space="preserve">kinetic_weapons_kinetic_weapon_tl_04</t>
  </si>
  <si>
    <t xml:space="preserve">advanced rail acceleration</t>
  </si>
  <si>
    <t xml:space="preserve">Transitional high-energy projectile weapon with better range and armor penetration.</t>
  </si>
  <si>
    <t xml:space="preserve">hypervelocity_acceleration</t>
  </si>
  <si>
    <t xml:space="preserve">kinetic_weapons_kinetic_weapon_tl_05</t>
  </si>
  <si>
    <t xml:space="preserve">Plasma-Armature Driver</t>
  </si>
  <si>
    <t xml:space="preserve">plasma armature acceleration</t>
  </si>
  <si>
    <t xml:space="preserve">Mature midgame mass driver using plasma armatures for higher projectile energy and barrel life.</t>
  </si>
  <si>
    <t xml:space="preserve">plasma_armature</t>
  </si>
  <si>
    <t xml:space="preserve">kinetic_weapons_kinetic_weapon_tl_06</t>
  </si>
  <si>
    <t xml:space="preserve">gravitic acceleration</t>
  </si>
  <si>
    <t xml:space="preserve">Supplements electromagnetic launch with controlled gravity gradients.</t>
  </si>
  <si>
    <t xml:space="preserve">gravitic_acceleration</t>
  </si>
  <si>
    <t xml:space="preserve">kinetic_weapons_kinetic_weapon_tl_07</t>
  </si>
  <si>
    <t xml:space="preserve">Inertial Impactor</t>
  </si>
  <si>
    <t xml:space="preserve">inertial engineering</t>
  </si>
  <si>
    <t xml:space="preserve">Launches heavier projectiles while reducing recoil and mount stress.</t>
  </si>
  <si>
    <t xml:space="preserve">kinetic_weapons_kinetic_weapon_tl_08</t>
  </si>
  <si>
    <t xml:space="preserve">Relativistic Impactor</t>
  </si>
  <si>
    <t xml:space="preserve">relativistic acceleration</t>
  </si>
  <si>
    <t xml:space="preserve">Extremely high projectile energy; likely demanding in power, mount, and fire-control requirements.</t>
  </si>
  <si>
    <t xml:space="preserve">relativistic_acceleration</t>
  </si>
  <si>
    <t xml:space="preserve">Balance against range, reload, and Tactical Power.</t>
  </si>
  <si>
    <t xml:space="preserve">Per-item support floors and hard capability tags remain to be assigned during the numerical-mechanics pass. Existing review: Balance against range, reload, and Tactical Power.</t>
  </si>
  <si>
    <t xml:space="preserve">kinetic_weapons_kinetic_weapon_tl_09</t>
  </si>
  <si>
    <t xml:space="preserve">metric acceleration</t>
  </si>
  <si>
    <t xml:space="preserve">Pinnacle physical-projectile weapon using metric control to impart extreme velocity or bypass ordinary launch limits.</t>
  </si>
  <si>
    <t xml:space="preserve">metric_acceleration</t>
  </si>
  <si>
    <t xml:space="preserve">Keep distinct from beam weapons; projectile remains physical. Review repeated use of Metric and reserve it for mechanics that truly manipulate spacetime geometry.</t>
  </si>
  <si>
    <t xml:space="preserve">Per-item support floors and hard capability tags remain to be assigned during the numerical-mechanics pass. Existing review: Keep distinct from beam weapons; projectile remains physical.</t>
  </si>
  <si>
    <t xml:space="preserve">beam_weapons</t>
  </si>
  <si>
    <t xml:space="preserve">Beam Weapons</t>
  </si>
  <si>
    <t xml:space="preserve">beam_weapon</t>
  </si>
  <si>
    <t xml:space="preserve">beam_weapons_beam_weapon_tl_01</t>
  </si>
  <si>
    <t xml:space="preserve">Laser Cannon</t>
  </si>
  <si>
    <t xml:space="preserve">photon emission</t>
  </si>
  <si>
    <t xml:space="preserve">Accurate starter beam with moderate damage, power demand, and interception utility.</t>
  </si>
  <si>
    <t xml:space="preserve">laser_emission</t>
  </si>
  <si>
    <t xml:space="preserve">beam_power_control</t>
  </si>
  <si>
    <t xml:space="preserve">beam_weapons_beam_weapon_tl_02</t>
  </si>
  <si>
    <t xml:space="preserve">Pulsed Laser</t>
  </si>
  <si>
    <t xml:space="preserve">pulsed photon emission</t>
  </si>
  <si>
    <t xml:space="preserve">Higher peak output and better combat effectiveness at the cost of heat and power spikes.</t>
  </si>
  <si>
    <t xml:space="preserve">pulsed_laser</t>
  </si>
  <si>
    <t xml:space="preserve">beam_weapons_beam_weapon_tl_03</t>
  </si>
  <si>
    <t xml:space="preserve">tunable photon emission</t>
  </si>
  <si>
    <t xml:space="preserve">Tunable wavelength improves range, target interaction, and efficiency.</t>
  </si>
  <si>
    <t xml:space="preserve">free_electron_laser</t>
  </si>
  <si>
    <t xml:space="preserve">beam_weapons_beam_weapon_tl_04</t>
  </si>
  <si>
    <t xml:space="preserve">Ion Beam</t>
  </si>
  <si>
    <t xml:space="preserve">charged-particle beam</t>
  </si>
  <si>
    <t xml:space="preserve">Transitional particle weapon with strong shield and subsystem interaction.</t>
  </si>
  <si>
    <t xml:space="preserve">ion_beam</t>
  </si>
  <si>
    <t xml:space="preserve">beam_weapons_beam_weapon_tl_05</t>
  </si>
  <si>
    <t xml:space="preserve">Particle Beam</t>
  </si>
  <si>
    <t xml:space="preserve">neutral-particle beam</t>
  </si>
  <si>
    <t xml:space="preserve">Mature midgame beam with good range and reduced electromagnetic deflection.</t>
  </si>
  <si>
    <t xml:space="preserve">neutral_particle_beam</t>
  </si>
  <si>
    <t xml:space="preserve">beam_weapons_beam_weapon_tl_06</t>
  </si>
  <si>
    <t xml:space="preserve">Gamma Laser</t>
  </si>
  <si>
    <t xml:space="preserve">high-energy photon emission</t>
  </si>
  <si>
    <t xml:space="preserve">High penetration and compact energy delivery with demanding cooling and shielding.</t>
  </si>
  <si>
    <t xml:space="preserve">gamma_laser</t>
  </si>
  <si>
    <t xml:space="preserve">beam_weapons_beam_weapon_tl_07</t>
  </si>
  <si>
    <t xml:space="preserve">Particle Lance</t>
  </si>
  <si>
    <t xml:space="preserve">phase-controlled beam</t>
  </si>
  <si>
    <t xml:space="preserve">Phase control improves cohesion and candidate shield-penetration behavior.</t>
  </si>
  <si>
    <t xml:space="preserve">phase_beam_control</t>
  </si>
  <si>
    <t xml:space="preserve">Define exact penetration mechanic.</t>
  </si>
  <si>
    <t xml:space="preserve">Per-item support floors and hard capability tags remain to be assigned during the numerical-mechanics pass. Existing review: Define exact penetration mechanic.</t>
  </si>
  <si>
    <t xml:space="preserve">beam_weapons_beam_weapon_tl_08</t>
  </si>
  <si>
    <t xml:space="preserve">gravitic field projection</t>
  </si>
  <si>
    <t xml:space="preserve">Applies concentrated tidal stress rather than ordinary thermal or particle damage.</t>
  </si>
  <si>
    <t xml:space="preserve">gravitic_beam</t>
  </si>
  <si>
    <t xml:space="preserve">beam_weapons_beam_weapon_tl_09</t>
  </si>
  <si>
    <t xml:space="preserve">Metric Lance</t>
  </si>
  <si>
    <t xml:space="preserve">metric field projection</t>
  </si>
  <si>
    <t xml:space="preserve">Pinnacle directed-energy weapon that disrupts local spacetime geometry along a controlled firing path.</t>
  </si>
  <si>
    <t xml:space="preserve">metric_beam</t>
  </si>
  <si>
    <t xml:space="preserve">Campaign-defining but must remain bounded and distinguishable from Precursor weapons. Review repeated use of Metric and reserve it for mechanics that truly manipulate spacetime geometry.</t>
  </si>
  <si>
    <t xml:space="preserve">Per-item support floors and hard capability tags remain to be assigned during the numerical-mechanics pass. Existing review: Campaign-defining but must remain bounded and distinguishable from Precursor weapons.</t>
  </si>
  <si>
    <t xml:space="preserve">missile_weapons</t>
  </si>
  <si>
    <t xml:space="preserve">Missile Weapons</t>
  </si>
  <si>
    <t xml:space="preserve">missile_flight</t>
  </si>
  <si>
    <t xml:space="preserve">missile_weapons_missile_flight_tl_01</t>
  </si>
  <si>
    <t xml:space="preserve">Nuclear Flight</t>
  </si>
  <si>
    <t xml:space="preserve">warhead generation</t>
  </si>
  <si>
    <t xml:space="preserve">Baseline guided Missile Flight with nuclear warhead, limited endurance, and simple guidance.</t>
  </si>
  <si>
    <t xml:space="preserve">nuclear_warhead</t>
  </si>
  <si>
    <t xml:space="preserve">missile_launch_control</t>
  </si>
  <si>
    <t xml:space="preserve">missile_weapons_missile_flight_tl_02</t>
  </si>
  <si>
    <t xml:space="preserve">Fusion Flight</t>
  </si>
  <si>
    <t xml:space="preserve">Higher damage and improved flight performance using compact fusion warheads.</t>
  </si>
  <si>
    <t xml:space="preserve">fusion_warhead</t>
  </si>
  <si>
    <t xml:space="preserve">missile_weapons_missile_flight_tl_03</t>
  </si>
  <si>
    <t xml:space="preserve">Directed-Fusion Flight</t>
  </si>
  <si>
    <t xml:space="preserve">directed-energy warhead</t>
  </si>
  <si>
    <t xml:space="preserve">Shapes fusion output toward the target for improved armor interaction and efficiency.</t>
  </si>
  <si>
    <t xml:space="preserve">directed_fusion_warhead</t>
  </si>
  <si>
    <t xml:space="preserve">missile_weapons_missile_flight_tl_04</t>
  </si>
  <si>
    <t xml:space="preserve">Catalyzed Missile Flight</t>
  </si>
  <si>
    <t xml:space="preserve">catalyzed warhead</t>
  </si>
  <si>
    <t xml:space="preserve">Uses trace antimatter to increase warhead yield and propulsion efficiency.</t>
  </si>
  <si>
    <t xml:space="preserve">missile_weapons_missile_flight_tl_05</t>
  </si>
  <si>
    <t xml:space="preserve">Antimatter Flight</t>
  </si>
  <si>
    <t xml:space="preserve">antimatter warhead</t>
  </si>
  <si>
    <t xml:space="preserve">Mature midgame high-damage flight with demanding containment and interception consequences.</t>
  </si>
  <si>
    <t xml:space="preserve">antimatter_warhead</t>
  </si>
  <si>
    <t xml:space="preserve">missile_weapons_missile_flight_tl_06</t>
  </si>
  <si>
    <t xml:space="preserve">Phase-Penetrator Flight</t>
  </si>
  <si>
    <t xml:space="preserve">phase-controlled terminal package</t>
  </si>
  <si>
    <t xml:space="preserve">Advanced terminal package with a candidate shield-penetration or hardening-counter role.</t>
  </si>
  <si>
    <t xml:space="preserve">phase_terminal_control</t>
  </si>
  <si>
    <t xml:space="preserve">Name promises a specific penetration mechanic.</t>
  </si>
  <si>
    <t xml:space="preserve">Per-item support floors and hard capability tags remain to be assigned during the numerical-mechanics pass. Existing review: Name promises a specific penetration mechanic.</t>
  </si>
  <si>
    <t xml:space="preserve">missile_weapons_missile_flight_tl_07</t>
  </si>
  <si>
    <t xml:space="preserve">Gravitic Implosion Flight</t>
  </si>
  <si>
    <t xml:space="preserve">gravitic warhead</t>
  </si>
  <si>
    <t xml:space="preserve">Creates a localized inward gravity pulse for severe structural and armor stress.</t>
  </si>
  <si>
    <t xml:space="preserve">gravitic_warhead</t>
  </si>
  <si>
    <t xml:space="preserve">missile_weapons_missile_flight_tl_08</t>
  </si>
  <si>
    <t xml:space="preserve">Quantum Rupture Flight</t>
  </si>
  <si>
    <t xml:space="preserve">quantum warhead</t>
  </si>
  <si>
    <t xml:space="preserve">Destabilizes target material or fields through a bounded quantum-coherence failure.</t>
  </si>
  <si>
    <t xml:space="preserve">quantum_warhead</t>
  </si>
  <si>
    <t xml:space="preserve">Define damage layer interaction carefully.</t>
  </si>
  <si>
    <t xml:space="preserve">Per-item support floors and hard capability tags remain to be assigned during the numerical-mechanics pass. Existing review: Define damage layer interaction carefully.</t>
  </si>
  <si>
    <t xml:space="preserve">missile_weapons_missile_flight_tl_09</t>
  </si>
  <si>
    <t xml:space="preserve">Metric Collapse Flight</t>
  </si>
  <si>
    <t xml:space="preserve">metric warhead</t>
  </si>
  <si>
    <t xml:space="preserve">Pinnacle player Missile Flight producing a tightly bounded local spacetime collapse at impact.</t>
  </si>
  <si>
    <t xml:space="preserve">metric_warhead</t>
  </si>
  <si>
    <t xml:space="preserve">Keep clearly below planet-killing or Precursor-scale effects. Review repeated use of Metric and reserve it for mechanics that truly manipulate spacetime geometry.</t>
  </si>
  <si>
    <t xml:space="preserve">Per-item support floors and hard capability tags remain to be assigned during the numerical-mechanics pass. Existing review: Keep clearly below planet-killing or Precursor-scale effects.</t>
  </si>
  <si>
    <t xml:space="preserve">Family-Level Compatibility Profiles</t>
  </si>
  <si>
    <t xml:space="preserve">Draft support floors and strain values are hypotheses, not accepted balance. Research remains independent; these profiles apply only to installation and operation.</t>
  </si>
  <si>
    <t xml:space="preserve">primary_support_category_id</t>
  </si>
  <si>
    <t xml:space="preserve">secondary_support_category_id</t>
  </si>
  <si>
    <t xml:space="preserve">integrated_primary_max_tl_gap</t>
  </si>
  <si>
    <t xml:space="preserve">adapted_primary_max_tl_gap</t>
  </si>
  <si>
    <t xml:space="preserve">integrated_secondary_max_tl_gap</t>
  </si>
  <si>
    <t xml:space="preserve">adapted_secondary_max_tl_gap</t>
  </si>
  <si>
    <t xml:space="preserve">default_base_adaptation_strain</t>
  </si>
  <si>
    <t xml:space="preserve">default_strain_tolerance</t>
  </si>
  <si>
    <t xml:space="preserve">default_failure_progression</t>
  </si>
  <si>
    <t xml:space="preserve">default_stress_events</t>
  </si>
  <si>
    <t xml:space="preserve">engineer_bypass_allowed</t>
  </si>
  <si>
    <t xml:space="preserve">maximum_engineer_tl_bridge</t>
  </si>
  <si>
    <t xml:space="preserve">field_jury_rig_allowed</t>
  </si>
  <si>
    <t xml:space="preserve">hard_blocker_examples</t>
  </si>
  <si>
    <t xml:space="preserve">draft_relationship</t>
  </si>
  <si>
    <t xml:space="preserve">profile_status</t>
  </si>
  <si>
    <t xml:space="preserve">research_lockstep_rule</t>
  </si>
  <si>
    <t xml:space="preserve">workshop_adaptation_rule</t>
  </si>
  <si>
    <t xml:space="preserve">field_jury_rig_rule</t>
  </si>
  <si>
    <t xml:space="preserve">stress_visibility_rule</t>
  </si>
  <si>
    <t xml:space="preserve">engineer_bridge_rule</t>
  </si>
  <si>
    <t xml:space="preserve">hard_blocker_policy</t>
  </si>
  <si>
    <t xml:space="preserve">runtime_status</t>
  </si>
  <si>
    <t xml:space="preserve">0</t>
  </si>
  <si>
    <t xml:space="preserve">Not applicable to the hull foundation itself; installed subsystems use their own profiles.</t>
  </si>
  <si>
    <t xml:space="preserve">no</t>
  </si>
  <si>
    <t xml:space="preserve">Hull scale, physical bay count, and structural capacity cannot be improvised away.</t>
  </si>
  <si>
    <t xml:space="preserve">Hull TL defines the structural foundation and support envelope rather than depending on another player TL.</t>
  </si>
  <si>
    <t xml:space="preserve">framework_draft</t>
  </si>
  <si>
    <t xml:space="preserve">Hull-specific component prerequisites and capacity milestones remain to be assigned.</t>
  </si>
  <si>
    <t xml:space="preserve">Research categories advance independently; this profile affects installation/operation only.</t>
  </si>
  <si>
    <t xml:space="preserve">Prepared refit with time, materials, and a valid adapter; use base strain or a reduced profile-specific value.</t>
  </si>
  <si>
    <t xml:space="preserve">Temporary or emergency adaptation; normally +1 strain and an additional explicit cost; prohibited by hard blockers.</t>
  </si>
  <si>
    <t xml:space="preserve">Accumulate visible strain only during meaningful stress events; warn before continued operation risks a condition step.</t>
  </si>
  <si>
    <t xml:space="preserve">A qualified Chief Engineer may bridge a limited 1 TL shortfall; a Legendary Chief Engineer may bridge up to the profile maximum, usually for one selected installation.</t>
  </si>
  <si>
    <t xml:space="preserve">Crew expertise and adapters cannot replace physical capacity, required containment, absent power form, mount geometry, or a non-emulatable capability tag.</t>
  </si>
  <si>
    <t xml:space="preserve">schema_only_not_implemented</t>
  </si>
  <si>
    <t xml:space="preserve">Operational -&gt; Degraded -&gt; Damaged -&gt; Destroyed; ordinary adaptation failures normally move one step.</t>
  </si>
  <si>
    <t xml:space="preserve">Critical structural hit; field repair under load; operation after support-frame damage.</t>
  </si>
  <si>
    <t xml:space="preserve">yes</t>
  </si>
  <si>
    <t xml:space="preserve">limited</t>
  </si>
  <si>
    <t xml:space="preserve">Insufficient mounting area, mass allowance, or non-emulatable material bonding process.</t>
  </si>
  <si>
    <t xml:space="preserve">Passive armor can tolerate a wider Hull TL gap than powered systems, but advanced repair and bonding features may be lost when Adapted.</t>
  </si>
  <si>
    <t xml:space="preserve">Confirm whether adaptation strain belongs to the armor or its mounting interface.</t>
  </si>
  <si>
    <t xml:space="preserve">Sustained boost; overcharge; reactor interruption; field-control damage; critical shield event.</t>
  </si>
  <si>
    <t xml:space="preserve">Missing field-generation capability, incompatible power form, or absent containment hardware.</t>
  </si>
  <si>
    <t xml:space="preserve">Shield technology is strongly related to reactor quality and moderately related to control-computer quality without requiring lockstep advancement.</t>
  </si>
  <si>
    <t xml:space="preserve">Use simulation to test whether the primary gap should tighten at TL 7-9.</t>
  </si>
  <si>
    <t xml:space="preserve">Operational -&gt; Degraded -&gt; Damaged -&gt; Destroyed; severe containment failures may escalate further.</t>
  </si>
  <si>
    <t xml:space="preserve">Sustained overload; emergency output; containment damage; direct power-bus hit.</t>
  </si>
  <si>
    <t xml:space="preserve">Missing containment volume, distribution bus, cooling path, or required physical isolation.</t>
  </si>
  <si>
    <t xml:space="preserve">Advanced reactors need a sufficiently modern hull integration and containment envelope, but older hulls may accept them through costly cradles and converters.</t>
  </si>
  <si>
    <t xml:space="preserve">Assign containment capability tags once reactor mechanics are drafted.</t>
  </si>
  <si>
    <t xml:space="preserve">Operational -&gt; Degraded -&gt; Damaged -&gt; Destroyed; a failed transit system normally drops out safely unless a special critical event applies.</t>
  </si>
  <si>
    <t xml:space="preserve">Long transit; emergency jump; power interruption during field formation; damaged stabilizer.</t>
  </si>
  <si>
    <t xml:space="preserve">Absent FTL field containment, insufficient aperture/volume, or inability to generate the required power form.</t>
  </si>
  <si>
    <t xml:space="preserve">FTL and STL share one Propulsion research TL but are separately installed and separately statted; FTL depends primarily on power and secondarily on hull integration.</t>
  </si>
  <si>
    <t xml:space="preserve">Strategic-map range, speed, and emergency-jump mechanics remain to be assigned.</t>
  </si>
  <si>
    <t xml:space="preserve">Operational -&gt; Degraded -&gt; Damaged -&gt; Destroyed; ordinary failures reduce movement or fuel efficiency before total loss.</t>
  </si>
  <si>
    <t xml:space="preserve">Sustained maximum thrust; evasive maneuvering; emergency burn; drive or power-bus damage.</t>
  </si>
  <si>
    <t xml:space="preserve">Insufficient thrust-frame capacity, incompatible reaction mass/power form, or missing inertial support capability.</t>
  </si>
  <si>
    <t xml:space="preserve">STL drive performance is independent from FTL statistics even though both use the same visible Propulsion research level.</t>
  </si>
  <si>
    <t xml:space="preserve">Combat and pursuit simulation should tune the relationship among speed, fuel, and adaptation strain.</t>
  </si>
  <si>
    <t xml:space="preserve">Operational -&gt; Degraded -&gt; Damaged -&gt; Destroyed; failures first reduce track quality, refresh, or active envelope.</t>
  </si>
  <si>
    <t xml:space="preserve">Sustained active emission; maximum ECM output; rapid multi-track fusion; support-computer damage.</t>
  </si>
  <si>
    <t xml:space="preserve">Missing signal-processing interface, incompatible aperture geometry, or absent exotic detection capability.</t>
  </si>
  <si>
    <t xml:space="preserve">Advanced sensor/EW suites need adequate processing and power but should remain installable on mixed-TL ships through adapters and reduced performance.</t>
  </si>
  <si>
    <t xml:space="preserve">Ensure high-TL sensors never reveal authoritative hidden state.</t>
  </si>
  <si>
    <t xml:space="preserve">Operational -&gt; Degraded -&gt; Damaged -&gt; Destroyed; failures first reduce coordination, bounds, or supported track/weapon load.</t>
  </si>
  <si>
    <t xml:space="preserve">Maximum fire-control load; battle-network surge; power interruption; data-bus damage.</t>
  </si>
  <si>
    <t xml:space="preserve">Missing data-bus architecture, incompatible power quality, or non-emulatable control protocol.</t>
  </si>
  <si>
    <t xml:space="preserve">Computers generally tolerate broader TL gaps than high-energy systems, but some advanced capabilities may require explicit data-bus tags.</t>
  </si>
  <si>
    <t xml:space="preserve">Separate command, fire-control, and automation effects during numerical design.</t>
  </si>
  <si>
    <t xml:space="preserve">Operational -&gt; Degraded -&gt; Damaged -&gt; Destroyed; failures first affect accuracy, reload, recoil handling, or reliability.</t>
  </si>
  <si>
    <t xml:space="preserve">Sustained rapid fire; overpressure/overcharge; damaged mount; fire-control interruption.</t>
  </si>
  <si>
    <t xml:space="preserve">Missing Weapon Bay, insufficient recoil/load path, incompatible ammunition handling, or absent mount geometry.</t>
  </si>
  <si>
    <t xml:space="preserve">Kinetic systems depend more on hull/mounting than reactor TL, with fire-control providing a secondary relationship.</t>
  </si>
  <si>
    <t xml:space="preserve">Autoloader and ready-shot mechanics will add specific support tags later.</t>
  </si>
  <si>
    <t xml:space="preserve">Operational -&gt; Degraded -&gt; Damaged -&gt; Destroyed; failures first reduce output, accuracy, cooling, or firing cadence.</t>
  </si>
  <si>
    <t xml:space="preserve">Sustained fire; overcharge; cooling loss; reactor interruption; fire-control damage.</t>
  </si>
  <si>
    <t xml:space="preserve">Insufficient power quality, absent beam aperture/mount, incompatible cooling, or missing field-control capability.</t>
  </si>
  <si>
    <t xml:space="preserve">Beam weapons are tightly coupled to reactor and power-distribution quality and moderately coupled to fire control.</t>
  </si>
  <si>
    <t xml:space="preserve">Combat simulation should tune power draw, range, and defense-layer interactions.</t>
  </si>
  <si>
    <t xml:space="preserve">Operational -&gt; Degraded -&gt; Damaged -&gt; Destroyed; failures first affect loading, datalink, launch reliability, or supported guidance modes.</t>
  </si>
  <si>
    <t xml:space="preserve">Rapid repeated launch; damaged magazine/launcher; datalink surge; incompatible ammunition handling.</t>
  </si>
  <si>
    <t xml:space="preserve">Missing launcher/bay, incompatible attack-package dimensions, absent datalink/control protocol, or unsafe warhead handling.</t>
  </si>
  <si>
    <t xml:space="preserve">The launcher and ship-side control system relate primarily to computing and secondarily to hull/magazine support; Missile Flight internals remain separately statted.</t>
  </si>
  <si>
    <t xml:space="preserve">Checkpoint 24 should decompose missile propulsion, datalink, navigation sensor, guidance computer, seeker, and warhead.</t>
  </si>
  <si>
    <t xml:space="preserve">Adaptation and Chief Engineer Rules</t>
  </si>
  <si>
    <t xml:space="preserve">Space-opera jury-rigging with visible risk, but no per-activation nuisance rolls and no bypass of fundamental physical requirements.</t>
  </si>
  <si>
    <t xml:space="preserve">rule_id</t>
  </si>
  <si>
    <t xml:space="preserve">topic</t>
  </si>
  <si>
    <t xml:space="preserve">rule</t>
  </si>
  <si>
    <t xml:space="preserve">AR-01</t>
  </si>
  <si>
    <t xml:space="preserve">Research independence</t>
  </si>
  <si>
    <t xml:space="preserve">Research TLs advance independently. Compatibility is evaluated only when installing or operating a component.</t>
  </si>
  <si>
    <t xml:space="preserve">accepted framework</t>
  </si>
  <si>
    <t xml:space="preserve">AR-02</t>
  </si>
  <si>
    <t xml:space="preserve">Small relationship set</t>
  </si>
  <si>
    <t xml:space="preserve">Most standard component families depend on no more than two related support categories plus explicit physical/capability tags.</t>
  </si>
  <si>
    <t xml:space="preserve">AR-03</t>
  </si>
  <si>
    <t xml:space="preserve">Integrated</t>
  </si>
  <si>
    <t xml:space="preserve">All explicit support floors, mounts, capacity, power form, and capability tags are satisfied; the component operates normally.</t>
  </si>
  <si>
    <t xml:space="preserve">AR-04</t>
  </si>
  <si>
    <t xml:space="preserve">Adapted</t>
  </si>
  <si>
    <t xml:space="preserve">A valid adapter, interface, converter, stabilizer, control core, or expert jury-rig makes the component usable at visible cost.</t>
  </si>
  <si>
    <t xml:space="preserve">AR-05</t>
  </si>
  <si>
    <t xml:space="preserve">Incompatible</t>
  </si>
  <si>
    <t xml:space="preserve">No current enabling capability or physical installation path exists. Unrelated alien equipment never creates compatibility.</t>
  </si>
  <si>
    <t xml:space="preserve">AR-06</t>
  </si>
  <si>
    <t xml:space="preserve">Stress timing</t>
  </si>
  <si>
    <t xml:space="preserve">Adaptation Strain increases only during meaningful stress events such as sustained high load, overcharge, power interruption, critical damage, or operation after warnings.</t>
  </si>
  <si>
    <t xml:space="preserve">accepted concept; runtime deferred</t>
  </si>
  <si>
    <t xml:space="preserve">AR-07</t>
  </si>
  <si>
    <t xml:space="preserve">Failure progression</t>
  </si>
  <si>
    <t xml:space="preserve">An adaptation failure normally steps the affected component Operational -&gt; Degraded -&gt; Damaged/Disabled -&gt; Destroyed; severe escalation requires explicit cause.</t>
  </si>
  <si>
    <t xml:space="preserve">terminology review required</t>
  </si>
  <si>
    <t xml:space="preserve">AR-08</t>
  </si>
  <si>
    <t xml:space="preserve">Warnings</t>
  </si>
  <si>
    <t xml:space="preserve">The player sees accumulated strain and a warning before continued operation risks a condition step.</t>
  </si>
  <si>
    <t xml:space="preserve">accepted UI direction</t>
  </si>
  <si>
    <t xml:space="preserve">AR-09</t>
  </si>
  <si>
    <t xml:space="preserve">Workshop adaptation</t>
  </si>
  <si>
    <t xml:space="preserve">A prepared refit uses time, materials, and proper support equipment; it has lower strain and known penalties.</t>
  </si>
  <si>
    <t xml:space="preserve">AR-10</t>
  </si>
  <si>
    <t xml:space="preserve">Field jury-rig</t>
  </si>
  <si>
    <t xml:space="preserve">An emergency adaptation is temporary, more stressful, and more costly; it must be properly refitted later.</t>
  </si>
  <si>
    <t xml:space="preserve">AR-11</t>
  </si>
  <si>
    <t xml:space="preserve">Chief Engineer bridge</t>
  </si>
  <si>
    <t xml:space="preserve">A Skilled Chief Engineer may bridge a limited one-TL support gap; a Legendary Chief Engineer may bridge up to two TLs for one selected installation or emergency action.</t>
  </si>
  <si>
    <t xml:space="preserve">accepted concept; exact limits deferred</t>
  </si>
  <si>
    <t xml:space="preserve">AR-12</t>
  </si>
  <si>
    <t xml:space="preserve">Hard blockers</t>
  </si>
  <si>
    <t xml:space="preserve">Crew skill cannot invent bay volume, mount geometry, containment, absent power form, or a non-emulatable capability tag.</t>
  </si>
  <si>
    <t xml:space="preserve">Preserved Reference Library</t>
  </si>
  <si>
    <t xml:space="preserve">All external files are stored under docs/references and hash-indexed. This inventory distinguishes direct influence, comparison, and background review.</t>
  </si>
  <si>
    <t xml:space="preserve">source_id</t>
  </si>
  <si>
    <t xml:space="preserve">title</t>
  </si>
  <si>
    <t xml:space="preserve">file_name</t>
  </si>
  <si>
    <t xml:space="preserve">project_path</t>
  </si>
  <si>
    <t xml:space="preserve">source_type</t>
  </si>
  <si>
    <t xml:space="preserve">reference_role</t>
  </si>
  <si>
    <t xml:space="preserve">primary_topics</t>
  </si>
  <si>
    <t xml:space="preserve">reviewed_locations</t>
  </si>
  <si>
    <t xml:space="preserve">use_status</t>
  </si>
  <si>
    <t xml:space="preserve">notes</t>
  </si>
  <si>
    <t xml:space="preserve">sha256</t>
  </si>
  <si>
    <t xml:space="preserve">MOO2_MANUAL</t>
  </si>
  <si>
    <t xml:space="preserve">Master of Orion II: Battle at Antares - Game Manual v1.50</t>
  </si>
  <si>
    <t xml:space="preserve">MOO2_GAME_MANUAL.PDF</t>
  </si>
  <si>
    <t xml:space="preserve">docs/references/MOO2_GAME_MANUAL.PDF</t>
  </si>
  <si>
    <t xml:space="preserve">commercial game manual</t>
  </si>
  <si>
    <t xml:space="preserve">direct pattern inspiration</t>
  </si>
  <si>
    <t xml:space="preserve">research categories; named technology progression; ship design; refits; leaders; layered damage; captured technology</t>
  </si>
  <si>
    <t xml:space="preserve">Research and Development pp. 73-117; Ships pp. 119-134; Combat pp. 148-165</t>
  </si>
  <si>
    <t xml:space="preserve">reviewed for Checkpoint 23</t>
  </si>
  <si>
    <t xml:space="preserve">Use only high-level patterns. Do not copy distinctive names, exact technology ladders, tables, numbers, prose, art, or core mechanics.</t>
  </si>
  <si>
    <t xml:space="preserve">Useful as a broad space-opera progression reference; Star Cluster remains a single-ship roguelike rather than a 4X empire game.</t>
  </si>
  <si>
    <t xml:space="preserve">86bb4224ac81422e67688948f8f0e32b3e5afff210ec15b8bb910cb08e7188f4</t>
  </si>
  <si>
    <t xml:space="preserve">T4_STARSHIPS</t>
  </si>
  <si>
    <t xml:space="preserve">Traveller 4 - Starships</t>
  </si>
  <si>
    <t xml:space="preserve">002 T4 Starships.pdf</t>
  </si>
  <si>
    <t xml:space="preserve">docs/references/002 T4 Starships.pdf</t>
  </si>
  <si>
    <t xml:space="preserve">tabletop starship-design rules</t>
  </si>
  <si>
    <t xml:space="preserve">direct subsystem-relationship inspiration</t>
  </si>
  <si>
    <t xml:space="preserve">separate jump and maneuver drives; power; volume; controls; electronics; weapon bays; automation; crew</t>
  </si>
  <si>
    <t xml:space="preserve">Ship design sequence and component chapters, especially pp. 62-95</t>
  </si>
  <si>
    <t xml:space="preserve">Do not copy construction tables, formulas, ratings, or strict same-TL restrictions. Translate only useful relationship patterns into original KISS rules.</t>
  </si>
  <si>
    <t xml:space="preserve">Especially useful for distinguishing physical hard blockers from support-TL mismatches.</t>
  </si>
  <si>
    <t xml:space="preserve">05059c719c27fcae97bbcd7e8a96930cec8e7ddb8fdb12b6076e050bebd7a0e7</t>
  </si>
  <si>
    <t xml:space="preserve">GURPS_SPACE</t>
  </si>
  <si>
    <t xml:space="preserve">GURPS Fourth Edition - Space</t>
  </si>
  <si>
    <t xml:space="preserve">GURPS - 4th Edition - Space.pdf</t>
  </si>
  <si>
    <t xml:space="preserve">docs/references/GURPS - 4th Edition - Space.pdf</t>
  </si>
  <si>
    <t xml:space="preserve">tabletop science-fiction design reference</t>
  </si>
  <si>
    <t xml:space="preserve">comparative setting and subsystem inspiration</t>
  </si>
  <si>
    <t xml:space="preserve">technology tone; space-opera assumptions; drives; FTL; sensors; emissions; spacecraft design; campaign framing</t>
  </si>
  <si>
    <t xml:space="preserve">Technology, spacecraft, space travel, and campaign-design chapters</t>
  </si>
  <si>
    <t xml:space="preserve">Use as a menu of questions and tradeoffs, not as a source of copied advantages, formulas, or equipment lists.</t>
  </si>
  <si>
    <t xml:space="preserve">Supports explicitly choosing where Star Cluster is grounded and where it embraces fantastical space opera.</t>
  </si>
  <si>
    <t xml:space="preserve">39053a5dc304701dff0cb82db00202d8b5e0426dc8b0143ad0b6ff3ca5d66bb2</t>
  </si>
  <si>
    <t xml:space="preserve">TRIPLANETARY</t>
  </si>
  <si>
    <t xml:space="preserve">Triplanetary 2018 Rules</t>
  </si>
  <si>
    <t xml:space="preserve">Triplanetary_2018rules.pdf</t>
  </si>
  <si>
    <t xml:space="preserve">docs/references/Triplanetary_2018rules.pdf</t>
  </si>
  <si>
    <t xml:space="preserve">tabletop space-combat rules</t>
  </si>
  <si>
    <t xml:space="preserve">KISS and tactical-decision comparison</t>
  </si>
  <si>
    <t xml:space="preserve">compact movement; fuel; tactical choices; damage; repair; optional complexity</t>
  </si>
  <si>
    <t xml:space="preserve">Movement, fuel, combat, damage, and optional-rule sections</t>
  </si>
  <si>
    <t xml:space="preserve">Do not reproduce its movement system or combat sequence. Use only the lesson that a few visible resources can create strong tactical decisions.</t>
  </si>
  <si>
    <t xml:space="preserve">A useful counterweight to highly detailed ship-construction references.</t>
  </si>
  <si>
    <t xml:space="preserve">6e335049f507e0f1b367d5969b534134b85c3925fbef4b814d2159abb5eaf6ae</t>
  </si>
  <si>
    <t xml:space="preserve">STARFIRE_ULTRA_EARLY</t>
  </si>
  <si>
    <t xml:space="preserve">Starfire Ultra reference package</t>
  </si>
  <si>
    <t xml:space="preserve">StarfireUltra(2).zip</t>
  </si>
  <si>
    <t xml:space="preserve">docs/references/StarfireUltra(2).zip</t>
  </si>
  <si>
    <t xml:space="preserve">tabletop space-combat rules archive</t>
  </si>
  <si>
    <t xml:space="preserve">detailed comparative reference</t>
  </si>
  <si>
    <t xml:space="preserve">system strings; weapons; missiles; sensors; EW; construction; damage; readiness</t>
  </si>
  <si>
    <t xml:space="preserve">Packaged rules and design material</t>
  </si>
  <si>
    <t xml:space="preserve">reviewed selectively for Checkpoint 23</t>
  </si>
  <si>
    <t xml:space="preserve">Do not copy system-string mechanics, technology trees, abbreviations, combat tables, or weapon statistics. Abstract only broad relationships.</t>
  </si>
  <si>
    <t xml:space="preserve">Substantially overlaps the complete ULTRA archive; do not double-count the same idea as independent evidence.</t>
  </si>
  <si>
    <t xml:space="preserve">325b0cb0c027645a342846bec46a1fe5c41441d5e2c5792a78de7bddcd62cff7</t>
  </si>
  <si>
    <t xml:space="preserve">STARFIRE_ULTRA_COMPLETE</t>
  </si>
  <si>
    <t xml:space="preserve">ULTRA 4/2009 complete rules package</t>
  </si>
  <si>
    <t xml:space="preserve">Ultra_4_2009(complete).zip</t>
  </si>
  <si>
    <t xml:space="preserve">docs/references/Ultra_4_2009(complete).zip</t>
  </si>
  <si>
    <t xml:space="preserve">detailed comparative reference and complexity warning</t>
  </si>
  <si>
    <t xml:space="preserve">generational hulls; damage control; missiles; EW; communications; logistics; construction; leaders</t>
  </si>
  <si>
    <t xml:space="preserve">Packaged rules and appendices</t>
  </si>
  <si>
    <t xml:space="preserve">Do not copy terminology, detailed tree structure, formulas, or tables. Use the source mainly to identify possible relationships and complexity risks.</t>
  </si>
  <si>
    <t xml:space="preserve">Useful for seeing what a comprehensive model covers and what Star Cluster should deliberately compress.</t>
  </si>
  <si>
    <t xml:space="preserve">9d4c04260cca367d60e9dad21c7f6f991dc48d05d3cba0daf6852ff9347ecdd1</t>
  </si>
  <si>
    <t xml:space="preserve">T4_QSDS</t>
  </si>
  <si>
    <t xml:space="preserve">Traveller 4 Quick Ship Design System</t>
  </si>
  <si>
    <t xml:space="preserve">002 T4 QSDS Rules.pdf</t>
  </si>
  <si>
    <t xml:space="preserve">docs/references/002 T4 QSDS Rules.pdf</t>
  </si>
  <si>
    <t xml:space="preserve">tabletop quick-design rules</t>
  </si>
  <si>
    <t xml:space="preserve">interface and abstraction comparison</t>
  </si>
  <si>
    <t xml:space="preserve">quick ship design; ratings; package-level abstraction; playable defaults</t>
  </si>
  <si>
    <t xml:space="preserve">Complete quick-design sequence</t>
  </si>
  <si>
    <t xml:space="preserve">Do not copy package ratings or tables. Use only the layered-interface idea: approachable defaults backed by deeper data.</t>
  </si>
  <si>
    <t xml:space="preserve">Supports keeping the player-facing tree compact while retaining explicit component data internally.</t>
  </si>
  <si>
    <t xml:space="preserve">030635af15c4fc28e08e0f511ba04229848d64f64760c0334765e0081b27572f</t>
  </si>
  <si>
    <t xml:space="preserve">T4_SSDS</t>
  </si>
  <si>
    <t xml:space="preserve">Traveller 4 Standard Ship Design System Revised</t>
  </si>
  <si>
    <t xml:space="preserve">002 T4 SSDS Rules Revised.pdf</t>
  </si>
  <si>
    <t xml:space="preserve">docs/references/002 T4 SSDS Rules Revised.pdf</t>
  </si>
  <si>
    <t xml:space="preserve">tabletop detailed ship-design rules</t>
  </si>
  <si>
    <t xml:space="preserve">comparative dependency reference</t>
  </si>
  <si>
    <t xml:space="preserve">detailed component sizing; power; fuel; controls; crew; design tradeoffs</t>
  </si>
  <si>
    <t xml:space="preserve">Complete standard-design sequence</t>
  </si>
  <si>
    <t xml:space="preserve">Do not copy formulas, exact dependencies, or construction tables. Use only broad causal relationships that survive KISS review.</t>
  </si>
  <si>
    <t xml:space="preserve">Useful as a source of questions, not as Star Cluster implementation specification.</t>
  </si>
  <si>
    <t xml:space="preserve">5a2b179cec3b590dc63c368b73f207d6979d149c2a1f84ce5997d799c4da5b49</t>
  </si>
  <si>
    <t xml:space="preserve">T4_HIGH_GUARD_CONVERSION</t>
  </si>
  <si>
    <t xml:space="preserve">Traveller High Guard to T4 Conversion</t>
  </si>
  <si>
    <t xml:space="preserve">002 HG to T4 Conversion.pdf</t>
  </si>
  <si>
    <t xml:space="preserve">docs/references/002 HG to T4 Conversion.pdf</t>
  </si>
  <si>
    <t xml:space="preserve">rules conversion reference</t>
  </si>
  <si>
    <t xml:space="preserve">data-migration and compatibility comparison</t>
  </si>
  <si>
    <t xml:space="preserve">mapping equipment between rulesets; preserved identity; conversion compromises</t>
  </si>
  <si>
    <t xml:space="preserve">Conversion guidance and tables</t>
  </si>
  <si>
    <t xml:space="preserve">Do not copy conversion ratios or tables. Use only the idea that compatibility transformations should be explicit and lossy.</t>
  </si>
  <si>
    <t xml:space="preserve">Conceptually relevant to Adapted installations and data migration between schema versions.</t>
  </si>
  <si>
    <t xml:space="preserve">d723f748c5e3806764aae12e682223211aaf533ef7280ef02d667f445c00af12</t>
  </si>
  <si>
    <t xml:space="preserve">T4_BIG_HULLS</t>
  </si>
  <si>
    <t xml:space="preserve">Traveller Large Hulls Reference</t>
  </si>
  <si>
    <t xml:space="preserve">002 bighulls.pdf</t>
  </si>
  <si>
    <t xml:space="preserve">docs/references/002 bighulls.pdf</t>
  </si>
  <si>
    <t xml:space="preserve">tabletop ship-design supplement</t>
  </si>
  <si>
    <t xml:space="preserve">scale and complexity warning</t>
  </si>
  <si>
    <t xml:space="preserve">large-hull scaling; component burden; capacity; construction tables</t>
  </si>
  <si>
    <t xml:space="preserve">Large-hull tables and notes</t>
  </si>
  <si>
    <t xml:space="preserve">Do not copy scale tables. Use only as a warning against turning Hull TL into unbounded ship-class escalation.</t>
  </si>
  <si>
    <t xml:space="preserve">Reinforces the persistent cruiser-lineage guardrail.</t>
  </si>
  <si>
    <t xml:space="preserve">b24c9412f373d6f473ac4f97c0cd05a73fa4d082e3b4ade1b99d423d2c2e4fb9</t>
  </si>
  <si>
    <t xml:space="preserve">WARLORDS_I</t>
  </si>
  <si>
    <t xml:space="preserve">Warlords I Rules of Combat</t>
  </si>
  <si>
    <t xml:space="preserve">WIIIDLRRulesOfCombat(1).pdf</t>
  </si>
  <si>
    <t xml:space="preserve">docs/references/WIIIDLRRulesOfCombat(1).pdf</t>
  </si>
  <si>
    <t xml:space="preserve">tabletop campaign/combat rules</t>
  </si>
  <si>
    <t xml:space="preserve">bounded support-effect comparison</t>
  </si>
  <si>
    <t xml:space="preserve">group support; warding; leaders; bounded modifiers</t>
  </si>
  <si>
    <t xml:space="preserve">Combat and support-effect sections</t>
  </si>
  <si>
    <t xml:space="preserve">background review</t>
  </si>
  <si>
    <t xml:space="preserve">Do not import fantasy combat systems. Use only general lessons about readable bounded support effects.</t>
  </si>
  <si>
    <t xml:space="preserve">Limited direct relevance to ship technology.</t>
  </si>
  <si>
    <t xml:space="preserve">4ea5f9ce4e41d32a68fd96289127fbb05cc9601a13dab10a7cddfb5994f5ed20</t>
  </si>
  <si>
    <t xml:space="preserve">WARLORDS_II</t>
  </si>
  <si>
    <t xml:space="preserve">Warlords II Rules</t>
  </si>
  <si>
    <t xml:space="preserve">WarlordsII(1).pdf</t>
  </si>
  <si>
    <t xml:space="preserve">docs/references/WarlordsII(1).pdf</t>
  </si>
  <si>
    <t xml:space="preserve">leader and campaign comparison</t>
  </si>
  <si>
    <t xml:space="preserve">leaders; campaign events; support abilities; force identity</t>
  </si>
  <si>
    <t xml:space="preserve">Leader, campaign, and combat sections</t>
  </si>
  <si>
    <t xml:space="preserve">Do not copy named abilities or combat systems. Use only high-level patterns for bounded officer influence.</t>
  </si>
  <si>
    <t xml:space="preserve">Supports senior officers changing options without replacing ship systems.</t>
  </si>
  <si>
    <t xml:space="preserve">7e536cd874f98c55d3c87b4ecf8022f4564df83f84477d13ad3461a2431ef266</t>
  </si>
  <si>
    <t xml:space="preserve">WARLORDS_III</t>
  </si>
  <si>
    <t xml:space="preserve">Warlords III Rules</t>
  </si>
  <si>
    <t xml:space="preserve">WarlordsIII(1).pdf</t>
  </si>
  <si>
    <t xml:space="preserve">docs/references/WarlordsIII(1).pdf</t>
  </si>
  <si>
    <t xml:space="preserve">leaders; progression; campaign events; support abilities</t>
  </si>
  <si>
    <t xml:space="preserve">Do not copy named abilities, progression, or combat systems. Use only high-level patterns for bounded officer influence.</t>
  </si>
  <si>
    <t xml:space="preserve">Limited direct subsystem relevance.</t>
  </si>
  <si>
    <t xml:space="preserve">3bd14302be1bcfd859a8adcde55d9a2016ad3ad5c6a1f2be76ac812dd3c51d11</t>
  </si>
  <si>
    <t xml:space="preserve">Reference Insights Ledger</t>
  </si>
  <si>
    <t xml:space="preserve">Paraphrased observations, Star Cluster applications, KISS risks, originality limits, and adoption status. No copied rules text is stored here.</t>
  </si>
  <si>
    <t xml:space="preserve">insight_id</t>
  </si>
  <si>
    <t xml:space="preserve">source_location</t>
  </si>
  <si>
    <t xml:space="preserve">subsystem</t>
  </si>
  <si>
    <t xml:space="preserve">insight_type</t>
  </si>
  <si>
    <t xml:space="preserve">observed_pattern</t>
  </si>
  <si>
    <t xml:space="preserve">possible_star_cluster_application</t>
  </si>
  <si>
    <t xml:space="preserve">kiss_risk</t>
  </si>
  <si>
    <t xml:space="preserve">adoption_status</t>
  </si>
  <si>
    <t xml:space="preserve">related_component_or_decision_ids</t>
  </si>
  <si>
    <t xml:space="preserve">decision_note</t>
  </si>
  <si>
    <t xml:space="preserve">RI-001</t>
  </si>
  <si>
    <t xml:space="preserve">R&amp;D pp. 73-117</t>
  </si>
  <si>
    <t xml:space="preserve">research</t>
  </si>
  <si>
    <t xml:space="preserve">progression</t>
  </si>
  <si>
    <t xml:space="preserve">Broad research domains contain multiple concrete applications rather than one visible tree per item.</t>
  </si>
  <si>
    <t xml:space="preserve">Keep ten broad player-facing TL categories while allowing several component families and unlocks inside each category.</t>
  </si>
  <si>
    <t xml:space="preserve">low</t>
  </si>
  <si>
    <t xml:space="preserve">Pattern-level influence only; create original names, data, rules, and implementation. Do not copy proprietary text, tables, exact ladders, or distinctive core mechanics.</t>
  </si>
  <si>
    <t xml:space="preserve">adopted framework</t>
  </si>
  <si>
    <t xml:space="preserve">D-146; D-174; all technology_id values</t>
  </si>
  <si>
    <t xml:space="preserve">The broad-category idea fits Star Cluster, but the exact MOO2 categories and applications are not reused.</t>
  </si>
  <si>
    <t xml:space="preserve">RI-002</t>
  </si>
  <si>
    <t xml:space="preserve">R&amp;D and ship design pp. 73-132</t>
  </si>
  <si>
    <t xml:space="preserve">all components</t>
  </si>
  <si>
    <t xml:space="preserve">qualitative milestones</t>
  </si>
  <si>
    <t xml:space="preserve">Technology progression can unlock new behavior as well as improve raw values.</t>
  </si>
  <si>
    <t xml:space="preserve">At selected TLs, add a named capability, integration improvement, operating mode, or major refit rather than nine uniform percentage steps.</t>
  </si>
  <si>
    <t xml:space="preserve">D-179; TL level themes</t>
  </si>
  <si>
    <t xml:space="preserve">Numerical values remain deferred.</t>
  </si>
  <si>
    <t xml:space="preserve">RI-003</t>
  </si>
  <si>
    <t xml:space="preserve">naming</t>
  </si>
  <si>
    <t xml:space="preserve">naming cadence</t>
  </si>
  <si>
    <t xml:space="preserve">Recognizable physical principles can transition toward more speculative concepts at later levels.</t>
  </si>
  <si>
    <t xml:space="preserve">Use grounded low-TL names, credible mid-TL science fiction, and grand but bounded high-TL names.</t>
  </si>
  <si>
    <t xml:space="preserve">adopted with review</t>
  </si>
  <si>
    <t xml:space="preserve">all display_name fields</t>
  </si>
  <si>
    <t xml:space="preserve">Do not reuse distinctive names or the exact source sequence; repeated use of Metric remains flagged for revision.</t>
  </si>
  <si>
    <t xml:space="preserve">RI-004</t>
  </si>
  <si>
    <t xml:space="preserve">Ships pp. 119-134</t>
  </si>
  <si>
    <t xml:space="preserve">hull and components</t>
  </si>
  <si>
    <t xml:space="preserve">miniaturization</t>
  </si>
  <si>
    <t xml:space="preserve">Advanced technology may reduce installation burden or enable better use of the same hull.</t>
  </si>
  <si>
    <t xml:space="preserve">Let higher TL improve efficiency, integration, or capacity burden without automatically increasing ship class.</t>
  </si>
  <si>
    <t xml:space="preserve">candidate</t>
  </si>
  <si>
    <t xml:space="preserve">Hull TL; component capacity costs</t>
  </si>
  <si>
    <t xml:space="preserve">Must remain compatible with the persistent cruiser lineage.</t>
  </si>
  <si>
    <t xml:space="preserve">RI-005</t>
  </si>
  <si>
    <t xml:space="preserve">Ships and Combat pp. 119-165</t>
  </si>
  <si>
    <t xml:space="preserve">damage</t>
  </si>
  <si>
    <t xml:space="preserve">layered defenses</t>
  </si>
  <si>
    <t xml:space="preserve">Defensive layers and internal-system consequences can create different tactical outcomes.</t>
  </si>
  <si>
    <t xml:space="preserve">Preserve Star Cluster shields -&gt; armor -&gt; hull/internal flow, but keep its deterministic hidden exposure model rather than copying another damage system.</t>
  </si>
  <si>
    <t xml:space="preserve">already consistent</t>
  </si>
  <si>
    <t xml:space="preserve">D-137 to D-140</t>
  </si>
  <si>
    <t xml:space="preserve">Reference confirms the value of differentiated layers, not any exact numbers or tables.</t>
  </si>
  <si>
    <t xml:space="preserve">RI-006</t>
  </si>
  <si>
    <t xml:space="preserve">refit</t>
  </si>
  <si>
    <t xml:space="preserve">refitting</t>
  </si>
  <si>
    <t xml:space="preserve">Refitting gives older hulls a meaningful path to use later equipment.</t>
  </si>
  <si>
    <t xml:space="preserve">Support routine replacements, major drydock refits, and adapted captured equipment as distinct activities.</t>
  </si>
  <si>
    <t xml:space="preserve">D-147; D-175 to D-178</t>
  </si>
  <si>
    <t xml:space="preserve">Star Cluster adaptation strain and engineer rules are original implementation concepts.</t>
  </si>
  <si>
    <t xml:space="preserve">RI-007</t>
  </si>
  <si>
    <t xml:space="preserve">Leaders pp. 135-147</t>
  </si>
  <si>
    <t xml:space="preserve">officer influence</t>
  </si>
  <si>
    <t xml:space="preserve">Leaders can alter outcomes without becoming separate technology systems.</t>
  </si>
  <si>
    <t xml:space="preserve">Use bounded Chief Engineer benefits: limited TL bridge, strain mitigation, emergency jury-rig, or failure mitigation.</t>
  </si>
  <si>
    <t xml:space="preserve">adopted concept</t>
  </si>
  <si>
    <t xml:space="preserve">D-178; Chief Engineer</t>
  </si>
  <si>
    <t xml:space="preserve">Avoid stacking many percentage bonuses.</t>
  </si>
  <si>
    <t xml:space="preserve">RI-008</t>
  </si>
  <si>
    <t xml:space="preserve">R&amp;D and diplomacy systems</t>
  </si>
  <si>
    <t xml:space="preserve">research and salvage</t>
  </si>
  <si>
    <t xml:space="preserve">alternate acquisition</t>
  </si>
  <si>
    <t xml:space="preserve">A civilization may obtain capabilities through routes other than ordinary research.</t>
  </si>
  <si>
    <t xml:space="preserve">Recovered alien devices may be installed, studied, traded, or dismantled; research TL and item TL remain separate.</t>
  </si>
  <si>
    <t xml:space="preserve">D-011; D-147 to D-149</t>
  </si>
  <si>
    <t xml:space="preserve">The campaign context and exact acquisition rules remain Star Cluster-specific.</t>
  </si>
  <si>
    <t xml:space="preserve">RI-009</t>
  </si>
  <si>
    <t xml:space="preserve">Maneuver drives and jump drives, pp. 62-75</t>
  </si>
  <si>
    <t xml:space="preserve">component separation</t>
  </si>
  <si>
    <t xml:space="preserve">Strategic FTL and local maneuver are physically and operationally different systems.</t>
  </si>
  <si>
    <t xml:space="preserve">Use one visible Propulsion research TL with separately named, separately statted FTL and STL component families.</t>
  </si>
  <si>
    <t xml:space="preserve">D-174; ftl_drive; stl_drive</t>
  </si>
  <si>
    <t xml:space="preserve">Research stays compact; installations may be mixed TL.</t>
  </si>
  <si>
    <t xml:space="preserve">RI-010</t>
  </si>
  <si>
    <t xml:space="preserve">Ship design sequence, pp. 62-95</t>
  </si>
  <si>
    <t xml:space="preserve">resource relationships</t>
  </si>
  <si>
    <t xml:space="preserve">Installed systems may impose several distinct ship burdens such as space, power, fuel, controls, and crew.</t>
  </si>
  <si>
    <t xml:space="preserve">Represent only burdens that create decisions: Hull/bay/support capacity, Tactical Power, fuel/ammunition, control support, and hard physical blockers.</t>
  </si>
  <si>
    <t xml:space="preserve">adopted selectively</t>
  </si>
  <si>
    <t xml:space="preserve">compatibility profiles; future numeric fields</t>
  </si>
  <si>
    <t xml:space="preserve">Do not reproduce a construction worksheet or detailed mass-volume accounting.</t>
  </si>
  <si>
    <t xml:space="preserve">RI-011</t>
  </si>
  <si>
    <t xml:space="preserve">Controls and electronics, around p. 72</t>
  </si>
  <si>
    <t xml:space="preserve">computing and sensors</t>
  </si>
  <si>
    <t xml:space="preserve">support dependency</t>
  </si>
  <si>
    <t xml:space="preserve">Controls, computers, avionics, and navigation form a related integration chain.</t>
  </si>
  <si>
    <t xml:space="preserve">Let Sensors/EW and advanced weapons depend modestly on Computing/Fire Control, using explicit floors and Adapted states rather than strict equal-TL rules.</t>
  </si>
  <si>
    <t xml:space="preserve">adopted with simplification</t>
  </si>
  <si>
    <t xml:space="preserve">sensor_processing; beam_power_control; missile_launch_control</t>
  </si>
  <si>
    <t xml:space="preserve">Star Cluster intentionally rejects universal same-TL restrictions.</t>
  </si>
  <si>
    <t xml:space="preserve">RI-012</t>
  </si>
  <si>
    <t xml:space="preserve">Controls and automation, around p. 72</t>
  </si>
  <si>
    <t xml:space="preserve">computing and crew</t>
  </si>
  <si>
    <t xml:space="preserve">tradeoff</t>
  </si>
  <si>
    <t xml:space="preserve">Greater automation can reduce crew burden while increasing shared-system vulnerability.</t>
  </si>
  <si>
    <t xml:space="preserve">Potential later trait: high automation may improve crew efficiency but make some internal failures or hostile intrusion propagate more easily.</t>
  </si>
  <si>
    <t xml:space="preserve">deferred idea</t>
  </si>
  <si>
    <t xml:space="preserve">future computing traits</t>
  </si>
  <si>
    <t xml:space="preserve">Not part of Checkpoint 23 numeric foundation.</t>
  </si>
  <si>
    <t xml:space="preserve">RI-013</t>
  </si>
  <si>
    <t xml:space="preserve">Maneuver drive descriptions, around pp. 70-72</t>
  </si>
  <si>
    <t xml:space="preserve">stl propulsion</t>
  </si>
  <si>
    <t xml:space="preserve">operational context</t>
  </si>
  <si>
    <t xml:space="preserve">A drive can be strong in one environment and constrained in another.</t>
  </si>
  <si>
    <t xml:space="preserve">Allow selected drives or adaptations to carry clear context-specific limitations rather than only lower generic output.</t>
  </si>
  <si>
    <t xml:space="preserve">stl_drive traits</t>
  </si>
  <si>
    <t xml:space="preserve">Use sparingly to avoid exception-heavy movement rules.</t>
  </si>
  <si>
    <t xml:space="preserve">RI-014</t>
  </si>
  <si>
    <t xml:space="preserve">Weapon bays and missile bays, around p. 72</t>
  </si>
  <si>
    <t xml:space="preserve">weapons and magazines</t>
  </si>
  <si>
    <t xml:space="preserve">capacity and readiness</t>
  </si>
  <si>
    <t xml:space="preserve">Weapon installation, fire direction, and ready/reload capacity are related but separable.</t>
  </si>
  <si>
    <t xml:space="preserve">Retain Weapon Bays, one Ready Package, automatic reload, and broad shared magazine families.</t>
  </si>
  <si>
    <t xml:space="preserve">D-161 to D-164</t>
  </si>
  <si>
    <t xml:space="preserve">No source table or launcher count is copied.</t>
  </si>
  <si>
    <t xml:space="preserve">RI-015</t>
  </si>
  <si>
    <t xml:space="preserve">Ship design sequence</t>
  </si>
  <si>
    <t xml:space="preserve">compatibility</t>
  </si>
  <si>
    <t xml:space="preserve">hard blockers</t>
  </si>
  <si>
    <t xml:space="preserve">Some deficiencies are physical rather than numerical: a system may simply not fit or lack an essential interface.</t>
  </si>
  <si>
    <t xml:space="preserve">Distinguish TL shortfalls that an engineer can bridge from non-emulatable blockers such as bay size, containment, mount geometry, or absent power form.</t>
  </si>
  <si>
    <t xml:space="preserve">D-176 to D-178</t>
  </si>
  <si>
    <t xml:space="preserve">This supports KISS by keeping the exception list explicit and small.</t>
  </si>
  <si>
    <t xml:space="preserve">RI-016</t>
  </si>
  <si>
    <t xml:space="preserve">Technology and component descriptions</t>
  </si>
  <si>
    <t xml:space="preserve">efficiency progression</t>
  </si>
  <si>
    <t xml:space="preserve">Later technology may be smaller, safer, more efficient, or easier to integrate rather than only stronger.</t>
  </si>
  <si>
    <t xml:space="preserve">Use performance, efficiency, capacity burden, reliability, and capability milestones as separate TL levers.</t>
  </si>
  <si>
    <t xml:space="preserve">future numeric schema</t>
  </si>
  <si>
    <t xml:space="preserve">Avoid a universal +10% per TL progression.</t>
  </si>
  <si>
    <t xml:space="preserve">RI-017</t>
  </si>
  <si>
    <t xml:space="preserve">Technology and campaign chapters</t>
  </si>
  <si>
    <t xml:space="preserve">tone</t>
  </si>
  <si>
    <t xml:space="preserve">setting assumptions</t>
  </si>
  <si>
    <t xml:space="preserve">A science-fiction game benefits from declaring where it follows engineering intuition and where it permits setting miracles.</t>
  </si>
  <si>
    <t xml:space="preserve">Treat Star Cluster as fantastical space opera with understandable causal rules, not a hard-science simulator.</t>
  </si>
  <si>
    <t xml:space="preserve">adopted principle</t>
  </si>
  <si>
    <t xml:space="preserve">design pillar; D-180</t>
  </si>
  <si>
    <t xml:space="preserve">Names should sound coherent without requiring real-world feasibility at high TL.</t>
  </si>
  <si>
    <t xml:space="preserve">RI-018</t>
  </si>
  <si>
    <t xml:space="preserve">Spacecraft and travel chapters</t>
  </si>
  <si>
    <t xml:space="preserve">capability separation</t>
  </si>
  <si>
    <t xml:space="preserve">Local acceleration and FTL travel solve different gameplay problems and can progress differently.</t>
  </si>
  <si>
    <t xml:space="preserve">Keep FTL speed/range/route stats separate from STL movement/pursuit/fuel stats even though both use Propulsion research.</t>
  </si>
  <si>
    <t xml:space="preserve">No FTL paradigm or formula is copied.</t>
  </si>
  <si>
    <t xml:space="preserve">RI-019</t>
  </si>
  <si>
    <t xml:space="preserve">Spacecraft systems</t>
  </si>
  <si>
    <t xml:space="preserve">sensors and EW</t>
  </si>
  <si>
    <t xml:space="preserve">information tradeoff</t>
  </si>
  <si>
    <t xml:space="preserve">Detection depends on sensors, target emissions, distance, and countermeasures rather than a single omniscient rating.</t>
  </si>
  <si>
    <t xml:space="preserve">Continue observer-specific tracks, active/passive modes, signatures, ECM/ECCM, and Computing-assisted discrimination.</t>
  </si>
  <si>
    <t xml:space="preserve">D-095 onward; sensor_processing</t>
  </si>
  <si>
    <t xml:space="preserve">The existing Star Cluster track model remains authoritative.</t>
  </si>
  <si>
    <t xml:space="preserve">RI-020</t>
  </si>
  <si>
    <t xml:space="preserve">Technology discussions</t>
  </si>
  <si>
    <t xml:space="preserve">maturity</t>
  </si>
  <si>
    <t xml:space="preserve">Higher technology may improve reliability, usability, and size before adding a new peak capability.</t>
  </si>
  <si>
    <t xml:space="preserve">Use intermediate TLs to mature the previous breakthrough and milestone TLs for new capabilities.</t>
  </si>
  <si>
    <t xml:space="preserve">TL level themes</t>
  </si>
  <si>
    <t xml:space="preserve">This helps fill TL 2/4/6/8 meaningfully after anchor levels are set.</t>
  </si>
  <si>
    <t xml:space="preserve">RI-021</t>
  </si>
  <si>
    <t xml:space="preserve">Campaign-design chapters</t>
  </si>
  <si>
    <t xml:space="preserve">campaign</t>
  </si>
  <si>
    <t xml:space="preserve">choice architecture</t>
  </si>
  <si>
    <t xml:space="preserve">Technology is most interesting when it changes available choices and risks, not only combat strength.</t>
  </si>
  <si>
    <t xml:space="preserve">Evaluate each TL item by the decisions it creates in exploration, repair, travel, information, or combat.</t>
  </si>
  <si>
    <t xml:space="preserve">adopted review rule</t>
  </si>
  <si>
    <t xml:space="preserve">mechanical_promise fields</t>
  </si>
  <si>
    <t xml:space="preserve">A name should not promise a mechanic that the item does not have.</t>
  </si>
  <si>
    <t xml:space="preserve">RI-022</t>
  </si>
  <si>
    <t xml:space="preserve">Spacecraft design</t>
  </si>
  <si>
    <t xml:space="preserve">complexity</t>
  </si>
  <si>
    <t xml:space="preserve">scope warning</t>
  </si>
  <si>
    <t xml:space="preserve">Detailed spacecraft design can rapidly become its own simulation game.</t>
  </si>
  <si>
    <t xml:space="preserve">Keep most components to at most two related support categories and avoid per-component mass, volume, heat, crew, and maintenance unless a field creates a recurring decision.</t>
  </si>
  <si>
    <t xml:space="preserve">adopted guardrail</t>
  </si>
  <si>
    <t xml:space="preserve">D-176</t>
  </si>
  <si>
    <t xml:space="preserve">This is a deliberate departure from detailed design systems.</t>
  </si>
  <si>
    <t xml:space="preserve">RI-023</t>
  </si>
  <si>
    <t xml:space="preserve">Movement and fuel sections</t>
  </si>
  <si>
    <t xml:space="preserve">visible resource</t>
  </si>
  <si>
    <t xml:space="preserve">A compact movement resource can make route planning and pursuit decisions legible.</t>
  </si>
  <si>
    <t xml:space="preserve">Keep STL movement allowance and fuel burden visible; do not add continuous-vector bookkeeping to the current hex system.</t>
  </si>
  <si>
    <t xml:space="preserve">candidate consistency check</t>
  </si>
  <si>
    <t xml:space="preserve">stl_drive numeric fields</t>
  </si>
  <si>
    <t xml:space="preserve">Star Cluster retains its own turn and hex movement rules.</t>
  </si>
  <si>
    <t xml:space="preserve">RI-024</t>
  </si>
  <si>
    <t xml:space="preserve">Combat and damage sections</t>
  </si>
  <si>
    <t xml:space="preserve">compact state</t>
  </si>
  <si>
    <t xml:space="preserve">A small number of damage states can preserve tension without dozens of subsystem calculations.</t>
  </si>
  <si>
    <t xml:space="preserve">Retain Operational -&gt; Degraded -&gt; Damaged/Disabled -&gt; Destroyed component condition steps and explicit damage-control choices.</t>
  </si>
  <si>
    <t xml:space="preserve">D-137; D-156 to D-160; D-177</t>
  </si>
  <si>
    <t xml:space="preserve">Terminology must remain consistent during implementation: current Concept uses Disabled for components in some sections.</t>
  </si>
  <si>
    <t xml:space="preserve">RI-025</t>
  </si>
  <si>
    <t xml:space="preserve">Optional rules</t>
  </si>
  <si>
    <t xml:space="preserve">layered complexity</t>
  </si>
  <si>
    <t xml:space="preserve">Optional detail can be added after a playable core proves that the extra rule creates a decision.</t>
  </si>
  <si>
    <t xml:space="preserve">Defer adaptation risk rolls until the compatibility data and ordinary component condition model are stable.</t>
  </si>
  <si>
    <t xml:space="preserve">adopted sequencing</t>
  </si>
  <si>
    <t xml:space="preserve">Checkpoint 23 TODO</t>
  </si>
  <si>
    <t xml:space="preserve">Schema now reserves the concept; runtime implementation comes later.</t>
  </si>
  <si>
    <t xml:space="preserve">RI-026</t>
  </si>
  <si>
    <t xml:space="preserve">Overall rules presentation</t>
  </si>
  <si>
    <t xml:space="preserve">UX</t>
  </si>
  <si>
    <t xml:space="preserve">readability</t>
  </si>
  <si>
    <t xml:space="preserve">A compact rules surface can support deep play when consequences are visible.</t>
  </si>
  <si>
    <t xml:space="preserve">Present Integrated/Adapted/Incompatible and accumulated strain directly rather than hiding prerequisite arithmetic.</t>
  </si>
  <si>
    <t xml:space="preserve">adopted UI direction</t>
  </si>
  <si>
    <t xml:space="preserve">D-147; D-177</t>
  </si>
  <si>
    <t xml:space="preserve">The ship designer should explain the consequence, not ask the player to calculate it.</t>
  </si>
  <si>
    <t xml:space="preserve">RI-027</t>
  </si>
  <si>
    <t xml:space="preserve">Hull and construction material</t>
  </si>
  <si>
    <t xml:space="preserve">hull and damage</t>
  </si>
  <si>
    <t xml:space="preserve">system exposure</t>
  </si>
  <si>
    <t xml:space="preserve">Detailed system placement can create strong damage narratives but also substantial bookkeeping.</t>
  </si>
  <si>
    <t xml:space="preserve">Use bounded hidden exposure groups and individualized major systems rather than a player-managed system string.</t>
  </si>
  <si>
    <t xml:space="preserve">D-137; D-164; D-165</t>
  </si>
  <si>
    <t xml:space="preserve">The source motivates the design problem; Star Cluster uses a different implementation.</t>
  </si>
  <si>
    <t xml:space="preserve">RI-028</t>
  </si>
  <si>
    <t xml:space="preserve">Weapons, missiles, and defenses</t>
  </si>
  <si>
    <t xml:space="preserve">combat</t>
  </si>
  <si>
    <t xml:space="preserve">soft counters</t>
  </si>
  <si>
    <t xml:space="preserve">Distinct weapon and defense families can create tactical identity through interaction rather than pure damage escalation.</t>
  </si>
  <si>
    <t xml:space="preserve">Use soft projectile/armor, energy/shield, and missile/interception relationships; preserve mixed loadout viability.</t>
  </si>
  <si>
    <t xml:space="preserve">D-016; weapon families</t>
  </si>
  <si>
    <t xml:space="preserve">Exact combat matrices and statistics are not reused.</t>
  </si>
  <si>
    <t xml:space="preserve">RI-029</t>
  </si>
  <si>
    <t xml:space="preserve">Sensors, communications, and EW</t>
  </si>
  <si>
    <t xml:space="preserve">sensors and computing</t>
  </si>
  <si>
    <t xml:space="preserve">information systems</t>
  </si>
  <si>
    <t xml:space="preserve">Detection, fire control, communications, and jamming can be separate but interacting systems.</t>
  </si>
  <si>
    <t xml:space="preserve">Keep broad Sensors/EW and Computing/Fire Control categories with explicit component prerequisites and copied-report provenance.</t>
  </si>
  <si>
    <t xml:space="preserve">adopted with compression</t>
  </si>
  <si>
    <t xml:space="preserve">D-146; sensor_processing; computing_power_bus</t>
  </si>
  <si>
    <t xml:space="preserve">Avoid creating separate research trees for every signal-processing function.</t>
  </si>
  <si>
    <t xml:space="preserve">RI-030</t>
  </si>
  <si>
    <t xml:space="preserve">Missile and point-defense material</t>
  </si>
  <si>
    <t xml:space="preserve">missile weapons</t>
  </si>
  <si>
    <t xml:space="preserve">subsystem decomposition</t>
  </si>
  <si>
    <t xml:space="preserve">Missile performance comes from several cooperating subsystems and counters.</t>
  </si>
  <si>
    <t xml:space="preserve">After the game-wide TL foundation, decompose Missile Flight propulsion/endurance, datalink, navigation sensor, Guidance Computer, seeker, warhead, and survivability as study variables.</t>
  </si>
  <si>
    <t xml:space="preserve">planned next pass</t>
  </si>
  <si>
    <t xml:space="preserve">Checkpoint 24</t>
  </si>
  <si>
    <t xml:space="preserve">Do not copy source missile types or resolution tables.</t>
  </si>
  <si>
    <t xml:space="preserve">RI-031</t>
  </si>
  <si>
    <t xml:space="preserve">Damage control and readiness material</t>
  </si>
  <si>
    <t xml:space="preserve">repair and crew</t>
  </si>
  <si>
    <t xml:space="preserve">preparedness</t>
  </si>
  <si>
    <t xml:space="preserve">Damage control capability and crew quality can change how long a ship remains effective.</t>
  </si>
  <si>
    <t xml:space="preserve">Use finite Damage Control Capacity, repair supplies, bounded officer effects, and adaptation strain mitigation.</t>
  </si>
  <si>
    <t xml:space="preserve">D-156 to D-160; D-178</t>
  </si>
  <si>
    <t xml:space="preserve">No readiness formula is imported.</t>
  </si>
  <si>
    <t xml:space="preserve">RI-032</t>
  </si>
  <si>
    <t xml:space="preserve">Technology and construction material</t>
  </si>
  <si>
    <t xml:space="preserve">tree complexity</t>
  </si>
  <si>
    <t xml:space="preserve">A comprehensive technology model can become highly branching and terminology-heavy.</t>
  </si>
  <si>
    <t xml:space="preserve">Use the archive as a completeness checklist while deliberately retaining ten broad player-visible categories.</t>
  </si>
  <si>
    <t xml:space="preserve">D-146; D-176</t>
  </si>
  <si>
    <t xml:space="preserve">This source is primarily a warning against a sprawling tree.</t>
  </si>
  <si>
    <t xml:space="preserve">RI-033</t>
  </si>
  <si>
    <t xml:space="preserve">EW and missile material</t>
  </si>
  <si>
    <t xml:space="preserve">references</t>
  </si>
  <si>
    <t xml:space="preserve">corpus overlap</t>
  </si>
  <si>
    <t xml:space="preserve">Multiple editions or packages may repeat the same underlying ideas.</t>
  </si>
  <si>
    <t xml:space="preserve">Record overlap in the reference ledger and avoid treating duplicate packages as independent design evidence.</t>
  </si>
  <si>
    <t xml:space="preserve">adopted process</t>
  </si>
  <si>
    <t xml:space="preserve">reference library notes</t>
  </si>
  <si>
    <t xml:space="preserve">Both archives remain preserved for continuity.</t>
  </si>
  <si>
    <t xml:space="preserve">RI-034</t>
  </si>
  <si>
    <t xml:space="preserve">Quick design sequence</t>
  </si>
  <si>
    <t xml:space="preserve">UX and data</t>
  </si>
  <si>
    <t xml:space="preserve">layered interface</t>
  </si>
  <si>
    <t xml:space="preserve">A quick-design surface can expose a few ratings while detailed rules remain available underneath.</t>
  </si>
  <si>
    <t xml:space="preserve">Provide standard named TL components and reference-ship defaults, with explicit data available for advanced review.</t>
  </si>
  <si>
    <t xml:space="preserve">TL Matrix; Components sheets</t>
  </si>
  <si>
    <t xml:space="preserve">The game should not require spreadsheet construction to fit a routine component.</t>
  </si>
  <si>
    <t xml:space="preserve">RI-035</t>
  </si>
  <si>
    <t xml:space="preserve">Detailed design sequence</t>
  </si>
  <si>
    <t xml:space="preserve">simulation</t>
  </si>
  <si>
    <t xml:space="preserve">causal checklist</t>
  </si>
  <si>
    <t xml:space="preserve">A detailed design sequence highlights causal relationships that a simpler game may still need to represent.</t>
  </si>
  <si>
    <t xml:space="preserve">Use the reference as a checklist for power, capacity, fuel, controls, crew, ammunition, and repair, then retain only fields that affect play.</t>
  </si>
  <si>
    <t xml:space="preserve">Reference Insights; future numeric schema</t>
  </si>
  <si>
    <t xml:space="preserve">Omission is acceptable when a field adds bookkeeping without decisions.</t>
  </si>
  <si>
    <t xml:space="preserve">RI-036</t>
  </si>
  <si>
    <t xml:space="preserve">Conversion guidance</t>
  </si>
  <si>
    <t xml:space="preserve">explicit conversion</t>
  </si>
  <si>
    <t xml:space="preserve">Cross-system conversion is safer when assumptions and losses are recorded rather than silently equated.</t>
  </si>
  <si>
    <t xml:space="preserve">Represent adapters and compatibility overrides as data with explicit penalties and source capability tags.</t>
  </si>
  <si>
    <t xml:space="preserve">compatibility_override_status; D-176</t>
  </si>
  <si>
    <t xml:space="preserve">This is analogous inspiration, not a conversion of Traveller equipment.</t>
  </si>
  <si>
    <t xml:space="preserve">RI-037</t>
  </si>
  <si>
    <t xml:space="preserve">Large hull tables</t>
  </si>
  <si>
    <t xml:space="preserve">scale warning</t>
  </si>
  <si>
    <t xml:space="preserve">Large-hull systems can make size dominate every other choice.</t>
  </si>
  <si>
    <t xml:space="preserve">Keep Hull TL within a cruiser lineage, with bounded bays, support capacity, stores, compartmentation, and at most a second shuttle.</t>
  </si>
  <si>
    <t xml:space="preserve">D-143 to D-145</t>
  </si>
  <si>
    <t xml:space="preserve">Do not turn TL 9 into a battleship-size escalation.</t>
  </si>
  <si>
    <t xml:space="preserve">RI-038</t>
  </si>
  <si>
    <t xml:space="preserve">Support and combat sections</t>
  </si>
  <si>
    <t xml:space="preserve">bounded support</t>
  </si>
  <si>
    <t xml:space="preserve">Support effects are easier to understand when they are capped and tied to a clear source.</t>
  </si>
  <si>
    <t xml:space="preserve">Keep officer and cooperative bonuses bounded; one Legendary Chief Engineer may bridge a defined shortfall rather than raising every ship statistic.</t>
  </si>
  <si>
    <t xml:space="preserve">D-178</t>
  </si>
  <si>
    <t xml:space="preserve">No fantasy ability or numerical modifier is imported.</t>
  </si>
  <si>
    <t xml:space="preserve">RI-039</t>
  </si>
  <si>
    <t xml:space="preserve">Leader and campaign sections</t>
  </si>
  <si>
    <t xml:space="preserve">crew and campaign</t>
  </si>
  <si>
    <t xml:space="preserve">characterful exception</t>
  </si>
  <si>
    <t xml:space="preserve">A named leader can create memorable exceptions and stories when the exception remains limited.</t>
  </si>
  <si>
    <t xml:space="preserve">Allow rare officers to enable one dramatic jury-rig or protect one adapted installation, supporting emergent campaign stories.</t>
  </si>
  <si>
    <t xml:space="preserve">Chief Engineer ability set</t>
  </si>
  <si>
    <t xml:space="preserve">Must avoid mandatory best-in-slot officer builds.</t>
  </si>
  <si>
    <t xml:space="preserve">RI-040</t>
  </si>
  <si>
    <t xml:space="preserve">Leader and progression sections</t>
  </si>
  <si>
    <t xml:space="preserve">progression guardrail</t>
  </si>
  <si>
    <t xml:space="preserve">Leader progression can overwhelm core unit identity if bonuses stack without bounds.</t>
  </si>
  <si>
    <t xml:space="preserve">Officer abilities should modify checks or unlock options, not replace Reactor, Hull, Computing, or other technology.</t>
  </si>
  <si>
    <t xml:space="preserve">Ship technology remains primary.</t>
  </si>
  <si>
    <t xml:space="preserve">Checkpoint 24-25 Design Reconciliation</t>
  </si>
  <si>
    <t xml:space="preserve">Accepted post-23a rules plus their first executable deterministic implementation boundary.</t>
  </si>
  <si>
    <t xml:space="preserve">current_direction</t>
  </si>
  <si>
    <t xml:space="preserve">reference_influence</t>
  </si>
  <si>
    <t xml:space="preserve">checkpoint_25_decision</t>
  </si>
  <si>
    <t xml:space="preserve">next_action</t>
  </si>
  <si>
    <t xml:space="preserve">Power vocabulary</t>
  </si>
  <si>
    <t xml:space="preserve">One visible Tactical Power pool with Available, Powered, and Spent states.</t>
  </si>
  <si>
    <t xml:space="preserve">User-approved post-23a design discussion.</t>
  </si>
  <si>
    <t xml:space="preserve">Replace Committed/Consumed player-facing terminology; no separate currencies.</t>
  </si>
  <si>
    <t xml:space="preserve">accepted concept</t>
  </si>
  <si>
    <t xml:space="preserve">Update runtime only after baseline calibration.</t>
  </si>
  <si>
    <t xml:space="preserve">One-way power</t>
  </si>
  <si>
    <t xml:space="preserve">Available may become Powered, earmarked, or Spent; actual Powered/Spent power never returns during the turn.</t>
  </si>
  <si>
    <t xml:space="preserve">KISS and anti-micromanagement requirement.</t>
  </si>
  <si>
    <t xml:space="preserve">Shutting down ends the effect but leaves the power locked and normally prohibits same-turn restart.</t>
  </si>
  <si>
    <t xml:space="preserve">Validate decision burden at four boundaries.</t>
  </si>
  <si>
    <t xml:space="preserve">Power opportunities</t>
  </si>
  <si>
    <t xml:space="preserve">Before Movement, Direct Fire, Missiles, and Damage Control.</t>
  </si>
  <si>
    <t xml:space="preserve">User-proposed sub-turn structure.</t>
  </si>
  <si>
    <t xml:space="preserve">Treat as optional activation deadlines, not mandatory full reallocation prompts.</t>
  </si>
  <si>
    <t xml:space="preserve">accepted initial concept</t>
  </si>
  <si>
    <t xml:space="preserve">Testing may consolidate windows.</t>
  </si>
  <si>
    <t xml:space="preserve">EW refresh</t>
  </si>
  <si>
    <t xml:space="preserve">Added ECM/ECCM power causes one prospective Sensor/EW Refresh before the next phase.</t>
  </si>
  <si>
    <t xml:space="preserve">Need meaningful delayed activation without retroactivity.</t>
  </si>
  <si>
    <t xml:space="preserve">Finalize all boundary changes, then refresh once.</t>
  </si>
  <si>
    <t xml:space="preserve">Test early versus delayed activation.</t>
  </si>
  <si>
    <t xml:space="preserve">Reactor envelope</t>
  </si>
  <si>
    <t xml:space="preserve">Mid-turn reactor damage changes the next refresh, not current distributed power.</t>
  </si>
  <si>
    <t xml:space="preserve">Order-independence and KISS.</t>
  </si>
  <si>
    <t xml:space="preserve">Snapshot current-turn power from post-Damage-Control condition.</t>
  </si>
  <si>
    <t xml:space="preserve">Add explicit catastrophic exceptions only when named.</t>
  </si>
  <si>
    <t xml:space="preserve">PDS independence</t>
  </si>
  <si>
    <t xml:space="preserve">PDS includes local tracking and fire control.</t>
  </si>
  <si>
    <t xml:space="preserve">Avoid cross-subsystem dependency explosion.</t>
  </si>
  <si>
    <t xml:space="preserve">Readiness is Powered; family differences use power, ammunition, and performance.</t>
  </si>
  <si>
    <t xml:space="preserve">Tune kinetic, AMM, and energy PDS.</t>
  </si>
  <si>
    <t xml:space="preserve">Shield Armor</t>
  </si>
  <si>
    <t xml:space="preserve">Shield Hardener supplies SA that resists shield-facing damage after SPEN bypass.</t>
  </si>
  <si>
    <t xml:space="preserve">User correction to the older Shield Protection label.</t>
  </si>
  <si>
    <t xml:space="preserve">Use Shield Armor (SA) in the Concept and baseline.</t>
  </si>
  <si>
    <t xml:space="preserve">accepted terminology</t>
  </si>
  <si>
    <t xml:space="preserve">Update all active documentation.</t>
  </si>
  <si>
    <t xml:space="preserve">Shield overload</t>
  </si>
  <si>
    <t xml:space="preserve">Active shield overload creates temporary overcapacity; collapsed shield overload improves next legal recovery.</t>
  </si>
  <si>
    <t xml:space="preserve">Distinct proactive and recovery choices.</t>
  </si>
  <si>
    <t xml:space="preserve">No same-turn restart in the baseline.</t>
  </si>
  <si>
    <t xml:space="preserve">Test advanced immediate restart separately only if needed.</t>
  </si>
  <si>
    <t xml:space="preserve">Weapon identities</t>
  </si>
  <si>
    <t xml:space="preserve">Kinetic uses ammunition and little/no TP; energy uses more TP and no ammo; missiles use finite ammo and no launch TP.</t>
  </si>
  <si>
    <t xml:space="preserve">Core weapon-balance direction.</t>
  </si>
  <si>
    <t xml:space="preserve">Hybrid weapons combine explicit tradeoffs.</t>
  </si>
  <si>
    <t xml:space="preserve">Test situational viability, not exact parity.</t>
  </si>
  <si>
    <t xml:space="preserve">Held interception</t>
  </si>
  <si>
    <t xml:space="preserve">Earmark Available power and reserve the weapon cycle; spend only if triggered.</t>
  </si>
  <si>
    <t xml:space="preserve">Conditional reaction without wasted energy.</t>
  </si>
  <si>
    <t xml:space="preserve">Unused earmark releases after the declared window.</t>
  </si>
  <si>
    <t xml:space="preserve">Keep earmark out of the three-state player display.</t>
  </si>
  <si>
    <t xml:space="preserve">Charge retention</t>
  </si>
  <si>
    <t xml:space="preserve">Final charge payment occurs at turn start; Ready weapons fire without more power and may pay Spent upkeep indefinitely when allowed.</t>
  </si>
  <si>
    <t xml:space="preserve">User-approved charging model.</t>
  </si>
  <si>
    <t xml:space="preserve">FTL clears all charge and Ready state; normal retention adds no Strain.</t>
  </si>
  <si>
    <t xml:space="preserve">Component-specific maximum and hazards.</t>
  </si>
  <si>
    <t xml:space="preserve">Overload and Strain</t>
  </si>
  <si>
    <t xml:space="preserve">Safe overload auto-succeeds; only overload beyond the resulting Strain Limit rolls.</t>
  </si>
  <si>
    <t xml:space="preserve">Drama without nuisance rolls.</t>
  </si>
  <si>
    <t xml:space="preserve">Success works, failure does not, criticals add effects; Strain persists.</t>
  </si>
  <si>
    <t xml:space="preserve">Use exact provisional TL1 success value for testing.</t>
  </si>
  <si>
    <t xml:space="preserve">Strain repair</t>
  </si>
  <si>
    <t xml:space="preserve">Damage Control may remove Strain; full drydock/station service removes all.</t>
  </si>
  <si>
    <t xml:space="preserve">Maintenance opportunity cost.</t>
  </si>
  <si>
    <t xml:space="preserve">FTL does not remove Strain.</t>
  </si>
  <si>
    <t xml:space="preserve">Tune DC chance and quantity.</t>
  </si>
  <si>
    <t xml:space="preserve">Power sources</t>
  </si>
  <si>
    <t xml:space="preserve">Main and Auxiliary Reactors supply core and Tactical Power together; APU supplies core only.</t>
  </si>
  <si>
    <t xml:space="preserve">User correction to backup-bus idea.</t>
  </si>
  <si>
    <t xml:space="preserve">Auxiliary Reactor remains wired and independent unless explicitly damaged.</t>
  </si>
  <si>
    <t xml:space="preserve">Test main-reactor loss and feedback only as explicit critical effects.</t>
  </si>
  <si>
    <t xml:space="preserve">Batteries and capacitors</t>
  </si>
  <si>
    <t xml:space="preserve">Combat Battery one discharge/turn; Capacitor one charge or discharge operation/turn.</t>
  </si>
  <si>
    <t xml:space="preserve">KISS resource distinction.</t>
  </si>
  <si>
    <t xml:space="preserve">Battery is finite; capacitor is reusable storage.</t>
  </si>
  <si>
    <t xml:space="preserve">Test capacitor charging windows.</t>
  </si>
  <si>
    <t xml:space="preserve">Ordinary STL/FTL use drive and fuel; EvM costs extra fuel and 1 TP; STL overload adds Move and tractor resistance.</t>
  </si>
  <si>
    <t xml:space="preserve">User-approved movement identity.</t>
  </si>
  <si>
    <t xml:space="preserve">No default EvM overload; Emergency FTL Jump remains separate.</t>
  </si>
  <si>
    <t xml:space="preserve">Tune degraded double penalties and emergency jump later.</t>
  </si>
  <si>
    <t xml:space="preserve">Beam attack; Tractor Power subtracts from effective STL Move. Equal holds; excess pulls toward source.</t>
  </si>
  <si>
    <t xml:space="preserve">User-approved KISS tractor model.</t>
  </si>
  <si>
    <t xml:space="preserve">Multiple tractors add but can only hold, not reposition or pull.</t>
  </si>
  <si>
    <t xml:space="preserve">Define conflict geometry only when needed.</t>
  </si>
  <si>
    <t xml:space="preserve">Cloak</t>
  </si>
  <si>
    <t xml:space="preserve">Rare Powered system, no default overload, cannot recloak in the same turn after shutdown.</t>
  </si>
  <si>
    <t xml:space="preserve">Power and balance caution.</t>
  </si>
  <si>
    <t xml:space="preserve">Restrictions and decloak penalties remain component-specific.</t>
  </si>
  <si>
    <t xml:space="preserve">Likely Precursor or rare technology.</t>
  </si>
  <si>
    <t xml:space="preserve">Reset model</t>
  </si>
  <si>
    <t xml:space="preserve">Only Turn Refresh and FTL transition are universal resets.</t>
  </si>
  <si>
    <t xml:space="preserve">Avoid ambiguous combat-end exploits.</t>
  </si>
  <si>
    <t xml:space="preserve">FTL clears tactical state but does not repair or replenish.</t>
  </si>
  <si>
    <t xml:space="preserve">Implement explicit reset profiles.</t>
  </si>
  <si>
    <t xml:space="preserve">State/schema</t>
  </si>
  <si>
    <t xml:space="preserve">Separate pristine, persistent current, derived, and turn-local values; use optional profile blocks.</t>
  </si>
  <si>
    <t xml:space="preserve">Clean schema and save-state integrity.</t>
  </si>
  <si>
    <t xml:space="preserve">Prune unused fields during implementation.</t>
  </si>
  <si>
    <t xml:space="preserve">accepted architecture</t>
  </si>
  <si>
    <t xml:space="preserve">Use Component_State_And_Profile_Schema_v0_2.md.</t>
  </si>
  <si>
    <t xml:space="preserve">Crew and Marines</t>
  </si>
  <si>
    <t xml:space="preserve">Track Crew and Marines as distinct counts; Total Personnel is derived.</t>
  </si>
  <si>
    <t xml:space="preserve">Simple future casualty and boarding resource.</t>
  </si>
  <si>
    <t xml:space="preserve">TL1 baseline Crew100, Marines10, minimum Crew10, three casualty stages.</t>
  </si>
  <si>
    <t xml:space="preserve">Introduce casualties only in meaningful chunks.</t>
  </si>
  <si>
    <t xml:space="preserve">Testing strategy</t>
  </si>
  <si>
    <t xml:space="preserve">Start with stripped identical TL1 cruisers and one weapon difference.</t>
  </si>
  <si>
    <t xml:space="preserve">User-proposed controlled baseline.</t>
  </si>
  <si>
    <t xml:space="preserve">Add one TL1 subsystem at a time; identical doctrine before specialized tactics.</t>
  </si>
  <si>
    <t xml:space="preserve">accepted calibration method</t>
  </si>
  <si>
    <t xml:space="preserve">Use exact versioned values and paired tests.</t>
  </si>
  <si>
    <t xml:space="preserve">Balance criterion</t>
  </si>
  <si>
    <t xml:space="preserve">Purpose and situational viability, not equal results.</t>
  </si>
  <si>
    <t xml:space="preserve">User-stated goal.</t>
  </si>
  <si>
    <t xml:space="preserve">Test irrelevant, relevant, and heavy-threat contexts; classify dominant/viable/niche/trap/oppressive/redundant.</t>
  </si>
  <si>
    <t xml:space="preserve">Promote only evidence-supported values.</t>
  </si>
  <si>
    <t xml:space="preserve">TL progression</t>
  </si>
  <si>
    <t xml:space="preserve">Use hybrid progression: modest statistics, efficiency, integration, and qualitative milestones.</t>
  </si>
  <si>
    <t xml:space="preserve">Reference review and user approval.</t>
  </si>
  <si>
    <t xml:space="preserve">Avoid universal +1 to every statistic per TL.</t>
  </si>
  <si>
    <t xml:space="preserve">accepted direction</t>
  </si>
  <si>
    <t xml:space="preserve">Begin above TL1 only after the core baseline is understood.</t>
  </si>
  <si>
    <t xml:space="preserve">Layered-damage runtime</t>
  </si>
  <si>
    <t xml:space="preserve">Exact SPEN -&gt; SA -&gt; Shield -&gt; APEN/AP -&gt; AI -&gt; AP -&gt; Hull order now runs in Core.</t>
  </si>
  <si>
    <t xml:space="preserve">Accepted formulas and TL1 baseline.</t>
  </si>
  <si>
    <t xml:space="preserve">Multiple layers and overkill are deterministic and observable.</t>
  </si>
  <si>
    <t xml:space="preserve">implemented checkpoint 25</t>
  </si>
  <si>
    <t xml:space="preserve">Use in Phase B ship state.</t>
  </si>
  <si>
    <t xml:space="preserve">Power runtime</t>
  </si>
  <si>
    <t xml:space="preserve">Available/Powered/Spent, earmarks, shutdown lock, and turn/FTL clear now run in Core.</t>
  </si>
  <si>
    <t xml:space="preserve">Accepted KISS power model.</t>
  </si>
  <si>
    <t xml:space="preserve">Runner scripts assert valid and rejected transitions.</t>
  </si>
  <si>
    <t xml:space="preserve">Add phase-boundary command integration later.</t>
  </si>
  <si>
    <t xml:space="preserve">Reactor runtime</t>
  </si>
  <si>
    <t xml:space="preserve">Condition output and safe/forced overload now run in Core.</t>
  </si>
  <si>
    <t xml:space="preserve">Accepted Turn Power Envelope and Strain model.</t>
  </si>
  <si>
    <t xml:space="preserve">Current envelope is scenario-asserted separately from next-turn output.</t>
  </si>
  <si>
    <t xml:space="preserve">Add multi-source generation later.</t>
  </si>
  <si>
    <t xml:space="preserve">Weapon packets</t>
  </si>
  <si>
    <t xml:space="preserve">Kinetic, safe energy, and missile packets spend exact power/ammunition.</t>
  </si>
  <si>
    <t xml:space="preserve">Accepted family identities.</t>
  </si>
  <si>
    <t xml:space="preserve">Misses spend declared resources; overload is excluded until complete.</t>
  </si>
  <si>
    <t xml:space="preserve">Add stochastic hit and overload lifecycle later.</t>
  </si>
  <si>
    <t xml:space="preserve">Charging runtime</t>
  </si>
  <si>
    <t xml:space="preserve">Charge, Ready, retention, safe discharge, disablement, and FTL reset now run in Core.</t>
  </si>
  <si>
    <t xml:space="preserve">Accepted charging model.</t>
  </si>
  <si>
    <t xml:space="preserve">Synthetic cases exercise indefinite and capped retention.</t>
  </si>
  <si>
    <t xml:space="preserve">Map exact charged weapons later.</t>
  </si>
  <si>
    <t xml:space="preserve">Scenario corpus</t>
  </si>
  <si>
    <t xml:space="preserve">12 documents and 54 deterministic cases link to matrix rows TL1-A01 through A12.</t>
  </si>
  <si>
    <t xml:space="preserve">User-requested methodical foundation.</t>
  </si>
  <si>
    <t xml:space="preserve">All documents preflight before execution and record baseline hash.</t>
  </si>
  <si>
    <t xml:space="preserve">Proceed only after Windows acceptance.</t>
  </si>
  <si>
    <t xml:space="preserve">Shield-recharge runtime</t>
  </si>
  <si>
    <t xml:space="preserve">Turn-start recharge clears temporary overcapacity, applies condition base, then spends only useful permitted Tactical Power.</t>
  </si>
  <si>
    <t xml:space="preserve">Accepted proactive shield-recovery timing.</t>
  </si>
  <si>
    <t xml:space="preserve">Core owns the recharge operation; runner only supplies baseline data and assertions.</t>
  </si>
  <si>
    <t xml:space="preserve">Integrate with full turn state in Phase B.</t>
  </si>
  <si>
    <t xml:space="preserve">Phase A scope boundary</t>
  </si>
  <si>
    <t xml:space="preserve">No duel, balance, personnel-casualty, optional-system, movement, or Monte Carlo result is promoted in Checkpoint 25.</t>
  </si>
  <si>
    <t xml:space="preserve">Controlled-variable calibration discipline.</t>
  </si>
  <si>
    <t xml:space="preserve">Safe energy modes are executable; weapon overload remains deferred until its complete Strain lifecycle exists.</t>
  </si>
  <si>
    <t xml:space="preserve">explicit checkpoint 25 boundary</t>
  </si>
  <si>
    <t xml:space="preserve">Build deterministic fixed-track duel state next.</t>
  </si>
  <si>
    <t xml:space="preserve">TL 1-9 Era and Progression Themes</t>
  </si>
  <si>
    <t xml:space="preserve">A shared cadence for naming and qualitative progression. It is not a requirement that every subsystem unlock the same kind of benefit at the same TL.</t>
  </si>
  <si>
    <t xml:space="preserve">naming_character</t>
  </si>
  <si>
    <t xml:space="preserve">progression_role</t>
  </si>
  <si>
    <t xml:space="preserve">Familiar engineering and first-generation interstellar equipment.</t>
  </si>
  <si>
    <t xml:space="preserve">Establish baseline capability and visible limitations.</t>
  </si>
  <si>
    <t xml:space="preserve">Reliable refinement of early systems.</t>
  </si>
  <si>
    <t xml:space="preserve">Improve reliability, efficiency, or usability before the next major breakthrough.</t>
  </si>
  <si>
    <t xml:space="preserve">Peak recognizable technology and first major integration milestones.</t>
  </si>
  <si>
    <t xml:space="preserve">Early anchor level; likely major refit or second capability milestone.</t>
  </si>
  <si>
    <t xml:space="preserve">Catalysis, nanoengineering, advanced fields, and transitional systems.</t>
  </si>
  <si>
    <t xml:space="preserve">Bridge conventional and mature interstellar technology.</t>
  </si>
  <si>
    <t xml:space="preserve">Mature, powerful mid-campaign technology.</t>
  </si>
  <si>
    <t xml:space="preserve">Central anchor level and expected near-peer standard.</t>
  </si>
  <si>
    <t xml:space="preserve">Direct conversion, phase control, quantum, and inertial engineering.</t>
  </si>
  <si>
    <t xml:space="preserve">Mature a major exotic breakthrough and improve integration.</t>
  </si>
  <si>
    <t xml:space="preserve">Gravitic, adaptive, and entangled systems.</t>
  </si>
  <si>
    <t xml:space="preserve">Late-game anchor with visible new capabilities.</t>
  </si>
  <si>
    <t xml:space="preserve">Controlled spacetime effects become routine but remain bounded.</t>
  </si>
  <si>
    <t xml:space="preserve">Prepare the player-pinnacle capability; review repeated use of Metric.</t>
  </si>
  <si>
    <t xml:space="preserve">Grand, campaign-defining player technology without becoming Precursor magic.</t>
  </si>
  <si>
    <t xml:space="preserve">Final meaningful anchor, not another small percentage step.</t>
  </si>
  <si>
    <t xml:space="preserve">Star Cluster Design Decision Register - through Checkpoint 58 TL4 subsystem screening</t>
  </si>
  <si>
    <t xml:space="preserve">Decisions through D-551 are consolidated in Concept v0.5e. Checkpoint 58 accepts the dual-main TL4 experiment as negative architecture evidence and screens the single-main subsystem foundation without automatic promotion.</t>
  </si>
  <si>
    <t xml:space="preserve">decision_id</t>
  </si>
  <si>
    <t xml:space="preserve">decision</t>
  </si>
  <si>
    <t xml:space="preserve">D-174</t>
  </si>
  <si>
    <t xml:space="preserve">Use one player-visible Propulsion TL with separate FTL and STL component families, independent stats, and legal mixed Item TLs.</t>
  </si>
  <si>
    <t xml:space="preserve">Current direction</t>
  </si>
  <si>
    <t xml:space="preserve">D-175</t>
  </si>
  <si>
    <t xml:space="preserve">Do not require player technology categories to advance in lockstep.</t>
  </si>
  <si>
    <t xml:space="preserve">Use small item/family-specific support relationships, normally no more than two related technology categories, instead of a universal equal-TL rule.</t>
  </si>
  <si>
    <t xml:space="preserve">D-177</t>
  </si>
  <si>
    <t xml:space="preserve">Reserve visible Adaptation Strain for meaningful stress events; warn before failure and use condition-step consequences rather than rolling on every activation.</t>
  </si>
  <si>
    <t xml:space="preserve">Current direction; runtime deferred</t>
  </si>
  <si>
    <t xml:space="preserve">Allow bounded Chief Engineer support to bridge limited 1-2 TL shortfalls, reduce strain, or create one temporary jury-rig, but never bypass hard physical or non-emulatable requirements.</t>
  </si>
  <si>
    <t xml:space="preserve">Current direction; exact limits deferred</t>
  </si>
  <si>
    <t xml:space="preserve">D-179</t>
  </si>
  <si>
    <t xml:space="preserve">Provide named standard player components at every TL with stable machine IDs; display names remain intentional drafts and must match eventual mechanics.</t>
  </si>
  <si>
    <t xml:space="preserve">D-180</t>
  </si>
  <si>
    <t xml:space="preserve">Use external references only for high-level inspiration and comparison; never copy proprietary prose, art, distinctive names, exact ladders, tables, numerical progressions, formulas, combat matrices, or defining core mechanics.</t>
  </si>
  <si>
    <t xml:space="preserve">Current direction / documentation guardrail</t>
  </si>
  <si>
    <t xml:space="preserve">D-181</t>
  </si>
  <si>
    <t xml:space="preserve">Calibrate matched-TL reference cruisers first, then deliberately test mixed-TL ships and adapted installations before promoting values.</t>
  </si>
  <si>
    <t xml:space="preserve">D-197</t>
  </si>
  <si>
    <t xml:space="preserve">Use Available, Powered, and Spent as the player-facing states of one Tactical Power pool.</t>
  </si>
  <si>
    <t xml:space="preserve">D-198</t>
  </si>
  <si>
    <t xml:space="preserve">Power flows one way during a turn. Shutting down a Powered system ends its effect but does not refund power and normally prohibits same-turn restart.</t>
  </si>
  <si>
    <t xml:space="preserve">D-199</t>
  </si>
  <si>
    <t xml:space="preserve">Use four initial optional power-adjustment opportunities: before Movement, Direct Fire, Missiles / Interception, and Damage Control.</t>
  </si>
  <si>
    <t xml:space="preserve">Current direction; testing may consolidate</t>
  </si>
  <si>
    <t xml:space="preserve">D-200</t>
  </si>
  <si>
    <t xml:space="preserve">After all EW changes at a boundary, resolve one prospective Sensor/EW Refresh; never recalculate earlier results or allow point-by-point probing.</t>
  </si>
  <si>
    <t xml:space="preserve">D-201</t>
  </si>
  <si>
    <t xml:space="preserve">Snapshot the Turn Power Envelope from post-Damage-Control reactor conditions. Ordinary mid-turn reactor damage changes the next refresh, not current distributed energy.</t>
  </si>
  <si>
    <t xml:space="preserve">D-202</t>
  </si>
  <si>
    <t xml:space="preserve">A Disabled or Destroyed Powered component loses its effect immediately, but its locked power remains unavailable until Turn Refresh.</t>
  </si>
  <si>
    <t xml:space="preserve">D-203</t>
  </si>
  <si>
    <t xml:space="preserve">Main and Auxiliary Reactors operate simultaneously and supply core plus Tactical Power. An APU supplies core power only; no default Backup Power Bus is required.</t>
  </si>
  <si>
    <t xml:space="preserve">D-204</t>
  </si>
  <si>
    <t xml:space="preserve">Limit a standard Combat Battery to one fixed discharge per turn and a standard Capacitor Bank to one charge or discharge operation per turn.</t>
  </si>
  <si>
    <t xml:space="preserve">Current direction; capacitor window comparison required</t>
  </si>
  <si>
    <t xml:space="preserve">D-205</t>
  </si>
  <si>
    <t xml:space="preserve">Make each PDS installation self-contained with local tracking/fire control. Readiness is Powered; per-shot power applies only when explicit.</t>
  </si>
  <si>
    <t xml:space="preserve">D-206</t>
  </si>
  <si>
    <t xml:space="preserve">Allow ECM and ECCM to run simultaneously at scalable one-power-per-rating levels and overload above their normal maximum.</t>
  </si>
  <si>
    <t xml:space="preserve">D-207</t>
  </si>
  <si>
    <t xml:space="preserve">Let Active Sensor power and overload increase range rather than sensor quality. Passive Sensors and standard cloaks are not overloadable.</t>
  </si>
  <si>
    <t xml:space="preserve">D-208</t>
  </si>
  <si>
    <t xml:space="preserve">Use Shield Armor (SA) for specialized flat reduction of shield-facing damage after SPEN bypass, replacing the older Shield Protection term.</t>
  </si>
  <si>
    <t xml:space="preserve">Current direction / terminology correction</t>
  </si>
  <si>
    <t xml:space="preserve">D-209</t>
  </si>
  <si>
    <t xml:space="preserve">Make Shield Battery discharge finite, fixed, all-or-nothing, normally one charge per turn, and non-overloadable.</t>
  </si>
  <si>
    <t xml:space="preserve">D-210</t>
  </si>
  <si>
    <t xml:space="preserve">Let an active Shield Generator overload for temporary overcapacity and a collapsed generator overload to improve next legal recovery; no same-turn restart in the baseline.</t>
  </si>
  <si>
    <t xml:space="preserve">Current direction / test baseline</t>
  </si>
  <si>
    <t xml:space="preserve">D-211</t>
  </si>
  <si>
    <t xml:space="preserve">Differentiate weapon families: kinetic uses ammo and little/no TP; energy uses more TP and no ammo; missiles use finite ammo and no launch TP; hybrids combine explicit costs.</t>
  </si>
  <si>
    <t xml:space="preserve">D-212</t>
  </si>
  <si>
    <t xml:space="preserve">Use defined safe output settings and component-specific overload modes for energy and eligible hybrid weapons rather than open-ended power conversion.</t>
  </si>
  <si>
    <t xml:space="preserve">D-213</t>
  </si>
  <si>
    <t xml:space="preserve">Pay final charge power at Turn Refresh; Ready weapons fire without additional power and may retain charge with Spent upkeep when allowed. FTL clears charge state.</t>
  </si>
  <si>
    <t xml:space="preserve">D-214</t>
  </si>
  <si>
    <t xml:space="preserve">Treat held-interception power as an earmark on Available power, not a fourth state. Spend it only if the conditional shot fires.</t>
  </si>
  <si>
    <t xml:space="preserve">D-215</t>
  </si>
  <si>
    <t xml:space="preserve">Keep weapon secondary hazards component-specific and allow explicit Auxiliary mitigation such as Armored Magazines.</t>
  </si>
  <si>
    <t xml:space="preserve">Current direction; effects deferred</t>
  </si>
  <si>
    <t xml:space="preserve">D-216</t>
  </si>
  <si>
    <t xml:space="preserve">Limit ordinary overload eligibility to substantial energy systems and explicit exceptions; do not overload Hull, passive armor, computers, conventional kinetics, missile launchers, fixed batteries, or passive sensors.</t>
  </si>
  <si>
    <t xml:space="preserve">D-217</t>
  </si>
  <si>
    <t xml:space="preserve">Safe overload at or below the resulting Strain Limit auto-succeeds. Overload beyond the limit rolls before benefit; success works, failure does not, and criticals add effects.</t>
  </si>
  <si>
    <t xml:space="preserve">D-218</t>
  </si>
  <si>
    <t xml:space="preserve">Remove Strain through a competing Damage Control task; full drydock/starbase service removes all Strain; FTL does not.</t>
  </si>
  <si>
    <t xml:space="preserve">D-219</t>
  </si>
  <si>
    <t xml:space="preserve">Allow each reactor one listed overload per turn, commonly +1 TP at TL1 and potentially more for advanced reactors.</t>
  </si>
  <si>
    <t xml:space="preserve">Current direction; balance deferred</t>
  </si>
  <si>
    <t xml:space="preserve">D-220</t>
  </si>
  <si>
    <t xml:space="preserve">Ordinary STL uses fuel and no TP. EvM uses extra fuel and a small Spent TP cost without Strain; STL overload adds Move and tractor resistance.</t>
  </si>
  <si>
    <t xml:space="preserve">D-221</t>
  </si>
  <si>
    <t xml:space="preserve">Keep Emergency FTL Jump separate from routine FTL overload and defer its power concentration, vulnerability, and mapped-destination risk rules.</t>
  </si>
  <si>
    <t xml:space="preserve">Resolved by D-329 through D-337 / Checkpoint 36</t>
  </si>
  <si>
    <t xml:space="preserve">D-222</t>
  </si>
  <si>
    <t xml:space="preserve">Treat tractors as beam weapons: Tractor Power subtracts from effective STL Move; equality holds; excess pulls toward the source. Multiple tractors can only hold.</t>
  </si>
  <si>
    <t xml:space="preserve">D-223</t>
  </si>
  <si>
    <t xml:space="preserve">Treat cloak as rare Powered technology. Shutdown never refunds power, and a cloak cannot reactivate in the same turn; no default cloak overload.</t>
  </si>
  <si>
    <t xml:space="preserve">D-224</t>
  </si>
  <si>
    <t xml:space="preserve">Use only Turn Refresh and FTL transition as universal reset events. FTL clears tactical states but does not heal, replenish, or remove Strain.</t>
  </si>
  <si>
    <t xml:space="preserve">D-225</t>
  </si>
  <si>
    <t xml:space="preserve">Separate pristine, persistent current, derived, and turn-local values and apply one deterministic effect-precedence order.</t>
  </si>
  <si>
    <t xml:space="preserve">Current architecture</t>
  </si>
  <si>
    <t xml:space="preserve">D-226</t>
  </si>
  <si>
    <t xml:space="preserve">Use a compact shared component core plus optional subsystem profiles. Components own ordinary internal capability unless an explicit external dependency creates a meaningful decision.</t>
  </si>
  <si>
    <t xml:space="preserve">D-227</t>
  </si>
  <si>
    <t xml:space="preserve">Retain pristine maximums and optional field-repair ceilings. Loss of a functioning maximum-raising Auxiliary clamps current value to the new valid maximum unless specified otherwise.</t>
  </si>
  <si>
    <t xml:space="preserve">D-228</t>
  </si>
  <si>
    <t xml:space="preserve">Track Crew and Marines as separate counts, derive Total Personnel, use Minimum Operating Crew, and apply only three broad casualty stages plus below-minimum operation.</t>
  </si>
  <si>
    <t xml:space="preserve">Current direction / exact TL1 baseline provisional</t>
  </si>
  <si>
    <t xml:space="preserve">D-229</t>
  </si>
  <si>
    <t xml:space="preserve">Use hybrid TL progression: modest raw statistics, efficiency and integration improvements, and staggered qualitative milestones rather than uniform +1 growth.</t>
  </si>
  <si>
    <t xml:space="preserve">D-230</t>
  </si>
  <si>
    <t xml:space="preserve">Begin calibration with stripped identical TL1 cruisers that differ only by weapon and use identical doctrine before optional systems or specialized tactics.</t>
  </si>
  <si>
    <t xml:space="preserve">Current calibration method</t>
  </si>
  <si>
    <t xml:space="preserve">D-231</t>
  </si>
  <si>
    <t xml:space="preserve">Judge components by purpose and situational viability across irrelevant, relevant, and heavy-threat contexts, not by forced equality.</t>
  </si>
  <si>
    <t xml:space="preserve">D-232</t>
  </si>
  <si>
    <t xml:space="preserve">Use exact versioned provisional baseline values and trace every later adjustment through data, scenarios, documentation, and checkpoint evidence.</t>
  </si>
  <si>
    <t xml:space="preserve">D-233</t>
  </si>
  <si>
    <t xml:space="preserve">Implement the first TL1 combat slice in StarCluster.Core and keep the ScenarioRunner as a baseline-driven validation adapter; Godot presentation must not duplicate authoritative mechanics.</t>
  </si>
  <si>
    <t xml:space="preserve">Implemented Checkpoint 25</t>
  </si>
  <si>
    <t xml:space="preserve">D-234</t>
  </si>
  <si>
    <t xml:space="preserve">Resolve layered packets by capped SPEN bypass, Shield Armor, Shield Capacity, combined bypass/overflow, per-layer effective AP once, AI, remaining AP value, subsequent layers, Hull, and separately reported overkill.</t>
  </si>
  <si>
    <t xml:space="preserve">D-235</t>
  </si>
  <si>
    <t xml:space="preserve">At Turn Refresh, remove temporary Shield overcapacity, apply condition-specific base recharge, then Spend only the requested Tactical Power permitted by the Shield profile, missing capacity, and spendable pool.</t>
  </si>
  <si>
    <t xml:space="preserve">D-236</t>
  </si>
  <si>
    <t xml:space="preserve">Snapshot the Turn Power Envelope at turn start. Ordinary mid-turn Reactor condition changes do not subtract current power and affect the next Turn Refresh.</t>
  </si>
  <si>
    <t xml:space="preserve">D-237</t>
  </si>
  <si>
    <t xml:space="preserve">Represent Tactical Power as one ledger with Available, Powered, Spent, and temporary held earmarks. Powered/Spent points never return during the turn; shutdown locks remain unavailable and prohibit same-turn restart.</t>
  </si>
  <si>
    <t xml:space="preserve">D-238</t>
  </si>
  <si>
    <t xml:space="preserve">Use once-per-turn Reactor overload: safe overload is automatic; forced overload rolls before benefit; success works, failure does not, natural 100 is a critical success with no added Strain, and natural 1 is a critical failure that worsens condition.</t>
  </si>
  <si>
    <t xml:space="preserve">Implemented Checkpoint 25 provisional exact result contract</t>
  </si>
  <si>
    <t xml:space="preserve">D-239</t>
  </si>
  <si>
    <t xml:space="preserve">Spend weapon power and ammunition when a shot is executed even on a miss. Implement only safe TL1 energy output modes in Phase A; defer weapon overload until its complete Strain lifecycle exists.</t>
  </si>
  <si>
    <t xml:space="preserve">Implemented / explicit deferral Checkpoint 25</t>
  </si>
  <si>
    <t xml:space="preserve">D-240</t>
  </si>
  <si>
    <t xml:space="preserve">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</si>
  <si>
    <t xml:space="preserve">D-241</t>
  </si>
  <si>
    <t xml:space="preserve">TL1 direct-fire formula and exact modifiers; FIRM is eligibility only.</t>
  </si>
  <si>
    <t xml:space="preserve">Checkpoint 26</t>
  </si>
  <si>
    <t xml:space="preserve">D-242</t>
  </si>
  <si>
    <t xml:space="preserve">Committed direct fire resolves simultaneously and may mutually destroy ships.</t>
  </si>
  <si>
    <t xml:space="preserve">D-243</t>
  </si>
  <si>
    <t xml:space="preserve">Begin Phase B with deterministic fixed-geometry kinetic mirror duels.</t>
  </si>
  <si>
    <t xml:space="preserve">D-244</t>
  </si>
  <si>
    <t xml:space="preserve">Tag natural critical outcomes; defer their extra effects.</t>
  </si>
  <si>
    <t xml:space="preserve">D-245</t>
  </si>
  <si>
    <t xml:space="preserve">Revise the provisional TL1 core-defense baseline to Shield Capacity 2, Shield Armor 0, Armor Integrity 4, Armor Protection 0, and Hull 12.</t>
  </si>
  <si>
    <t xml:space="preserve">Current direction; calibration pending</t>
  </si>
  <si>
    <t xml:space="preserve">D-246</t>
  </si>
  <si>
    <t xml:space="preserve">Revise the provisional TL1 Kinetic Cannon to DAM 3, SPEN 1, APEN 0, and 100 attack packages; treat one package as one attack action.</t>
  </si>
  <si>
    <t xml:space="preserve">D-247</t>
  </si>
  <si>
    <t xml:space="preserve">Revise the provisional TL1 missile magazine to 24 missiles so missile scarcity remains meaningful without forcing routine post-battle resupply.</t>
  </si>
  <si>
    <t xml:space="preserve">Current direction; missile calibration pending</t>
  </si>
  <si>
    <t xml:space="preserve">D-248</t>
  </si>
  <si>
    <t xml:space="preserve">Use a broad paired Monte Carlo interaction matrix before locking TL1 damage, penetration, Shield, Armor, or Hull values.</t>
  </si>
  <si>
    <t xml:space="preserve">Implemented in Phase C foundation</t>
  </si>
  <si>
    <t xml:space="preserve">D-249</t>
  </si>
  <si>
    <t xml:space="preserve">Require mirror-side-bias and side-swapped asymmetry gates, common random numbers, and explicit unresolved/stall reporting for Phase C calibration.</t>
  </si>
  <si>
    <t xml:space="preserve">D-254</t>
  </si>
  <si>
    <t xml:space="preserve">Revise TL1 EvM to -10 against incoming attacks and -5 to own direct fire.</t>
  </si>
  <si>
    <t xml:space="preserve">Checkpoint 29</t>
  </si>
  <si>
    <t xml:space="preserve">D-255</t>
  </si>
  <si>
    <t xml:space="preserve">Complete the stripped-down kinetic-energy-missile matrix before adding subsystem counters.</t>
  </si>
  <si>
    <t xml:space="preserve">D-256</t>
  </si>
  <si>
    <t xml:space="preserve">Use finite Missile Flights with traveled-range pursuit and independent terminal Guidance.</t>
  </si>
  <si>
    <t xml:space="preserve">D-257</t>
  </si>
  <si>
    <t xml:space="preserve">Record stalls, impossible penetration, exhausted magazines, and uncaught targets as mechanical findings.</t>
  </si>
  <si>
    <t xml:space="preserve">D-258</t>
  </si>
  <si>
    <t xml:space="preserve">Implement TL1 PDS as a self-contained Powered terminal defense whose Reaction Capacity is shared across all incoming Missile Flights and both standard terminal windows in the turn.</t>
  </si>
  <si>
    <t xml:space="preserve">Checkpoint 30</t>
  </si>
  <si>
    <t xml:space="preserve">D-259</t>
  </si>
  <si>
    <t xml:space="preserve">Use corrected provisional PDS values: Kinetic 1 TP / RC 1 / 35% local / 50 total; AMM 1 TP / RC 1 / 50% local / 25 total; Energy 2 TP / RC 1 / 40% local / unlimited.</t>
  </si>
  <si>
    <t xml:space="preserve">Checkpoint 31 correction</t>
  </si>
  <si>
    <t xml:space="preserve">D-260</t>
  </si>
  <si>
    <t xml:space="preserve">Commit PDS before EvM/main fire; consume finite Ready Packages; allow Targeting Computer assistance; apply own EvM -5 to Kinetic/Energy but not AMM.</t>
  </si>
  <si>
    <t xml:space="preserve">D-261</t>
  </si>
  <si>
    <t xml:space="preserve">Preserve corrected no-counter and PDS controls; add ECM/ECCM, Active Sensors, Shield Hardener, recharge, and Shield Battery; defer held interception and final balance.</t>
  </si>
  <si>
    <t xml:space="preserve">Checkpoint 31</t>
  </si>
  <si>
    <t xml:space="preserve">D-262</t>
  </si>
  <si>
    <t xml:space="preserve">Treat one preloaded Ready Package as part of every finite total and automatically reload from reserve.</t>
  </si>
  <si>
    <t xml:space="preserve">D-263</t>
  </si>
  <si>
    <t xml:space="preserve">Set TL1 finite totals to Kinetic 100, Missile 25, Kinetic PDS 50, and AMM 25; extrapolate endurance from single engagements.</t>
  </si>
  <si>
    <t xml:space="preserve">D-264</t>
  </si>
  <si>
    <t xml:space="preserve">Allow Operational +10 and Degraded +5 Targeting Computer assistance to PDS with +0 local fallback.</t>
  </si>
  <si>
    <t xml:space="preserve">D-265</t>
  </si>
  <si>
    <t xml:space="preserve">Apply own EvM -5 to Kinetic and Energy PDS but not to AMM after launch.</t>
  </si>
  <si>
    <t xml:space="preserve">D-266</t>
  </si>
  <si>
    <t xml:space="preserve">Use Passive/Active Sensor range, ECM, and ECCM for the Firm gate without a second accuracy penalty.</t>
  </si>
  <si>
    <t xml:space="preserve">D-267</t>
  </si>
  <si>
    <t xml:space="preserve">Add Shield Hardener, tactical recharge, and Shield Battery before reactor-envelope changes.</t>
  </si>
  <si>
    <t xml:space="preserve">D-268</t>
  </si>
  <si>
    <t xml:space="preserve">Keep the 5 TP reactor and deterministic commitment order during the defensive sweep.</t>
  </si>
  <si>
    <t xml:space="preserve">D-269</t>
  </si>
  <si>
    <t xml:space="preserve">Defer overload, held interception, multiple PDS, component damage, multi-engagement logistics, and final balance.</t>
  </si>
  <si>
    <t xml:space="preserve">D-270</t>
  </si>
  <si>
    <t xml:space="preserve">Keep TL1 PDS Reaction Capacity at 1 as a separate statistic; higher-TL Kinetic/Energy may later reach 2, not AMM automatically.</t>
  </si>
  <si>
    <t xml:space="preserve">Current direction / Checkpoint 32 executable</t>
  </si>
  <si>
    <t xml:space="preserve">D-271</t>
  </si>
  <si>
    <t xml:space="preserve">Limit each installed main Missile Launcher to one Missile Flight per turn.</t>
  </si>
  <si>
    <t xml:space="preserve">D-272</t>
  </si>
  <si>
    <t xml:space="preserve">Treat static stalls, denial, outrunning, exhaustion, and saturation as valid mechanics proofs.</t>
  </si>
  <si>
    <t xml:space="preserve">D-273</t>
  </si>
  <si>
    <t xml:space="preserve">Treat Shield Batteries as finite shipyard/drydock-restored emergency reserves and exclude routine doctrine from Reactor valuation.</t>
  </si>
  <si>
    <t xml:space="preserve">D-274</t>
  </si>
  <si>
    <t xml:space="preserve">Refill installed Capacitor Banks to Capacity 3 after FTL; charge 1, discharge 2, one operation per turn.</t>
  </si>
  <si>
    <t xml:space="preserve">D-275</t>
  </si>
  <si>
    <t xml:space="preserve">Implement Kinetic/Energy Held Interception with ordinary resources, power earmarks, PDS-first ordering, and lost offensive cycles.</t>
  </si>
  <si>
    <t xml:space="preserve">D-276</t>
  </si>
  <si>
    <t xml:space="preserve">Use Auxiliary Reactor +2 Operational / +1 Degraded / +0 unavailable as a comparison overlay.</t>
  </si>
  <si>
    <t xml:space="preserve">D-277</t>
  </si>
  <si>
    <t xml:space="preserve">Defer Tractor and STL overload valuation to movement-dependent scenarios.</t>
  </si>
  <si>
    <t xml:space="preserve">D-278</t>
  </si>
  <si>
    <t xml:space="preserve">Sweep renewable Reactor output 0-8 with fixed packages and separate source reporting before selecting normal output.</t>
  </si>
  <si>
    <t xml:space="preserve">D-279</t>
  </si>
  <si>
    <t xml:space="preserve">Make TL1 Kinetic main fire cost 1 Spent Tactical Power while retaining zero launch Tactical Power for the TL1 Missile Launcher.</t>
  </si>
  <si>
    <t xml:space="preserve">Current direction / Checkpoint 33 executable</t>
  </si>
  <si>
    <t xml:space="preserve">D-280</t>
  </si>
  <si>
    <t xml:space="preserve">Make Kinetic Held Interception earmark and, when triggered, spend 1 Tactical Power under the same release and lost-cycle rules as Energy holds.</t>
  </si>
  <si>
    <t xml:space="preserve">D-281</t>
  </si>
  <si>
    <t xml:space="preserve">Resolve Held Main before PDS; successful Held Main preserves PDS ammunition, while a surviving Missile Flight proceeds to normal PDS resolution.</t>
  </si>
  <si>
    <t xml:space="preserve">D-282</t>
  </si>
  <si>
    <t xml:space="preserve">Reduce TL1 Shield overcapacity to +1 temporary Shield Point per safe activation, preserving the existing two-activation safe limit.</t>
  </si>
  <si>
    <t xml:space="preserve">D-283</t>
  </si>
  <si>
    <t xml:space="preserve">Use +1 Operational / +0 Degraded / +0 unavailable for the early Auxiliary Reactor comparison; larger outputs belong to later technology.</t>
  </si>
  <si>
    <t xml:space="preserve">Superseded by D-319 / Checkpoint 36</t>
  </si>
  <si>
    <t xml:space="preserve">D-284</t>
  </si>
  <si>
    <t xml:space="preserve">Focus the correction study on Reactor outputs 3-6 while retaining prior 0-2 and 7-8 evidence as accepted boundary proofs.</t>
  </si>
  <si>
    <t xml:space="preserve">D-285</t>
  </si>
  <si>
    <t xml:space="preserve">Retain 5 TP Operational, 3 TP Degraded, 1 TP Emergency, and 0 TP Destroyed as provisional Reactor states pending the corrected assessment.</t>
  </si>
  <si>
    <t xml:space="preserve">D-286</t>
  </si>
  <si>
    <t xml:space="preserve">Preserve Godot with C# as the production game architecture and preserve StarCluster.Core as the single authoritative rules implementation.</t>
  </si>
  <si>
    <t xml:space="preserve">Current architecture / Checkpoint 34</t>
  </si>
  <si>
    <t xml:space="preserve">D-287</t>
  </si>
  <si>
    <t xml:space="preserve">Use StarCluster.Calibration.sln for routine headless balance and technology calibration; exclude StarCluster.Game from that lane.</t>
  </si>
  <si>
    <t xml:space="preserve">D-288</t>
  </si>
  <si>
    <t xml:space="preserve">Replace bespoke per-checkpoint validation scripts with one stable shared harness driven by a versioned JSON checkpoint definition.</t>
  </si>
  <si>
    <t xml:space="preserve">Current validation architecture / Checkpoint 34</t>
  </si>
  <si>
    <t xml:space="preserve">D-289</t>
  </si>
  <si>
    <t xml:space="preserve">Treat compiled C# tests, executable scenario validators, and native exit codes as the authoritative mechanical gates; do not infer mechanics from source-text or console-text matching.</t>
  </si>
  <si>
    <t xml:space="preserve">D-290</t>
  </si>
  <si>
    <t xml:space="preserve">Keep repository manifest and script-syntax validation as release-integrity gates, but make README, Concept, workbook, and other narrative-document content non-blocking for scenario execution.</t>
  </si>
  <si>
    <t xml:space="preserve">D-291</t>
  </si>
  <si>
    <t xml:space="preserve">Validate Godot/C# integration separately at major milestones by building the complete StarCluster.sln solution.</t>
  </si>
  <si>
    <t xml:space="preserve">Current integration architecture / Checkpoint 34</t>
  </si>
  <si>
    <t xml:space="preserve">D-292</t>
  </si>
  <si>
    <t xml:space="preserve">Absorb the Checkpoint 33 subsystem correction and 294-variant study unchanged into Checkpoint 34 before making new balance decisions.</t>
  </si>
  <si>
    <t xml:space="preserve">Current direction / Checkpoint 34</t>
  </si>
  <si>
    <t xml:space="preserve">D-293</t>
  </si>
  <si>
    <t xml:space="preserve">Use a typed, turn-indexed relative-range schedule for compact calibration instead of implementing free-form ship movement.</t>
  </si>
  <si>
    <t xml:space="preserve">Current direction / Checkpoint 35</t>
  </si>
  <si>
    <t xml:space="preserve">D-294</t>
  </si>
  <si>
    <t xml:space="preserve">Apply scripted range changes at the start of the named turn before sensor/EW, Tactical Power, firing, and missile-resolution decisions.</t>
  </si>
  <si>
    <t xml:space="preserve">D-295</t>
  </si>
  <si>
    <t xml:space="preserve">Reevaluate existing sensor and EW rules at the new separation without imposing an additional automatic movement track-loss penalty.</t>
  </si>
  <si>
    <t xml:space="preserve">D-296</t>
  </si>
  <si>
    <t xml:space="preserve">Adjust every live Missile Flight remaining route by the change in separation while preserving all cumulative traveled distance against Maximum Range.</t>
  </si>
  <si>
    <t xml:space="preserve">D-297</t>
  </si>
  <si>
    <t xml:space="preserve">Constrain relative separation to 0-10 hexes for this pass and defer absolute board coordinates and edge behavior.</t>
  </si>
  <si>
    <t xml:space="preserve">D-298</t>
  </si>
  <si>
    <t xml:space="preserve">Retain narrow scalar faster-target, equal-speed, and faster-missile pursuit proofs without treating them as the final movement model.</t>
  </si>
  <si>
    <t xml:space="preserve">D-299</t>
  </si>
  <si>
    <t xml:space="preserve">Preserve Held Main before PDS on the actual missile-arrival turn and retain one launch per main launcher and TL1 PDS Reaction Capacity 1.</t>
  </si>
  <si>
    <t xml:space="preserve">D-300</t>
  </si>
  <si>
    <t xml:space="preserve">Use a 75-variant focused study under the stable Checkpoint 34 headless C# calibration harness; documentation remains non-blocking for scenario execution.</t>
  </si>
  <si>
    <t xml:space="preserve">D-301</t>
  </si>
  <si>
    <t xml:space="preserve">Use one persistent hidden H/X internal-damage stream: every Hull-reaching damage point removes one Hull and advances one position; H has no extra effect and X invokes one weighted component critical.</t>
  </si>
  <si>
    <t xml:space="preserve">Locked / Checkpoint 36</t>
  </si>
  <si>
    <t xml:space="preserve">D-302</t>
  </si>
  <si>
    <t xml:space="preserve">Generate the internal stream deterministically from density, seed, and stratum; preserve progress across save/reload and repair, never rewind crossed positions, and continue deterministically beyond original Max Hull.</t>
  </si>
  <si>
    <t xml:space="preserve">D-303</t>
  </si>
  <si>
    <t xml:space="preserve">Evaluate 15%, 20%, 25%, 33 1/3%, and 50% Internal Critical Marker densities using 7-6-7, 5, 4, 3, and 2-position strata respectively.</t>
  </si>
  <si>
    <t xml:space="preserve">Initial / tunable Checkpoint 36 calibration</t>
  </si>
  <si>
    <t xml:space="preserve">D-304</t>
  </si>
  <si>
    <t xml:space="preserve">Define Protected Compartmentation as the human construction characteristic that preserves the ordinary seeded finite-track X count while moving retained markers as late as possible without adding Hull.</t>
  </si>
  <si>
    <t xml:space="preserve">Locked characteristic / Checkpoint 36</t>
  </si>
  <si>
    <t xml:space="preserve">D-305</t>
  </si>
  <si>
    <t xml:space="preserve">Call X an Internal Critical Marker and call each weighted component-selection chance Critical Exposure; Critical Exposure represents physical vulnerability rather than durability boxes.</t>
  </si>
  <si>
    <t xml:space="preserve">Locked terminology / Checkpoint 36</t>
  </si>
  <si>
    <t xml:space="preserve">D-306</t>
  </si>
  <si>
    <t xml:space="preserve">Use the initial Critical Exposure catalog: Main Reactor 2; STL 2; FTL, Shield Generator, Shield Hardener, each weapon/launcher, PDS, each damageable magazine, and each explicitly damageable Auxiliary 1; Electronics contributes one grouped ticket.</t>
  </si>
  <si>
    <t xml:space="preserve">D-307</t>
  </si>
  <si>
    <t xml:space="preserve">Resolve the Electronics group with an equal deterministic secondary selection among installed Active Sensors, Targeting Computer, Communications, ECM, and ECCM; Passive Sensors are not damageable.</t>
  </si>
  <si>
    <t xml:space="preserve">D-308</t>
  </si>
  <si>
    <t xml:space="preserve">Keep Destroyed components and Destroyed members of grouped exposure in the selection pool; a later selection causes no new condition step and never rerolls onto a surviving system.</t>
  </si>
  <si>
    <t xml:space="preserve">D-309</t>
  </si>
  <si>
    <t xml:space="preserve">Use Fully Operational, Degraded, Disabled, and Destroyed component conditions. Disabled components may be repaired in battle; Destroyed components require later Ship Repair or facility service.</t>
  </si>
  <si>
    <t xml:space="preserve">D-310</t>
  </si>
  <si>
    <t xml:space="preserve">Use Fully Operational, Degraded, Disabled, Pending Destruction, and Destroyed ship states. Disabled requires Hull above zero plus loss of meaningful offense and standard STL movement; FTL and local defenses do not prevent Disabled status.</t>
  </si>
  <si>
    <t xml:space="preserve">D-311</t>
  </si>
  <si>
    <t xml:space="preserve">At Hull zero mark Pending Destruction, finish all committed Damage-phase packets and critical effects, record later damage as overkill without ordinary H/X advances, then finalize Destroyed at Damage-phase end with no generic blast against other units.</t>
  </si>
  <si>
    <t xml:space="preserve">Locked / Checkpoint 36; supersedes D-140</t>
  </si>
  <si>
    <t xml:space="preserve">D-312</t>
  </si>
  <si>
    <t xml:space="preserve">Treat Damage Control as a distributed non-damageable combat capability: TL1 Capacity 1, three Repair Kits, one attempt per turn, and a cost of 1 Tactical Power plus one kit whether the roll succeeds or fails.</t>
  </si>
  <si>
    <t xml:space="preserve">Locked TL1 / Checkpoint 36</t>
  </si>
  <si>
    <t xml:space="preserve">D-313</t>
  </si>
  <si>
    <t xml:space="preserve">Use provisional TL1 Damage Control chances of 70% Degraded-to-Operational, 50% Disabled-to-Degraded, and 40% to restore exactly one Hull; successful work activates at the next Turn Refresh.</t>
  </si>
  <si>
    <t xml:space="preserve">D-314</t>
  </si>
  <si>
    <t xml:space="preserve">Degraded Kinetic weapons and Missile Launchers retain full shot or Flight performance but require one complete recycling turn after firing or launch; Degraded Energy weapons fire every turn at ceiling-half damage and ceiling-half Tactical Power.</t>
  </si>
  <si>
    <t xml:space="preserve">Locked family behavior / Checkpoint 36</t>
  </si>
  <si>
    <t xml:space="preserve">D-315</t>
  </si>
  <si>
    <t xml:space="preserve">Degraded PDS halves native base interception accuracy rounded up before Targeting Computer and other modifiers, while retaining Reaction Capacity, range, readiness, and ammunition rules.</t>
  </si>
  <si>
    <t xml:space="preserve">D-316</t>
  </si>
  <si>
    <t xml:space="preserve">On a first magazine or finite-store critical halve maximum usable capacity and current contents rounded up; on the second destroy the store and lose remaining contents, while already loaded Ready Packages remain loaded.</t>
  </si>
  <si>
    <t xml:space="preserve">D-317</t>
  </si>
  <si>
    <t xml:space="preserve">A Degraded Shield Generator keeps maximum and current Shield Points but doubles recharge and recovery Tactical Power and loses enhanced modes; Disabled cannot add Shield Points but preserves the current field; Destroyed collapses all Shield Points.</t>
  </si>
  <si>
    <t xml:space="preserve">D-318</t>
  </si>
  <si>
    <t xml:space="preserve">A Degraded Shield Hardener retains full effect for +1 committed Tactical Power; Disabled/Destroyed provide none. A Shield Battery follows the finite-store two-hit rule and repair never recreates lost charge.</t>
  </si>
  <si>
    <t xml:space="preserve">D-319</t>
  </si>
  <si>
    <t xml:space="preserve">Retain the TL1 Main Reactor at 5/3/1/0 Tactical Power for Operational/Degraded/Disabled/Destroyed. A Degraded Auxiliary Reactor may provide +1, then must cool for the following turn.</t>
  </si>
  <si>
    <t xml:space="preserve">Locked TL1 / Checkpoint 36; supersedes D-283</t>
  </si>
  <si>
    <t xml:space="preserve">D-320</t>
  </si>
  <si>
    <t xml:space="preserve">A Degraded Capacitor may discharge normally but cannot recharge during the following recovery turn; Disabled traps existing charge; Destroyed loses it. Combat Batteries follow the finite-store rule, and power already transferred to the pool remains authoritative.</t>
  </si>
  <si>
    <t xml:space="preserve">D-321</t>
  </si>
  <si>
    <t xml:space="preserve">Degraded STL movement is half rounded up and loses boost, overload, and enhanced modes; Disabled/Destroyed STL gives zero standard movement. Propulsion damage applied in Damage phase affects movement beginning next turn.</t>
  </si>
  <si>
    <t xml:space="preserve">D-322</t>
  </si>
  <si>
    <t xml:space="preserve">Make Evasive Maneuvers a separate damageable Auxiliary with Critical Exposure 1. Degraded EvM halves the defensive bonus rounded down and offensive penalty magnitude rounded up; Disabled/Destroyed is unusable.</t>
  </si>
  <si>
    <t xml:space="preserve">D-323</t>
  </si>
  <si>
    <t xml:space="preserve">Degraded FTL range is half rounded up. Disabled FTL gives the player a repeatable one-hex Emergency Egress convenience but gives non-player ships no jump; Destroyed FTL gives none.</t>
  </si>
  <si>
    <t xml:space="preserve">Locked current campaign rule / Checkpoint 36</t>
  </si>
  <si>
    <t xml:space="preserve">D-324</t>
  </si>
  <si>
    <t xml:space="preserve">Passive Sensors cannot be damaged. Degraded Active Sensors provide half their own contribution rounded down at normal power; a Degraded Targeting Computer provides half its own bonus rounded down.</t>
  </si>
  <si>
    <t xml:space="preserve">D-325</t>
  </si>
  <si>
    <t xml:space="preserve">Degraded ECM and ECCM retain full effect for +1 committed Tactical Power and lose enhanced modes. ECM and FTL power-up create public non-positional emissions; ordinary ECCM does not reveal the ship.</t>
  </si>
  <si>
    <t xml:space="preserve">D-326</t>
  </si>
  <si>
    <t xml:space="preserve">Communications are unobstructed while Operational or Degraded and down while Disabled or Destroyed. Missile datalinks are embedded and require working Communications plus at least one Operational or Degraded Missile Launcher.</t>
  </si>
  <si>
    <t xml:space="preserve">D-327</t>
  </si>
  <si>
    <t xml:space="preserve">Permit voluntary in-flight Missile Flight self-destruction before terminal commitment only with line of sight, a current track on the Flight, an active datalink, and functioning command/communications; it costs no separate Tactical Power or action resource.</t>
  </si>
  <si>
    <t xml:space="preserve">D-328</t>
  </si>
  <si>
    <t xml:space="preserve">When a launching ship is Destroyed, command-only missiles self-destruct, autonomous missiles continue, and hybrids use autonomous fallback only when their profile permits.</t>
  </si>
  <si>
    <t xml:space="preserve">D-329</t>
  </si>
  <si>
    <t xml:space="preserve">Use the outermost ring of the 11-hex-diameter system tactical map as the Jump Perimeter: normal FTL arrivals begin there and regular departures must begin from a legal perimeter hex; STL alone never transitions to the strategic map.</t>
  </si>
  <si>
    <t xml:space="preserve">D-330</t>
  </si>
  <si>
    <t xml:space="preserve">Model ordinary gravity restriction only on Jump Perimeter hexes adjacent to a celestial body. Emergency departure ignores perimeter and gravity-location restrictions; maps must preserve at least one legal regular jump hex.</t>
  </si>
  <si>
    <t xml:space="preserve">Locked KISS rule / Checkpoint 36</t>
  </si>
  <si>
    <t xml:space="preserve">D-331</t>
  </si>
  <si>
    <t xml:space="preserve">A ship is Engaged when it shares a tactical system with a known hostile that has detected it and is able and willing to contest departure; neutral or mutually undetected unknown ships do not create Engagement.</t>
  </si>
  <si>
    <t xml:space="preserve">D-332</t>
  </si>
  <si>
    <t xml:space="preserve">Every FTL power-up is known to every ship on the tactical map as a non-positional event, revealing neither location, identity, destination, hostility, nor regular/emergency jump type.</t>
  </si>
  <si>
    <t xml:space="preserve">D-333</t>
  </si>
  <si>
    <t xml:space="preserve">An undetected hostile that has detected the player does not mysteriously block a regular jump declaration; it receives the vulnerable power-up turn in which to reveal itself and attack.</t>
  </si>
  <si>
    <t xml:space="preserve">D-334</t>
  </si>
  <si>
    <t xml:space="preserve">Regular and Emergency FTL dedicate the ship's entire Turn Power Envelope for one full preparation turn and prohibit all other Tactical Power use. Once powered, only destruction of the ship or FTL drive cancels the jump.</t>
  </si>
  <si>
    <t xml:space="preserve">D-335</t>
  </si>
  <si>
    <t xml:space="preserve">Declaring any FTL power-up immediately self-destructs every outbound Missile Flight launched by that ship before missile movement or attack, regardless of guidance, and those Flights remain lost even if the jump later fails.</t>
  </si>
  <si>
    <t xml:space="preserve">Locked anti-exploit rule / Checkpoint 36</t>
  </si>
  <si>
    <t xml:space="preserve">D-336</t>
  </si>
  <si>
    <t xml:space="preserve">On successful player departure remove unresolved inbound Missile Flights and close the tactical encounter; do not simulate persistent off-screen battles on a map without the player.</t>
  </si>
  <si>
    <t xml:space="preserve">D-337</t>
  </si>
  <si>
    <t xml:space="preserve">Keep regular jumps comparatively accurate and make Emergency FTL destination/arrival placement random within legal bounds in a later strategic-travel pass.</t>
  </si>
  <si>
    <t xml:space="preserve">Locked direction; exact randomness deferred</t>
  </si>
  <si>
    <t xml:space="preserve">D-338</t>
  </si>
  <si>
    <t xml:space="preserve">Give every explicitly damageable Auxiliary system Critical Exposure 1; an Auxiliary without a defined damage profile has no Critical Exposure, although lack of required power may make it unusable.</t>
  </si>
  <si>
    <t xml:space="preserve">D-339</t>
  </si>
  <si>
    <t xml:space="preserve">Keep Oversized Engines and Distributed Shield Grid as future Characteristics only; exclude them from the Checkpoint 36 executable matrix.</t>
  </si>
  <si>
    <t xml:space="preserve">Future characteristic / explicitly deferred</t>
  </si>
  <si>
    <t xml:space="preserve">D-340</t>
  </si>
  <si>
    <t xml:space="preserve">Run an 80-variant H/X calibration crossing five densities, ordinary versus Protected placement, Damage Control on/off, kinetic versus missile loadouts, and steady versus burst Hull packets.</t>
  </si>
  <si>
    <t xml:space="preserve">Executable calibration / Checkpoint 36</t>
  </si>
  <si>
    <t xml:space="preserve">D-341</t>
  </si>
  <si>
    <t xml:space="preserve">Add incrementally written acceptance-summary.json and acceptance-summary.txt files that finalize success or failure and preserve SDK, build, test, stage, trial, gate, timing, path, and first-failure evidence.</t>
  </si>
  <si>
    <t xml:space="preserve">Validation architecture / Checkpoint 36</t>
  </si>
  <si>
    <t xml:space="preserve">D-342</t>
  </si>
  <si>
    <t xml:space="preserve">Use Locked, Initial/Tunable, and Future labels in the consolidated Checkpoint 36 documentation so calibration candidates and future Characteristics cannot be mistaken for active rules.</t>
  </si>
  <si>
    <t xml:space="preserve">Documentation guardrail / Checkpoint 36</t>
  </si>
  <si>
    <t xml:space="preserve">D-343</t>
  </si>
  <si>
    <t xml:space="preserve">Keep Mission Kill separate and scenario-specific rather than folding every objective failure into the universal Disabled ship state.</t>
  </si>
  <si>
    <t xml:space="preserve">D-344</t>
  </si>
  <si>
    <t xml:space="preserve">Allow future crew loss to impair Damage Control indirectly, while keeping Damage Control itself non-damageable; design out-of-combat Ship Repair as a later, separate process.</t>
  </si>
  <si>
    <t xml:space="preserve">Future crew/repair integration</t>
  </si>
  <si>
    <t xml:space="preserve">D-345</t>
  </si>
  <si>
    <t xml:space="preserve">Apply component condition changes immediately during Damage resolution for later effects, but begin Reactor-output, propulsion, and successful Damage Control consequences at the next Turn Refresh; never retroactively invalidate committed attacks or power.</t>
  </si>
  <si>
    <t xml:space="preserve">Locked timing / Checkpoint 36</t>
  </si>
  <si>
    <t xml:space="preserve">D-346</t>
  </si>
  <si>
    <t xml:space="preserve">Preserve the ordinary seeded finite-track Internal Critical Marker count under Protected Compartmentation. If a protected marker would occupy the final Max Hull position and an adjacent H is available, swap them so the ending is HHXH rather than HHHX.</t>
  </si>
  <si>
    <t xml:space="preserve">Locked refinement / Checkpoint 36b</t>
  </si>
  <si>
    <t xml:space="preserve">D-347</t>
  </si>
  <si>
    <t xml:space="preserve">Apply an initial tunable Immobile Target modifier of +10 percentage points to incoming ship-target attack accuracy when the target STL Drive is Disabled or Destroyed. It stacks normally with EvM, begins next turn, and does not improve detection, tracking, or PDS interception.</t>
  </si>
  <si>
    <t xml:space="preserve">Initial / tunable combat modifier / Checkpoint 36b</t>
  </si>
  <si>
    <t xml:space="preserve">D-348</t>
  </si>
  <si>
    <t xml:space="preserve">Use 33 1/3% as the provisional ordinary TL1 Internal Critical Marker density, with one X per three-position stratum; retain 25% as the focused integrated-pacing comparison before final lock.</t>
  </si>
  <si>
    <t xml:space="preserve">Provisional / Checkpoint 37</t>
  </si>
  <si>
    <t xml:space="preserve">D-349</t>
  </si>
  <si>
    <t xml:space="preserve">Expose explicit Damage Control eligibility checks. No attempt occurs unless there is repairable component or Hull damage, available attempt capacity, at least one Repair Kit, and sufficient Tactical Power; a rejected no-target check spends nothing and advances no repair roll.</t>
  </si>
  <si>
    <t xml:space="preserve">Locked validation rule / Checkpoint 37</t>
  </si>
  <si>
    <t xml:space="preserve">D-350</t>
  </si>
  <si>
    <t xml:space="preserve">Keep the player-facing TL1 Damage Control loadout at Capacity 1 and three Repair Kits. Use five Repair Kits only in explicitly tagged Checkpoint 37 calibration fixtures so subsystem repair remains measurable.</t>
  </si>
  <si>
    <t xml:space="preserve">Locked calibration boundary / Checkpoint 37</t>
  </si>
  <si>
    <t xml:space="preserve">D-351</t>
  </si>
  <si>
    <t xml:space="preserve">Test component-only, Hull-at-half, and Hull-at-half-with-one-kit-reserved doctrines. Always prefer repairable Disabled components, then Degraded components, before considering Hull repair at 6 Hull or less.</t>
  </si>
  <si>
    <t xml:space="preserve">Calibration doctrine / Checkpoint 37</t>
  </si>
  <si>
    <t xml:space="preserve">D-352</t>
  </si>
  <si>
    <t xml:space="preserve">Report Damage Control eligibility, deferrals, Hull/component and Degraded/Disabled attempts, roll success, next-turn activation, power and kit use, and kits available at the first critical as separate measures.</t>
  </si>
  <si>
    <t xml:space="preserve">Locked reporting contract / Checkpoint 37</t>
  </si>
  <si>
    <t xml:space="preserve">D-353</t>
  </si>
  <si>
    <t xml:space="preserve">Compare 25% and 33 1/3% in an integrated TL1 pacing probe that measures duration, combats over 18 turns, destruction, mission kill, impairment, and unresolved outcomes; apply Immobile Target only from the following turn snapshot to direct fire and terminal missiles, never PDS.</t>
  </si>
  <si>
    <t xml:space="preserve">Initial / tunable study / Checkpoint 37</t>
  </si>
  <si>
    <t xml:space="preserve">D-354</t>
  </si>
  <si>
    <t xml:space="preserve">Route tactical range intent through ITacticalOrderPolicy and an immutable decision context; policies may choose orders and explain them but may not mutate ships, range, missiles, power, or component state.</t>
  </si>
  <si>
    <t xml:space="preserve">Locked architecture / Checkpoint 38</t>
  </si>
  <si>
    <t xml:space="preserve">D-355</t>
  </si>
  <si>
    <t xml:space="preserve">Resolve Hold, Close, Open, and Maintain Preferred Range simultaneously from actual STL condition. TL1 STL movement is 4/2/0 hexes for Operational/Degraded/Disabled-or-Destroyed drives, ships may not cross, and a desired separation may throttle movement before overshoot.</t>
  </si>
  <si>
    <t xml:space="preserve">Initial movement contract / Checkpoint 38</t>
  </si>
  <si>
    <t xml:space="preserve">D-356</t>
  </si>
  <si>
    <t xml:space="preserve">Make Maintain Preferred Range counter only the opponent's actual resolved movement, including desired-range throttling, rather than automatically applying maximum thrust and creating oscillation.</t>
  </si>
  <si>
    <t xml:space="preserve">Locked anti-oscillation rule / Checkpoint 38</t>
  </si>
  <si>
    <t xml:space="preserve">D-357</t>
  </si>
  <si>
    <t xml:space="preserve">After launch, give each Missile Flight its own position, cumulative distance traveled, and maximum range. Recalculate its remaining route after target movement without refunding traveled distance; later launcher movement never pulls the Flight.</t>
  </si>
  <si>
    <t xml:space="preserve">Locked missile geometry / Checkpoint 38</t>
  </si>
  <si>
    <t xml:space="preserve">D-358</t>
  </si>
  <si>
    <t xml:space="preserve">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</si>
  <si>
    <t xml:space="preserve">Executable study / Checkpoint 38</t>
  </si>
  <si>
    <t xml:space="preserve">D-359</t>
  </si>
  <si>
    <t xml:space="preserve">Set Operational ship STL Move equal to the installed STL Drive TL, with no artificial high-TL cap. Degraded movement uses the shared half-rounded-up condition rule; Disabled or Destroyed movement is 0.</t>
  </si>
  <si>
    <t xml:space="preserve">Provisional production law / Checkpoint 39</t>
  </si>
  <si>
    <t xml:space="preserve">D-360</t>
  </si>
  <si>
    <t xml:space="preserve">Set Missile Move equal to the installed Missile Drive TL plus 1. A TL1 missile therefore moves 2 hexes per missile action against a normal TL1 ship Move of 1.</t>
  </si>
  <si>
    <t xml:space="preserve">D-361</t>
  </si>
  <si>
    <t xml:space="preserve">Let STL overload add the drive's listed Move. The TL1 profile spends 1 Tactical Power and 2 extra fuel, applies 1 Strain against a limit of 2, and uses a 60% forced-success chance beyond the safe limit with critical success/failure handling.</t>
  </si>
  <si>
    <t xml:space="preserve">Initial overload contract / Checkpoint 39</t>
  </si>
  <si>
    <t xml:space="preserve">D-362</t>
  </si>
  <si>
    <t xml:space="preserve">Use DAM 4/APEN 0 against AP 0 production armor as the provisional Kinetic Cannon. Retain paired DAM 3/APEN 0, DAM 5/APEN 0, and DAM 4/APEN 1 arms against AP 1 diagnostic armor so both raw damage and APEN are measurable.</t>
  </si>
  <si>
    <t xml:space="preserve">Provisional weapon profile / Checkpoint 39</t>
  </si>
  <si>
    <t xml:space="preserve">D-363</t>
  </si>
  <si>
    <t xml:space="preserve">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</si>
  <si>
    <t xml:space="preserve">Initial termination rule / Checkpoint 39</t>
  </si>
  <si>
    <t xml:space="preserve">D-364</t>
  </si>
  <si>
    <t xml:space="preserve">Make the integrated Shield Generator damageable and use the shared ShieldRechargeService for start-of-turn recharge; report base/tactical restoration, Shieldless turns, and layer-by-layer damage.</t>
  </si>
  <si>
    <t xml:space="preserve">Locked integration/reporting contract / Checkpoint 39</t>
  </si>
  <si>
    <t xml:space="preserve">D-365</t>
  </si>
  <si>
    <t xml:space="preserve">Retain production 1/2, Godot 3/2, legacy 4/1, and overload-equivalent 2/2 movement profiles plus Shield/EvM on-off controls as paired diagnostics rather than silently promoting historical constants.</t>
  </si>
  <si>
    <t xml:space="preserve">Executable diagnostic study / Checkpoint 39</t>
  </si>
  <si>
    <t xml:space="preserve">D-366</t>
  </si>
  <si>
    <t xml:space="preserve">Make the preflight prohibition against copied mutable production values a permanent repository gate for deterministic corpora; baseline-owned values must resolve through the authoritative dictionary or derived references.</t>
  </si>
  <si>
    <t xml:space="preserve">Locked repository guard / Checkpoint 40</t>
  </si>
  <si>
    <t xml:space="preserve">D-367</t>
  </si>
  <si>
    <t xml:space="preserve">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</si>
  <si>
    <t xml:space="preserve">Executable primary doctrine / Checkpoint 40</t>
  </si>
  <si>
    <t xml:space="preserve">D-368</t>
  </si>
  <si>
    <t xml:space="preserve">Retain Kinetic DAM 4/APEN 0 and TL1 Armor AP 0 as the provisional production baseline. Repeat the full grid with AP 1 only as a diagnostic completeness control rather than a candidate TL1 armor change.</t>
  </si>
  <si>
    <t xml:space="preserve">Provisional production lock / Checkpoint 40</t>
  </si>
  <si>
    <t xml:space="preserve">D-369</t>
  </si>
  <si>
    <t xml:space="preserve">Use broad non-blocking review bands rather than a perfect-balance target: inspect strong or extreme advantages, long-combat tails, and unresolved fights, but allow weapon identity and range envelope to create ordinary asymmetry.</t>
  </si>
  <si>
    <t xml:space="preserve">Locked review philosophy / Checkpoint 40</t>
  </si>
  <si>
    <t xml:space="preserve">D-370</t>
  </si>
  <si>
    <t xml:space="preserve">At Range 4, isolate Damage Control, Evasive Maneuvers, Protected Compartmentation, base Shield recharge, and PDS with one-factor-at-a-time controls outside the primary balance score.</t>
  </si>
  <si>
    <t xml:space="preserve">Executable controls / Checkpoint 40</t>
  </si>
  <si>
    <t xml:space="preserve">D-371</t>
  </si>
  <si>
    <t xml:space="preserve">Treat Range 5 outcomes involving weapons outside their maximum range as envelope evidence, not automatically as a baseline balance failure.</t>
  </si>
  <si>
    <t xml:space="preserve">Locked interpretation rule / Checkpoint 40</t>
  </si>
  <si>
    <t xml:space="preserve">D-372</t>
  </si>
  <si>
    <t xml:space="preserve">Organize player technology into low (TL1-3), medium (TL4-6), and high (TL7-9) bands with foundation/refinement/culmination, breakthrough/refinement/culmination, and transformation/refinement/apex rhythms.</t>
  </si>
  <si>
    <t xml:space="preserve">Locked progression framework / Checkpoint 41</t>
  </si>
  <si>
    <t xml:space="preserve">D-373</t>
  </si>
  <si>
    <t xml:space="preserve">Use exact subsystem interaction equations and vector outputs to establish consistency; use hand design and names to establish identity; use simulation to decide whether complete packages work. Do not collapse combat into one universal score.</t>
  </si>
  <si>
    <t xml:space="preserve">Locked method / Checkpoint 41</t>
  </si>
  <si>
    <t xml:space="preserve">D-374</t>
  </si>
  <si>
    <t xml:space="preserve">Use about 66.7% higher-TL victory probability as the initial comparable full-TL2-versus-full-TL1 target, with 60-72% as an exploratory review band. Equal mirror ships remain a fairness check near 50/50; cross-family same-TL fights need not be even.</t>
  </si>
  <si>
    <t xml:space="preserve">Provisional review target / Checkpoint 41</t>
  </si>
  <si>
    <t xml:space="preserve">D-375</t>
  </si>
  <si>
    <t xml:space="preserve">Treat AP, Shield Armor, APEN, SPEN, reaction capacity, and capability modes as deliberate milestone variables rather than automatic per-TL increments. Continuous capacity, efficiency, reliability, and integration may progress separately.</t>
  </si>
  <si>
    <t xml:space="preserve">Locked progression guardrail / Checkpoint 41</t>
  </si>
  <si>
    <t xml:space="preserve">D-376</t>
  </si>
  <si>
    <t xml:space="preserve">Preserve stable component IDs but revise display names whenever a name implies mechanics, maturity, or a tier rhythm that the tested values do not support.</t>
  </si>
  <si>
    <t xml:space="preserve">Locked naming rule / Checkpoint 41</t>
  </si>
  <si>
    <t xml:space="preserve">D-377</t>
  </si>
  <si>
    <t xml:space="preserve">Screen three coherent TL2 candidate packages analytically. Keep all candidate values non-production; recommend the balanced-derived package only as the first Monte Carlo candidate because its analytical full-package mean is near the provisional 66.7% target.</t>
  </si>
  <si>
    <t xml:space="preserve">Candidate-only / Checkpoint 41</t>
  </si>
  <si>
    <t xml:space="preserve">D-378</t>
  </si>
  <si>
    <t xml:space="preserve">Retain the prohibition against copied mutable production values as a permanent repository gate, and bind future scaling evidence to the authoritative baseline hash and explicit candidate documents.</t>
  </si>
  <si>
    <t xml:space="preserve">Permanent repository guard / Checkpoint 41</t>
  </si>
  <si>
    <t xml:space="preserve">D-379</t>
  </si>
  <si>
    <t xml:space="preserve">Within a technology band, use approximately 60/40 higher-TL full-package victory probability as the nominal progression review target; use 57-64% as the first TL2 review band rather than a hard acceptance gate.</t>
  </si>
  <si>
    <t xml:space="preserve">Provisional review target / Checkpoint 42</t>
  </si>
  <si>
    <t xml:space="preserve">D-380</t>
  </si>
  <si>
    <t xml:space="preserve">For the TL3-to-TL4 and TL6-to-TL7 qualitative band transitions, test approximately 75/25 first and retain 80/20 only as an upper stress case. Do not assign later-TL production values from those targets alone.</t>
  </si>
  <si>
    <t xml:space="preserve">Future breakpoint method / Checkpoint 42</t>
  </si>
  <si>
    <t xml:space="preserve">D-381</t>
  </si>
  <si>
    <t xml:space="preserve">Retain the former approximately 66.7% TL2 package as an aggressive upper control rather than the preferred within-band target.</t>
  </si>
  <si>
    <t xml:space="preserve">Aggressive control / Checkpoint 42</t>
  </si>
  <si>
    <t xml:space="preserve">D-382</t>
  </si>
  <si>
    <t xml:space="preserve">Preserve kinetic, energy, and missile weapons as distinct strategic choices at every TL. Comparable overall value does not require identical vectors or universal 50/50 cross-family results.</t>
  </si>
  <si>
    <t xml:space="preserve">Locked identity principle / Checkpoint 42</t>
  </si>
  <si>
    <t xml:space="preserve">D-383</t>
  </si>
  <si>
    <t xml:space="preserve">Require every standard weapon-family pair to retain at least two meaningful operational differences and report convergence across damage, accuracy or guidance, range, penetration, power, and ammunition model.</t>
  </si>
  <si>
    <t xml:space="preserve">Identity diagnostic / Checkpoint 42</t>
  </si>
  <si>
    <t xml:space="preserve">D-384</t>
  </si>
  <si>
    <t xml:space="preserve">Calibrate the scaling analyzer against the complete accepted TL1 Range 2-5 ordered cross-family grid in addition to the twelve mirror rows; keep envelope cases explicit when one side cannot legally fire.</t>
  </si>
  <si>
    <t xml:space="preserve">Expanded evidence calibration / Checkpoint 42</t>
  </si>
  <si>
    <t xml:space="preserve">D-385</t>
  </si>
  <si>
    <t xml:space="preserve">Evaluate the Identity-Preserving Refinement, Aggressive Balanced Control, and Specialization-Forward Control in a complete 324-variant minimal-tactics TL2/TL1 Monte Carlo grid before any candidate promotion.</t>
  </si>
  <si>
    <t xml:space="preserve">Candidate-only Monte Carlo / Checkpoint 42</t>
  </si>
  <si>
    <t xml:space="preserve">D-386</t>
  </si>
  <si>
    <t xml:space="preserve">Keep TL2 component names provisional and revise them whenever tested mechanics break the low-technology progression rhythm, erase a weapon-family distinction, or intrude on the intended TL3 culmination.</t>
  </si>
  <si>
    <t xml:space="preserve">Naming review / Checkpoint 42</t>
  </si>
  <si>
    <t xml:space="preserve">D-387</t>
  </si>
  <si>
    <t xml:space="preserve">Use three installation classes: Dedicated Core Integration, Weapon Bay, and Auxiliary Capacity.</t>
  </si>
  <si>
    <t xml:space="preserve">Current direction / Checkpoint 43</t>
  </si>
  <si>
    <t xml:space="preserve">D-388</t>
  </si>
  <si>
    <t xml:space="preserve">Core does not mean free. A core component may avoid generic Auxiliary Capacity while retaining construction, refit, integration, power, fuel, ammunition, crew, maintenance, compatibility, Critical Exposure, and damage costs.</t>
  </si>
  <si>
    <t xml:space="preserve">D-389</t>
  </si>
  <si>
    <t xml:space="preserve">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</si>
  <si>
    <t xml:space="preserve">D-390</t>
  </si>
  <si>
    <t xml:space="preserve">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</si>
  <si>
    <t xml:space="preserve">D-391</t>
  </si>
  <si>
    <t xml:space="preserve">Treat TL1 calibration and comparison fixtures as mechanics evidence only. Their existence does not prove that the component is a valid standard TL1 player choice.</t>
  </si>
  <si>
    <t xml:space="preserve">D-392</t>
  </si>
  <si>
    <t xml:space="preserve">Set the earliest candidate AUX review point to the maximum of Item TL, primary and support research floors, minimum Hull TL, compatibility and capacity legality, and the balance-entry gate. The result is not automatic production availability.</t>
  </si>
  <si>
    <t xml:space="preserve">D-393</t>
  </si>
  <si>
    <t xml:space="preserve">When an AUX component is overpowered at its proposed entry TL, first move its candidate starting TL upward. Change the established mechanical identity only if it remains unhealthy at the later floor or the mechanic itself is defective.</t>
  </si>
  <si>
    <t xml:space="preserve">D-394</t>
  </si>
  <si>
    <t xml:space="preserve">Apply stricter entry gates to renewable power, flat damage prevention, extra action capacity, movement denial, strategic-economy multipliers, and cooperative stacking because these functions cross thresholds or compound faster than ordinary statistical refinement.</t>
  </si>
  <si>
    <t xml:space="preserve">D-395</t>
  </si>
  <si>
    <t xml:space="preserve">Do not treat duplicate core systems as free core copies. Every additional instance requires an explicit dedicated mount or consumes the appropriate Weapon Bay or Auxiliary Capacity and obeys stacking and damage rules.</t>
  </si>
  <si>
    <t xml:space="preserve">D-396</t>
  </si>
  <si>
    <t xml:space="preserve">Keep the Checkpoint 43 twenty-seven-family standard AUX catalog candidate-only. Candidate starting floors may move upward after testing but may not move downward or become production values without explicit later acceptance.</t>
  </si>
  <si>
    <t xml:space="preserve">D-397</t>
  </si>
  <si>
    <t xml:space="preserve">Exclude standard player cloak technology from the ordinary AUX catalog. Alien, Precursor, and rare rule-breaking components remain outside standard player availability.</t>
  </si>
  <si>
    <t xml:space="preserve">D-398</t>
  </si>
  <si>
    <t xml:space="preserve">Checkpoint 43 changes no accepted combat mechanic; it formalizes installation, documentation, candidate availability, and balance-entry contracts only.</t>
  </si>
  <si>
    <t xml:space="preserve">D-419</t>
  </si>
  <si>
    <t xml:space="preserve">Accept Checkpoint 45a as the native validation baseline. Use Armor Step plus Conservative Direct Fire as the leading provisional TL2 reference and Hull Step plus Conservative Direct Fire as the structural control; neither is production data.</t>
  </si>
  <si>
    <t xml:space="preserve">Checkpoint 46 candidate-only direction</t>
  </si>
  <si>
    <t xml:space="preserve">D-420</t>
  </si>
  <si>
    <t xml:space="preserve">Require dynamic same-TL cross-family confirmation before promoting a TL2 reference package. Fixed close-combat dominance alone does not establish compulsory overall choice.</t>
  </si>
  <si>
    <t xml:space="preserve">D-421</t>
  </si>
  <si>
    <t xml:space="preserve">Preserve the established Preferred Range doctrines: Kinetic closes, Energy seeks a middle band, and Missile seeks standoff range.</t>
  </si>
  <si>
    <t xml:space="preserve">D-422</t>
  </si>
  <si>
    <t xml:space="preserve">Test every unordered weapon-family pair in both orientations from starting ranges 1 through 6 with paired random streams.</t>
  </si>
  <si>
    <t xml:space="preserve">D-423</t>
  </si>
  <si>
    <t xml:space="preserve">Retain fixed ranges 2 through 4 as separate mutual-envelope controls rather than general balance gates.</t>
  </si>
  <si>
    <t xml:space="preserve">D-424</t>
  </si>
  <si>
    <t xml:space="preserve">Report pooled outcomes, decisive coverage, starting-range sensitivity, role expression, and orientation effects.</t>
  </si>
  <si>
    <t xml:space="preserve">D-425</t>
  </si>
  <si>
    <t xml:space="preserve">Do not require exact family parity. Range-defined and era-specific advantages are acceptable when alternatives remain meaningful.</t>
  </si>
  <si>
    <t xml:space="preserve">D-426</t>
  </si>
  <si>
    <t xml:space="preserve">Treat broad dominance and irrelevance as non-blocking review signals.</t>
  </si>
  <si>
    <t xml:space="preserve">D-427</t>
  </si>
  <si>
    <t xml:space="preserve">If a compulsory choice appears, adjust family-consistent characteristics, costs, counters, limitations, or TL progression rather than converging identities.</t>
  </si>
  <si>
    <t xml:space="preserve">D-428</t>
  </si>
  <si>
    <t xml:space="preserve">Checkpoint 46 promotes no profile or weapon value automatically.</t>
  </si>
  <si>
    <t xml:space="preserve">D-429</t>
  </si>
  <si>
    <t xml:space="preserve">Accept Checkpoint 46 as the diagnostic baseline. Its Kinetic-versus-Energy result identifies a range-policy issue before a weapon-statistics issue.</t>
  </si>
  <si>
    <t xml:space="preserve">Checkpoint 47 candidate-only direction</t>
  </si>
  <si>
    <t xml:space="preserve">D-430</t>
  </si>
  <si>
    <t xml:space="preserve">Add a generic opponent-aware range policy that considers both the acting ship weapon envelope and the observed opponent weapon envelope.</t>
  </si>
  <si>
    <t xml:space="preserve">D-431</t>
  </si>
  <si>
    <t xml:space="preserve">When the acting ship outranges the target, seek the outer edge of its useful firing envelope.</t>
  </si>
  <si>
    <t xml:space="preserve">D-432</t>
  </si>
  <si>
    <t xml:space="preserve">When the acting ship is outranged, seek the outer edge of its established preferred band while applying pressure.</t>
  </si>
  <si>
    <t xml:space="preserve">D-433</t>
  </si>
  <si>
    <t xml:space="preserve">When maximum ranges are equal, retain the established preferred-band target; when the target envelope is unknown, fall back to family-only Preferred Range.</t>
  </si>
  <si>
    <t xml:space="preserve">D-434</t>
  </si>
  <si>
    <t xml:space="preserve">Retain the existing family-only Preferred Range policy as the direct control rather than replacing its evidence.</t>
  </si>
  <si>
    <t xml:space="preserve">D-435</t>
  </si>
  <si>
    <t xml:space="preserve">Compare both policies for both provisional profiles, all three unordered family pairs, both orientations, and starting ranges 1 through 6.</t>
  </si>
  <si>
    <t xml:space="preserve">D-436</t>
  </si>
  <si>
    <t xml:space="preserve">Retain separate fixed Range 5 Kinetic/Energy controls to demonstrate the raw Energy standoff opportunity without folding them into dynamic policy averages.</t>
  </si>
  <si>
    <t xml:space="preserve">D-437</t>
  </si>
  <si>
    <t xml:space="preserve">Record requested range and decision basis so policy behavior is auditable rather than inferred only from final range or win share.</t>
  </si>
  <si>
    <t xml:space="preserve">D-438</t>
  </si>
  <si>
    <t xml:space="preserve">Count broad-dominance and irrelevance signals directly from pair assessments; do not infer counts from a terminal display classification.</t>
  </si>
  <si>
    <t xml:space="preserve">D-439</t>
  </si>
  <si>
    <t xml:space="preserve">Checkpoint 47 changes no weapon characteristic, TL2 component value, or technology placement and does not promote a profile automatically.</t>
  </si>
  <si>
    <t xml:space="preserve">D-440</t>
  </si>
  <si>
    <t xml:space="preserve">Accept Checkpoint 47 and promote Armor Step plus Conservative Direct Fire as the standard TL2 combat profile. Retain Hull Step and all earlier packages as frozen analytical controls rather than standard player values.</t>
  </si>
  <si>
    <t xml:space="preserve">Accepted TL2 direction</t>
  </si>
  <si>
    <t xml:space="preserve">D-441</t>
  </si>
  <si>
    <t xml:space="preserve">Treat TL1 as having one Auxiliary Capacity for one installed AUX component. Use two Auxiliary Capacity as the initial TL2 screening context so capacity-2 components can be tested, while reserving final hull-capacity progression for continued design review.</t>
  </si>
  <si>
    <t xml:space="preserve">Checkpoint 48 screening direction</t>
  </si>
  <si>
    <t xml:space="preserve">D-442</t>
  </si>
  <si>
    <t xml:space="preserve">In the first AUX performance screen, install exactly one legal AUX component per standard test ship even when the ship has unused capacity. Isolate component contribution before testing multi-component loadouts and stacking.</t>
  </si>
  <si>
    <t xml:space="preserve">D-443</t>
  </si>
  <si>
    <t xml:space="preserve">Use legal one-for-one AUX comparisons across TL1 versus TL1, TL2 versus TL2, and TL1 versus TL2. Include same-AUX mirrors and both side orientations where the loadouts differ.</t>
  </si>
  <si>
    <t xml:space="preserve">D-444</t>
  </si>
  <si>
    <t xml:space="preserve">Repeat the primary AUX matrix in Kinetic-versus-Kinetic, Energy-versus-Energy, and Missile-versus-Missile contexts so AUX effects can be separated from cross-family weapon asymmetry.</t>
  </si>
  <si>
    <t xml:space="preserve">D-445</t>
  </si>
  <si>
    <t xml:space="preserve">A no-AUX configuration is a counterfactual absolute-effect diagnostic only. It is not a legal standard build and must not enter standard choice aggregates, promotion gates, or conclusions about ordinary ship balance.</t>
  </si>
  <si>
    <t xml:space="preserve">D-446</t>
  </si>
  <si>
    <t xml:space="preserve">Screen only combat-evaluable AUX families whose current mechanics can be represented faithfully in the integrated duel simulator. Defer strategic, economic, sensor, communications, hangar, and incomplete EW families rather than scoring them as zero-value combat choices.</t>
  </si>
  <si>
    <t xml:space="preserve">D-447</t>
  </si>
  <si>
    <t xml:space="preserve">Preserve AUX identity before balancing strength. Exact parity is not required; a component may be strongly useful in its intended weapon, threat, endurance, or range context as long as alternatives remain meaningful.</t>
  </si>
  <si>
    <t xml:space="preserve">D-448</t>
  </si>
  <si>
    <t xml:space="preserve">Treat broad compulsory selection, practical irrelevance, unhealthy counter suppression, and excessive amplification or erasure of the normal TL step as AUX balance warnings.</t>
  </si>
  <si>
    <t xml:space="preserve">D-449</t>
  </si>
  <si>
    <t xml:space="preserve">Use capacity, Tactical Power, ammunition, finite charges, reliability, counters, and technology placement as balance knobs. If a capability is premature, raise its starting TL before weakening its established identity.</t>
  </si>
  <si>
    <t xml:space="preserve">D-450</t>
  </si>
  <si>
    <t xml:space="preserve">Preserve opponent-aware range control as an ideal calibration doctrine. Production AI must later choose ranges from enemy capabilities it legitimately knows, estimates, or observes rather than perfect hidden information.</t>
  </si>
  <si>
    <t xml:space="preserve">D-451</t>
  </si>
  <si>
    <t xml:space="preserve">Defer full legal multi-AUX loadouts and stacking to a focused follow-on study. Prioritize combinations involving renewable power, sustained systems, layered defense, movement control, or any component flagged as broadly dominant in the single-slot screen.</t>
  </si>
  <si>
    <t xml:space="preserve">D-452</t>
  </si>
  <si>
    <t xml:space="preserve">Checkpoint 48 promotes no AUX family or screening value automatically. Native results provide evidence for human review of role expression, alternatives, counters, candidate starting TL, and the next targeted study.</t>
  </si>
  <si>
    <t xml:space="preserve">D-453</t>
  </si>
  <si>
    <t xml:space="preserve">Pause further local AUX promotion and micro-tuning until a provisional TL1-TL9 architecture is reviewed. Use simulations to validate the intended tree rather than allowing isolated results to design it piecemeal.</t>
  </si>
  <si>
    <t xml:space="preserve">Checkpoint 49 provisional architecture</t>
  </si>
  <si>
    <t xml:space="preserve">D-454</t>
  </si>
  <si>
    <t xml:space="preserve">Use Family -&gt; Sub-family -&gt; TL-specific implementation as the technology hierarchy. Every sub-family inherits its family rules unless a later explicit decision creates a named exception.</t>
  </si>
  <si>
    <t xml:space="preserve">D-455</t>
  </si>
  <si>
    <t xml:space="preserve">Keep sub-families distinct but comparable. Mature them through approved characteristics belonging to their established purpose rather than converging them toward identical performance.</t>
  </si>
  <si>
    <t xml:space="preserve">D-456</t>
  </si>
  <si>
    <t xml:space="preserve">Do not infer mechanics from names, flavor, or hypothetical technology. Add no target class, bonus, weapon, concealment effect, information effect, or other interaction without explicit discussion and acceptance.</t>
  </si>
  <si>
    <t xml:space="preserve">D-457</t>
  </si>
  <si>
    <t xml:space="preserve">Treat standard components as the best mature integrated technology normally available at a TL. Treat AUX components as specialized, experimental, theorycrafting, R&amp;D, or constrained additions that normally provide modest same-TL marginal advantages.</t>
  </si>
  <si>
    <t xml:space="preserve">D-458</t>
  </si>
  <si>
    <t xml:space="preserve">Do not improve every characteristic at every TL. Each family and sub-family advances through selected accuracy, efficiency, capacity, power, ammunition, reliability, counter, integration, or capability milestones consistent with its identity.</t>
  </si>
  <si>
    <t xml:space="preserve">D-459</t>
  </si>
  <si>
    <t xml:space="preserve">Use three technology-tone eras: TL1-TL3 realistic science fiction, TL4-TL6 future science fiction, and TL7-TL9 bounded science fantasy below alien and Precursor technology.</t>
  </si>
  <si>
    <t xml:space="preserve">D-460</t>
  </si>
  <si>
    <t xml:space="preserve">Use +1 Tactical Power for three uses as the initial TL1 Combat Battery architecture estimate. Remove Shield Battery from the TL1 proposal and begin it no earlier than TL3 pending review.</t>
  </si>
  <si>
    <t xml:space="preserve">D-461</t>
  </si>
  <si>
    <t xml:space="preserve">Permit modest conventional Evasive Maneuver, ECM, and ECCM AUX systems at TL1. Their same-TL effects remain tradeoff-bound and do not imply unapproved capabilities.</t>
  </si>
  <si>
    <t xml:space="preserve">D-462</t>
  </si>
  <si>
    <t xml:space="preserve">Begin Kinetic PDS at TL1, Energy PDS at TL2, and AMM PDS at TL3 as provisional floors. All PDS sub-families share the agreed close-range terminal-threat eligibility, including missile flights and boarding craft, and standard PDS cannot attack enemy ships.</t>
  </si>
  <si>
    <t xml:space="preserve">D-463</t>
  </si>
  <si>
    <t xml:space="preserve">Begin Auxiliary Reactor, Shield Battery, Shield Booster, and Shield Power Stabilizer at TL3 as provisional floors. Preserve their renewable output, finite restoration, capacity, and recharge-efficiency identities rather than merging them.</t>
  </si>
  <si>
    <t xml:space="preserve">D-464</t>
  </si>
  <si>
    <t xml:space="preserve">Begin Shield Hardener, Energized Armor Controller, Tractor Projector, and Repair Drone Bay at TL4 as provisional floors. Direct movement denial, flat protection, powered armor, and robotic repair are future-science-fiction capabilities.</t>
  </si>
  <si>
    <t xml:space="preserve">D-465</t>
  </si>
  <si>
    <t xml:space="preserve">Use human damage-control crews as the primary TL1-TL3 repair method, robotic repair and autonomous diagnostics as the proposed TL4-TL6 progression, and bounded self-healing systems as the proposed TL7-TL9 progression.</t>
  </si>
  <si>
    <t xml:space="preserve">D-466</t>
  </si>
  <si>
    <t xml:space="preserve">Preserve every Checkpoint 48 scenario file and runtime profile byte-for-byte in Checkpoint 49. Existing scenario values remain calibration evidence and are not automatically rewritten by the architecture.</t>
  </si>
  <si>
    <t xml:space="preserve">D-467</t>
  </si>
  <si>
    <t xml:space="preserve">Add a machine-readable scenario-to-architecture bridge for validation and lineage only. Defer table-driven scenario generation until after human review of the TL chart.</t>
  </si>
  <si>
    <t xml:space="preserve">D-468</t>
  </si>
  <si>
    <t xml:space="preserve">Treat the proposed AUX Capacity curve and Weapon Bay milestones as architecture estimates requiring later hull, stacking, and representative-ship validation.</t>
  </si>
  <si>
    <t xml:space="preserve">D-469</t>
  </si>
  <si>
    <t xml:space="preserve">Checkpoint 49 promotes no new standard value, AUX family, entry floor, capacity milestone, or higher-TL mechanic automatically.</t>
  </si>
  <si>
    <t xml:space="preserve">D-470</t>
  </si>
  <si>
    <t xml:space="preserve">Use normal player-cruiser AUX Capacity 1,1,2,2,3,3,3,4,4 across TL1-TL9 as the Checkpoint 50 architecture candidate; TL3 is the first normal-hull AUX expansion milestone.</t>
  </si>
  <si>
    <t xml:space="preserve">Checkpoint 50 candidate architecture</t>
  </si>
  <si>
    <t xml:space="preserve">D-471</t>
  </si>
  <si>
    <t xml:space="preserve">Treat the Checkpoint 48 TL2 AUX Capacity 2 value as a diagnostic screening allowance for capacity-2 candidates, not a final TL2 production-hull promotion.</t>
  </si>
  <si>
    <t xml:space="preserve">D-472</t>
  </si>
  <si>
    <t xml:space="preserve">Use Weapon Bay capacity 1 at TL1-TL2, 2 at TL3-TL5, 3 at TL6-TL8, and 4 at TL9. Capacity growth remains a Hull TL major-refit effect and does not change the cruiser into a larger ship class.</t>
  </si>
  <si>
    <t xml:space="preserve">D-473</t>
  </si>
  <si>
    <t xml:space="preserve">Use representative cruiser fixtures to validate capacity legality and opportunity cost only. They are not production loadouts and do not promote weapon, AUX, power, or defensive values.</t>
  </si>
  <si>
    <t xml:space="preserve">D-474</t>
  </si>
  <si>
    <t xml:space="preserve">Keep the exact second-shuttle-berth TL, the Self-Healing Repair System capacity cost, and the separate TL9 Hull capstone deferred until their mechanics and campaign roles are explicitly reviewed.</t>
  </si>
  <si>
    <t xml:space="preserve">D-475</t>
  </si>
  <si>
    <t xml:space="preserve">Checkpoint 50 changes no runtime scenario file and does not enable table-driven scenario generation. Derive table-backed TL1/TL2 candidate profiles only after human acceptance of the architecture review.</t>
  </si>
  <si>
    <t xml:space="preserve">D-476</t>
  </si>
  <si>
    <t xml:space="preserve">All three standard PDS sub-families - Kinetic PDS, Energy PDS, and Anti-Missile Missile Battery - enter at TL1. Availability is separate from effectiveness; early implementations remain deliberately modest.</t>
  </si>
  <si>
    <t xml:space="preserve">Checkpoint 51 candidate runtime</t>
  </si>
  <si>
    <t xml:space="preserve">D-477</t>
  </si>
  <si>
    <t xml:space="preserve">All PDS sub-families inherit one common terminal-defense target-eligibility contract, including missile flights and boarding craft; standard PDS cannot attack enemy ships. Sub-family differences require explicit characteristics, not flavor-based exceptions.</t>
  </si>
  <si>
    <t xml:space="preserve">D-478</t>
  </si>
  <si>
    <t xml:space="preserve">Checkpoint 51 uses provisional TL1 PDS base chances of 10/12/15 points for Kinetic/Energy/AMM before the ship targeting bonus, with Reaction Capacity held at 1 to isolate accuracy, power, and ammunition effects.</t>
  </si>
  <si>
    <t xml:space="preserve">D-479</t>
  </si>
  <si>
    <t xml:space="preserve">TL2 PDS progression is selective: provisional base chances become 13/16/20 for Kinetic/Energy/AMM, Kinetic and AMM ammunition improve, Energy remains ammunition-free and power-intensive, and Reaction Capacity remains 1 for all three.</t>
  </si>
  <si>
    <t xml:space="preserve">D-480</t>
  </si>
  <si>
    <t xml:space="preserve">Enable table-driven runtime integration only for TL1 and TL2 through a separate architecture-derived study. The table-backed TL1 standard row must reproduce the frozen TL1 baseline exactly and the TL2 row must reproduce the accepted TL2 standard before balance changes are interpreted.</t>
  </si>
  <si>
    <t xml:space="preserve">D-481</t>
  </si>
  <si>
    <t xml:space="preserve">Normal TL1 and TL2 cruisers each have one AUX Capacity. The architecture-derived combat matrix includes only entry-legal, currently modeled combat AUX candidates; no-AUX remains diagnostic and strategic/not-yet-modeled legal AUX systems are excluded rather than assigned fake zero combat value.</t>
  </si>
  <si>
    <t xml:space="preserve">D-482</t>
  </si>
  <si>
    <t xml:space="preserve">Preserve the complete Checkpoint 48-50 scenario corpus as frozen regression evidence and add the architecture-derived study separately. Successful execution does not automatically promote any PDS value, AUX candidate, production loadout, or TL3-TL9 runtime profile.</t>
  </si>
  <si>
    <t xml:space="preserve">D-483</t>
  </si>
  <si>
    <t xml:space="preserve">Accept Checkpoint 51 as the frozen architecture/runtime-bridge baseline while keeping its AUX/PDS numerical balance provisional.</t>
  </si>
  <si>
    <t xml:space="preserve">D-484</t>
  </si>
  <si>
    <t xml:space="preserve">Use the intended Combat Battery primary candidate at TL1: three finite charges, +1 Tactical Power per charge, maximum one discharge per turn, with charges persisting across encounters until replenishment. Test two charges before considering a TL2 entry-floor move if the primary candidate remains compulsory.</t>
  </si>
  <si>
    <t xml:space="preserve">Current direction; balance provisional</t>
  </si>
  <si>
    <t xml:space="preserve">D-485</t>
  </si>
  <si>
    <t xml:space="preserve">Use the TL2 Power Capacitor as reusable stored power: start with 1 stored TP, discharge +1 TP, then spend 1 TP on a later turn to recharge before another discharge; charging and discharging on the same turn are prohibited.</t>
  </si>
  <si>
    <t xml:space="preserve">D-486</t>
  </si>
  <si>
    <t xml:space="preserve">Tactical shield recharge is a core ship action and is never unlocked by installing Combat Battery, Power Capacitor, or Auxiliary Reactor. Power-support AUX may supply or shift TP but only affects affordability.</t>
  </si>
  <si>
    <t xml:space="preserve">D-487</t>
  </si>
  <si>
    <t xml:space="preserve">Keep AMM readiness at 1 TP at TL1 and TL2, matching Kinetic PDS readiness cost. Preserve Checkpoint 51 PDS accuracy candidates during Checkpoint 52 unless tactical evidence independently justifies an accuracy change.</t>
  </si>
  <si>
    <t xml:space="preserve">D-488</t>
  </si>
  <si>
    <t xml:space="preserve">Evaluate AMM ammunition as campaign endurance. Retain 25 TL1 / 30 TL2 rounds in the primary combat matrix while stress-testing 15, 20, 25, and 30 rounds across repeated demand; do not force routine single-fight depletion.</t>
  </si>
  <si>
    <t xml:space="preserve">Current direction; endurance provisional</t>
  </si>
  <si>
    <t xml:space="preserve">D-489</t>
  </si>
  <si>
    <t xml:space="preserve">Evaluate Combat Battery charges, AMM ammunition, and Kinetic/Missile magazine expansion on repeated-engagement resource timescales in addition to duel performance; single-battle parity is not a design requirement for endurance systems.</t>
  </si>
  <si>
    <t xml:space="preserve">D-490</t>
  </si>
  <si>
    <t xml:space="preserve">Keep Checkpoint 51 combat evidence frozen and add a separate Checkpoint 52 stateful 975-variant matrix plus deterministic resource-endurance diagnostics; defer TL3-TL9 runtime population until early resource relationships are reviewed.</t>
  </si>
  <si>
    <t xml:space="preserve">D-491</t>
  </si>
  <si>
    <t xml:space="preserve">Move Ablative Armor Layer from TL1 to TL2 so the base TL1 Auxiliary catalog remains compact and easier to learn.</t>
  </si>
  <si>
    <t xml:space="preserve">Current direction; Checkpoint 53 candidate</t>
  </si>
  <si>
    <t xml:space="preserve">D-492</t>
  </si>
  <si>
    <t xml:space="preserve">Use AP0 / AI2 as the leading TL2 Ablative entry candidate; compare AP0 / AI3 and AP1 / AI1 while retaining AP1 / AI2 only as the Checkpoint 52 historical control.</t>
  </si>
  <si>
    <t xml:space="preserve">Accepted TL2 baseline at Checkpoint 53a</t>
  </si>
  <si>
    <t xml:space="preserve">D-493</t>
  </si>
  <si>
    <t xml:space="preserve">Keep AMM ammunition at 25 rounds at both TL1 and TL2 for now; retain 1 TP readiness and the current accuracy progression.</t>
  </si>
  <si>
    <t xml:space="preserve">Accepted early-game baseline at Checkpoint 53a</t>
  </si>
  <si>
    <t xml:space="preserve">D-494</t>
  </si>
  <si>
    <t xml:space="preserve">Combat Battery provides three finite +1 TP charges. At most one charge may discharge per tactical turn, but there is no per-encounter cap; a prolonged fight may consume all three charges over three turns.</t>
  </si>
  <si>
    <t xml:space="preserve">Accepted mechanics baseline at Checkpoint 53a</t>
  </si>
  <si>
    <t xml:space="preserve">D-495</t>
  </si>
  <si>
    <t xml:space="preserve">Combat Battery charges persist after use until a valid replenishment opportunity; do not auto-refill between ordinary tactical encounters.</t>
  </si>
  <si>
    <t xml:space="preserve">D-496</t>
  </si>
  <si>
    <t xml:space="preserve">Power Capacitor remains TL2 and shifts, rather than generates, Tactical Power: +1 TP discharge followed by a later-turn 1 TP recharge; no same-turn charge/discharge.</t>
  </si>
  <si>
    <t xml:space="preserve">D-497</t>
  </si>
  <si>
    <t xml:space="preserve">Use a separate common sustained-Tactical-Power-load diagnostic to evaluate Battery/Capacitor role expression. This diagnostic does not establish a new universal hotel-load rule.</t>
  </si>
  <si>
    <t xml:space="preserve">Accepted diagnostic policy at Checkpoint 53a</t>
  </si>
  <si>
    <t xml:space="preserve">D-498</t>
  </si>
  <si>
    <t xml:space="preserve">Preserve Checkpoint 52 as frozen regression evidence and defer TL3 runtime generation until the TL2 Ablative candidate and power-stress review are accepted.</t>
  </si>
  <si>
    <t xml:space="preserve">Completed boundary; superseded by D-499/D-500</t>
  </si>
  <si>
    <t xml:space="preserve">D-499</t>
  </si>
  <si>
    <t xml:space="preserve">Accept Checkpoint 53a as the frozen TL1/TL2 implementation, architecture, and balance baseline for further progression work.</t>
  </si>
  <si>
    <t xml:space="preserve">Current direction; TL1/TL2 frozen for isolated tuning</t>
  </si>
  <si>
    <t xml:space="preserve">D-500</t>
  </si>
  <si>
    <t xml:space="preserve">Open TL3 as the first major cruiser-refit runtime tier with exactly 2 Weapon Bays and 2 AUX Capacity, without reopening the accepted capacity curve.</t>
  </si>
  <si>
    <t xml:space="preserve">Checkpoint 54 candidate-screening boundary</t>
  </si>
  <si>
    <t xml:space="preserve">D-501</t>
  </si>
  <si>
    <t xml:space="preserve">Treat each TL3 Weapon Bay as a separate attack package. Permit all ordered Kinetic/Energy/Missile two-bay combinations; same-family ammunition-fed bays share the shipwide family reserve.</t>
  </si>
  <si>
    <t xml:space="preserve">Checkpoint 54 screening rule</t>
  </si>
  <si>
    <t xml:space="preserve">D-502</t>
  </si>
  <si>
    <t xml:space="preserve">During Checkpoint 54 mixed-battery screening, let the primary bay drive opponent-aware range doctrine while the secondary bay fires opportunistically; do not promote this as the final mixed-battery tactical policy.</t>
  </si>
  <si>
    <t xml:space="preserve">Checkpoint 54 screening abstraction</t>
  </si>
  <si>
    <t xml:space="preserve">D-503</t>
  </si>
  <si>
    <t xml:space="preserve">At TL3, permit either two distinct capacity-1 AUX effects or one capacity-2 component; do not stack the same source unless an explicit component rule allows it.</t>
  </si>
  <si>
    <t xml:space="preserve">D-504</t>
  </si>
  <si>
    <t xml:space="preserve">Screen Auxiliary Reactor at TL3 as a capacity-2 component providing +1 renewable Tactical Power; preserve Combat Battery and Power Capacitor as distinct finite-reserve and turn-shifting concepts.</t>
  </si>
  <si>
    <t xml:space="preserve">Checkpoint 54 numerical candidate</t>
  </si>
  <si>
    <t xml:space="preserve">D-505</t>
  </si>
  <si>
    <t xml:space="preserve">Screen modest TL3 Shield Battery, Shield Booster, and Shield Power Stabilizer entries without automatically promoting their exact values.</t>
  </si>
  <si>
    <t xml:space="preserve">Checkpoint 54 numerical candidates</t>
  </si>
  <si>
    <t xml:space="preserve">D-506</t>
  </si>
  <si>
    <t xml:space="preserve">Use three TL3 standard combat vectors: a TL2-equivalent capacity-only control, a balanced first-refit candidate, and a deliberately stronger output-forward sensitivity control. No vector is automatically promoted.</t>
  </si>
  <si>
    <t xml:space="preserve">Checkpoint 54 evidence policy</t>
  </si>
  <si>
    <t xml:space="preserve">D-507</t>
  </si>
  <si>
    <t xml:space="preserve">Keep TL4-TL9 runtime generation deferred until TL3 progression, two-bay loadout diversity, two-AUX opportunity cost, and Tactical Power envelope evidence are reviewed.</t>
  </si>
  <si>
    <t xml:space="preserve">Current checkpoint boundary</t>
  </si>
  <si>
    <t xml:space="preserve">D-508</t>
  </si>
  <si>
    <t xml:space="preserve">Organize player TL1-TL9 into three generations: TL1/4/7 are foundations, TL2/5/8 are refinements, and TL3/6/9 are maturity/capstone levels.</t>
  </si>
  <si>
    <t xml:space="preserve">Current architecture direction</t>
  </si>
  <si>
    <t xml:space="preserve">D-509</t>
  </si>
  <si>
    <t xml:space="preserve">Use normal main-weapon capacity 1/1/1, 2/2/2, 3/3/3 across TL1-TL9. This supersedes the earlier TL3/TL6/TL9 weapon-capacity milestones; TL4 and TL7 multi-main transitions remain provisional until validated.</t>
  </si>
  <si>
    <t xml:space="preserve">D-510</t>
  </si>
  <si>
    <t xml:space="preserve">Use normal AUX Capacity 1/1/2, 2/2/3, 3/3/4 across TL1-TL9, preserving TL3/6/9 as within-generation support-capacity maturity points.</t>
  </si>
  <si>
    <t xml:space="preserve">D-511</t>
  </si>
  <si>
    <t xml:space="preserve">Treat TL3 as the mature low-tech cruiser with one main weapon and two AUX Capacity. Checkpoint 54a dual-main TL3 results remain historical sensitivity evidence and are no longer architecture-legal production TL3 configurations.</t>
  </si>
  <si>
    <t xml:space="preserve">D-512</t>
  </si>
  <si>
    <t xml:space="preserve">Do not add arbitrary restrictions preventing legal installed main weapons from operating normally. Existing power, ammunition, condition, range, and targeting rules remain the natural constraints.</t>
  </si>
  <si>
    <t xml:space="preserve">Current design principle</t>
  </si>
  <si>
    <t xml:space="preserve">D-513</t>
  </si>
  <si>
    <t xml:space="preserve">Provisionally use TL4 as the mid-tech foundation that introduces a second main weapon. Screen the structural jump against mature TL3 with conservative component progression before adding larger TL4 numerical improvements.</t>
  </si>
  <si>
    <t xml:space="preserve">Future transition test</t>
  </si>
  <si>
    <t xml:space="preserve">D-514</t>
  </si>
  <si>
    <t xml:space="preserve">Treat a third main weapon at TL7 as provisional until the TL3-to-TL4 one-to-two-main transition demonstrates healthy progression; if multi-main scaling remains structurally unhealthy, prefer a single-main TL1-TL9 architecture over artificial firing limits.</t>
  </si>
  <si>
    <t xml:space="preserve">Future architecture decision</t>
  </si>
  <si>
    <t xml:space="preserve">D-515</t>
  </si>
  <si>
    <t xml:space="preserve">Screen TL3 standard progression with four one-main vectors: TL2-equivalent control, offense-only refinement, defense-only refinement, and conservative combined maturity. Primary TL3 candidates do not increase weapon damage, penetration, range, or movement.</t>
  </si>
  <si>
    <t xml:space="preserve">Checkpoint 55 evidence policy</t>
  </si>
  <si>
    <t xml:space="preserve">D-516</t>
  </si>
  <si>
    <t xml:space="preserve">Re-run the thirteen curated TL3 capacity-2 AUX loadouts with one main weapon and add a thirteen-component isolation lane so combination performance can be attributed before promotion.</t>
  </si>
  <si>
    <t xml:space="preserve">D-517</t>
  </si>
  <si>
    <t xml:space="preserve">Evaluate Combat Battery, Power Capacitor, and Auxiliary Reactor in a single-main TL3 Tactical Power stress lane. Preserve Checkpoint 54a two-main power evidence as historical sensitivity rather than current TL3 balance evidence.</t>
  </si>
  <si>
    <t xml:space="preserve">D-518</t>
  </si>
  <si>
    <t xml:space="preserve">Accept Checkpoint 55b as the frozen architecture/implementation baseline for TL1/TL2 and the corrected single-main/two-AUX TL3 screening infrastructure; keep TL3 numerical promotion open.</t>
  </si>
  <si>
    <t xml:space="preserve">Checkpoint 56</t>
  </si>
  <si>
    <t xml:space="preserve">D-519</t>
  </si>
  <si>
    <t xml:space="preserve">Use TL3 offense-only refinement as the Checkpoint 56 working base and test exactly one defensive integer at a time: Hull +1, Armor Integrity +1, or Shield Capacity +1.</t>
  </si>
  <si>
    <t xml:space="preserve">D-520</t>
  </si>
  <si>
    <t xml:space="preserve">Treat every installed AUX system as independent. Per-turn operation limits, finite charges, stored power, recharge state, and damage condition belong to that installed component, not to a shipwide aggregate AUX rule.</t>
  </si>
  <si>
    <t xml:space="preserve">D-521</t>
  </si>
  <si>
    <t xml:space="preserve">Allow duplicate AUX installations unless an explicit physical/rules reason prohibits them. Two Combat Batteries or two Power Capacitors may each operate according to their own per-system limits in the same tactical turn.</t>
  </si>
  <si>
    <t xml:space="preserve">D-522</t>
  </si>
  <si>
    <t xml:space="preserve">Compare power AUX systems primarily at equal AUX opportunity cost. A one-slot Battery or Capacitor is not expected to match a two-slot Auxiliary Reactor alone; its separate value is installation flexibility.</t>
  </si>
  <si>
    <t xml:space="preserve">D-523</t>
  </si>
  <si>
    <t xml:space="preserve">Screen TL3 Combat Battery maturation across B3G1, B4G1, B3G2, and B4G2: charge count and +TP magnitude vary independently and together while each installed Battery keeps one discharge per turn and no encounter cap.</t>
  </si>
  <si>
    <t xml:space="preserve">D-524</t>
  </si>
  <si>
    <t xml:space="preserve">Screen TL3 Power Capacitor maturation across C2D1, C3D1, C2D2, and C3D2: stored capacity and discharge magnitude vary independently and together while charge rate remains 1 for attribution and each Capacitor operates independently.</t>
  </si>
  <si>
    <t xml:space="preserve">D-525</t>
  </si>
  <si>
    <t xml:space="preserve">Keep the TL3 Auxiliary Reactor control at capacity 2 and +1 sustained Tactical Power; evaluate it against full two-AUX Battery/Battery, Capacitor/Capacitor, and Battery/Capacitor installations.</t>
  </si>
  <si>
    <t xml:space="preserve">D-526</t>
  </si>
  <si>
    <t xml:space="preserve">Do not assume Combat Battery or Power Capacitor receives a new standard TL4 implementation. TL3 may be the mature endpoint of either standard line while older equipment remains installable later; decide after the low-to-mid transition evidence.</t>
  </si>
  <si>
    <t xml:space="preserve">D-527</t>
  </si>
  <si>
    <t xml:space="preserve">Checkpoint 56 adds six additive screening studies (1,995 variants) while SHA-freezing all 79 accepted Checkpoint 55b ScenarioRunner JSON files; TL4-TL9 runtime generation remains deferred and no candidate is automatically promoted.</t>
  </si>
  <si>
    <t xml:space="preserve">D-528</t>
  </si>
  <si>
    <t xml:space="preserve">Accept Checkpoint 56 and freeze TL1-TL3. TL3 production uses one main weapon, two AUX Capacity, the offense-only refinement (+1 Targeting, +1 Kinetic accuracy, +1 Energy accuracy, +2 Missile guidance), and no Hull/Armor Integrity/Shield Capacity microstep.</t>
  </si>
  <si>
    <t xml:space="preserve">Checkpoint 57</t>
  </si>
  <si>
    <t xml:space="preserve">D-529</t>
  </si>
  <si>
    <t xml:space="preserve">Promote the TL3 Combat Battery as B4G1: four finite +1 Tactical Power charges, maximum one discharge per installed Battery per tactical turn, with per-installation state and damage condition.</t>
  </si>
  <si>
    <t xml:space="preserve">D-530</t>
  </si>
  <si>
    <t xml:space="preserve">Promote the TL3 Power Capacitor as C2D1: capacity 2, charge rate 1, discharge up to +1 Tactical Power per installed Capacitor per tactical turn, with per-installation state and damage condition.</t>
  </si>
  <si>
    <t xml:space="preserve">D-531</t>
  </si>
  <si>
    <t xml:space="preserve">Retain the TL3 Auxiliary Reactor at capacity 2 and +1 sustained Tactical Power. A one-slot Battery or Capacitor is valued separately for pairing flexibility rather than required to equal the Reactor alone.</t>
  </si>
  <si>
    <t xml:space="preserve">D-532</t>
  </si>
  <si>
    <t xml:space="preserve">Open TL4 as the provisional mid-tech foundation with two unrestricted main weapons and two AUX Capacity while copying accepted TL3 component statistics exactly. The second main weapon is the isolated foundational change.</t>
  </si>
  <si>
    <t xml:space="preserve">D-533</t>
  </si>
  <si>
    <t xml:space="preserve">Do not add a fire-control-channel, per-turn weapon-count, or other artificial operating restriction to make TL4 fit a target curve. Both legal installed main weapons operate normally subject to ordinary power, ammunition, range, targeting, and component-condition rules.</t>
  </si>
  <si>
    <t xml:space="preserve">D-534</t>
  </si>
  <si>
    <t xml:space="preserve">Use an exact single-main TL4-versus-TL3 control plus a dual-main transition matrix so any low-to-mid generation advantage can be attributed to the second main weapon rather than to the TL label or hidden numerical growth.</t>
  </si>
  <si>
    <t xml:space="preserve">D-535</t>
  </si>
  <si>
    <t xml:space="preserve">Screen all nine ordered TL4 two-bay Kinetic/Energy/Missile loadouts at representative starting ranges to identify same-TL family-throughput imbalance and confirm whether bay order remains secondary to weapon-family composition.</t>
  </si>
  <si>
    <t xml:space="preserve">D-536</t>
  </si>
  <si>
    <t xml:space="preserve">Directly compare a naked TL4 foundation ship against fully specialized mature TL3 two-AUX ships. If the second main weapon broadly invalidates TL3 specialization, prefer a single-main TL1-TL9 architecture over arbitrary restrictions.</t>
  </si>
  <si>
    <t xml:space="preserve">D-537</t>
  </si>
  <si>
    <t xml:space="preserve">Evaluate TL4 power support under natural two-main demand only. Do not add synthetic background Tactical Power commitments to Checkpoint 57 TL4 studies.</t>
  </si>
  <si>
    <t xml:space="preserve">D-538</t>
  </si>
  <si>
    <t xml:space="preserve">At equal two-AUX cost, compare Auxiliary Reactor against dual B4G1 Batteries, dual C2D1 Capacitors, and B4G1+C2D1, retaining independent per-installation resource and damage state.</t>
  </si>
  <si>
    <t xml:space="preserve">D-539</t>
  </si>
  <si>
    <t xml:space="preserve">Separately test mixed one-slot power plus one-slot combat AUX builds against Reactor and no-AUX controls to measure the flexibility value that is intentionally absent from a capacity-2 Auxiliary Reactor installation.</t>
  </si>
  <si>
    <t xml:space="preserve">D-540</t>
  </si>
  <si>
    <t xml:space="preserve">Accept Checkpoint 57a as negative architecture evidence. Standard player cruisers retain one main weapon throughout TL1-TL9; do not preserve extra bays by adding artificial fire-control or per-turn weapon-count restrictions.</t>
  </si>
  <si>
    <t xml:space="preserve">Checkpoint 58</t>
  </si>
  <si>
    <t xml:space="preserve">D-541</t>
  </si>
  <si>
    <t xml:space="preserve">Retain the three-generation cadence: TL1/TL4/TL7 foundations, TL2/TL5/TL8 refinements, TL3/TL6/TL9 maturity. A foundation changes meaningful subsystem capability or design space; it does not require additional main weapons.</t>
  </si>
  <si>
    <t xml:space="preserve">D-542</t>
  </si>
  <si>
    <t xml:space="preserve">Retain AUX Capacity progression 1/1/2, 2/2/3, 3/3/4 while standard player main-weapon capacity remains 1 at every TL.</t>
  </si>
  <si>
    <t xml:space="preserve">D-543</t>
  </si>
  <si>
    <t xml:space="preserve">Freeze TL1-TL3 at the accepted Checkpoint 56 production state while Checkpoint 58 screens the first single-main TL4 mid-tech foundation.</t>
  </si>
  <si>
    <t xml:space="preserve">D-544</t>
  </si>
  <si>
    <t xml:space="preserve">Use roughly 75-80% conditional TL4 advantage over mature TL3 as the initial generational review region, not a blocking gate or a value to force. Continue mature-prior-generation specialization resistance.</t>
  </si>
  <si>
    <t xml:space="preserve">D-545</t>
  </si>
  <si>
    <t xml:space="preserve">Permit subsystem capability growth to increase Tactical Power cost when engineering fiction and balance justify it; do not increase power costs automatically merely because TL increased.</t>
  </si>
  <si>
    <t xml:space="preserve">D-546</t>
  </si>
  <si>
    <t xml:space="preserve">Screen a TL4 higher-output weapon axis at +1 damage and +1 activation Tactical Power for Kinetic, Energy, and Missile attack packages before combining it with other foundation axes.</t>
  </si>
  <si>
    <t xml:space="preserve">D-547</t>
  </si>
  <si>
    <t xml:space="preserve">Screen Shield Hardener beginning at TL4 as a powered AUX system that supplies temporary Shield Protection while powered and consumes sustained Tactical Power.</t>
  </si>
  <si>
    <t xml:space="preserve">D-548</t>
  </si>
  <si>
    <t xml:space="preserve">Screen Energized Armor beginning at TL4 as a powered AUX system that supplies temporary primary Armor Protection while powered, leaves passive armor intact when unpowered, and does not strengthen outer Ablative Armor.</t>
  </si>
  <si>
    <t xml:space="preserve">D-549</t>
  </si>
  <si>
    <t xml:space="preserve">Powered Shield Hardener and Energized Armor commit their own Tactical Power independently. Mature TL3 Batteries and Capacitors may support them as separate installed AUX systems under per-installation state/damage rules.</t>
  </si>
  <si>
    <t xml:space="preserve">D-550</t>
  </si>
  <si>
    <t xml:space="preserve">Do not assume a new TL4 Battery or Capacitor version in Checkpoint 58. Mature TL3 B4G1, C2D1, and the capacity-2 +1 Auxiliary Reactor remain power-support controls.</t>
  </si>
  <si>
    <t xml:space="preserve">D-551</t>
  </si>
  <si>
    <t xml:space="preserve">Checkpoint 58 adds six single-main TL4 studies totaling 900 variants while SHA-freezing all 95 Checkpoint 57a ScenarioRunner JSON files; no TL4 package or powered-defense AUX value is auto-promoted.</t>
  </si>
  <si>
    <t xml:space="preserve">Sources Used and Influence Policy - Checkpoint 25</t>
  </si>
  <si>
    <t xml:space="preserve">Checkpoint 25 implementation is derived from authoritative Star Cluster decisions and exact project data; external references remain inspiration only.</t>
  </si>
  <si>
    <t xml:space="preserve">source</t>
  </si>
  <si>
    <t xml:space="preserve">location</t>
  </si>
  <si>
    <t xml:space="preserve">role</t>
  </si>
  <si>
    <t xml:space="preserve">use</t>
  </si>
  <si>
    <t xml:space="preserve">copying_policy</t>
  </si>
  <si>
    <t xml:space="preserve">Star Cluster Game Concept v0.4p</t>
  </si>
  <si>
    <t xml:space="preserve">docs/Star_Cluster_Game_Concept_v0.4p.docx</t>
  </si>
  <si>
    <t xml:space="preserve">Authoritative project source</t>
  </si>
  <si>
    <t xml:space="preserve">Authoritative design through Checkpoint 43, including installation classes, AUX availability gates, and candidate-only starting floors.</t>
  </si>
  <si>
    <t xml:space="preserve">Project source; preserve and update decisions.</t>
  </si>
  <si>
    <t xml:space="preserve">User-approved design discussion</t>
  </si>
  <si>
    <t xml:space="preserve">Project discussion through August 5, 2026</t>
  </si>
  <si>
    <t xml:space="preserve">Authoritative current direction</t>
  </si>
  <si>
    <t xml:space="preserve">Authoritative current direction including core-does-not-mean-free semantics and raising overpowered AUX starting TL before revising mechanics.</t>
  </si>
  <si>
    <t xml:space="preserve">Project direction; implementation details remain provisional.</t>
  </si>
  <si>
    <t xml:space="preserve">docs/references/MOO2_GAME_MANUAL.PDF; Research and Development pp. 73-117; Ships pp. 119-134; Combat pp. 148-165</t>
  </si>
  <si>
    <t xml:space="preserve">docs/references/002 T4 Starships.pdf; Ship design sequence and component chapters, especially pp. 62-95</t>
  </si>
  <si>
    <t xml:space="preserve">docs/references/GURPS - 4th Edition - Space.pdf; Technology, spacecraft, space travel, and campaign-design chapters</t>
  </si>
  <si>
    <t xml:space="preserve">docs/references/Triplanetary_2018rules.pdf; Movement, fuel, combat, damage, and optional-rule sections</t>
  </si>
  <si>
    <t xml:space="preserve">docs/references/StarfireUltra(2).zip; Packaged rules and design material</t>
  </si>
  <si>
    <t xml:space="preserve">docs/references/Ultra_4_2009(complete).zip; Packaged rules and appendices</t>
  </si>
  <si>
    <t xml:space="preserve">docs/references/002 T4 QSDS Rules.pdf; Complete quick-design sequence</t>
  </si>
  <si>
    <t xml:space="preserve">docs/references/002 T4 SSDS Rules Revised.pdf; Complete standard-design sequence</t>
  </si>
  <si>
    <t xml:space="preserve">docs/references/002 HG to T4 Conversion.pdf; Conversion guidance and tables</t>
  </si>
  <si>
    <t xml:space="preserve">docs/references/002 bighulls.pdf; Large-hull tables and notes</t>
  </si>
  <si>
    <t xml:space="preserve">docs/references/WIIIDLRRulesOfCombat(1).pdf; Combat and support-effect sections</t>
  </si>
  <si>
    <t xml:space="preserve">docs/references/WarlordsII(1).pdf; Leader, campaign, and combat sections</t>
  </si>
  <si>
    <t xml:space="preserve">docs/references/WarlordsIII(1).pdf; Leader, campaign, and combat sections</t>
  </si>
  <si>
    <t xml:space="preserve">Project discussion, August 1, 2026</t>
  </si>
  <si>
    <t xml:space="preserve">Available/Powered/Spent power; four opportunities; reactors/storage; PDS/EW/shields/weapons; overload; propulsion/tractors; Crew/Marines; TL1 test method.</t>
  </si>
  <si>
    <t xml:space="preserve">Project direction; exact values remain provisional.</t>
  </si>
  <si>
    <t xml:space="preserve">TL1 baseline and scenario data</t>
  </si>
  <si>
    <t xml:space="preserve">docs/design/player_technology/tl1_core_combat_numerical_baseline_v0_1.csv; tl1_core_combat_loadouts_v0_1.csv; tl1_core_combat_test_scenarios_v0_1.csv</t>
  </si>
  <si>
    <t xml:space="preserve">Authoritative Checkpoint 24 test inputs</t>
  </si>
  <si>
    <t xml:space="preserve">Exact provisional parameters, loadouts, staged scenarios, and viability questions.</t>
  </si>
  <si>
    <t xml:space="preserve">Original Star Cluster data; promote only after testing.</t>
  </si>
  <si>
    <t xml:space="preserve">Checkpoint 26 - TL1 Phase B Direct Fire Foundation</t>
  </si>
  <si>
    <t xml:space="preserve">Parameter</t>
  </si>
  <si>
    <t xml:space="preserve">Value</t>
  </si>
  <si>
    <t xml:space="preserve">Unit</t>
  </si>
  <si>
    <t xml:space="preserve">Raw baseline</t>
  </si>
  <si>
    <t xml:space="preserve">Provisional exact</t>
  </si>
  <si>
    <t xml:space="preserve">Kinetic weapon accuracy</t>
  </si>
  <si>
    <t xml:space="preserve">Energy weapon accuracy</t>
  </si>
  <si>
    <t xml:space="preserve">Operational targeting computer</t>
  </si>
  <si>
    <t xml:space="preserve">Degraded targeting computer</t>
  </si>
  <si>
    <t xml:space="preserve">Disabled/destroyed targeting computer</t>
  </si>
  <si>
    <t xml:space="preserve">Range penalty</t>
  </si>
  <si>
    <t xml:space="preserve">Target EvM penalty</t>
  </si>
  <si>
    <t xml:space="preserve">Shooter EvM penalty</t>
  </si>
  <si>
    <t xml:space="preserve">Minimum hit chance</t>
  </si>
  <si>
    <t xml:space="preserve">Maximum hit chance</t>
  </si>
  <si>
    <t xml:space="preserve">Critical miss</t>
  </si>
  <si>
    <t xml:space="preserve">Tagged; effect deferred</t>
  </si>
  <si>
    <t xml:space="preserve">Critical hit</t>
  </si>
  <si>
    <t xml:space="preserve">Phase B documents</t>
  </si>
  <si>
    <t xml:space="preserve">documents</t>
  </si>
  <si>
    <t xml:space="preserve">Executable</t>
  </si>
  <si>
    <t xml:space="preserve">Phase B cases</t>
  </si>
  <si>
    <t xml:space="preserve">cases</t>
  </si>
  <si>
    <t xml:space="preserve">Checkpoint 27 - TL1 Phase B Kinetic Interaction Calibration</t>
  </si>
  <si>
    <t xml:space="preserve">Variant ID</t>
  </si>
  <si>
    <t xml:space="preserve">Label</t>
  </si>
  <si>
    <t xml:space="preserve">Range</t>
  </si>
  <si>
    <t xml:space="preserve">EvM A/B</t>
  </si>
  <si>
    <t xml:space="preserve">TC A/B</t>
  </si>
  <si>
    <t xml:space="preserve">DAM/SPEN/APEN</t>
  </si>
  <si>
    <t xml:space="preserve">SI/SA/Rchg</t>
  </si>
  <si>
    <t xml:space="preserve">AP/AI/Hull</t>
  </si>
  <si>
    <t xml:space="preserve">c-baseline-r0</t>
  </si>
  <si>
    <t xml:space="preserve">Revised baseline at range 0</t>
  </si>
  <si>
    <t xml:space="preserve">0/0</t>
  </si>
  <si>
    <t xml:space="preserve">10/10</t>
  </si>
  <si>
    <t xml:space="preserve">3/1/0</t>
  </si>
  <si>
    <t xml:space="preserve">2/0/1</t>
  </si>
  <si>
    <t xml:space="preserve">0/4/12</t>
  </si>
  <si>
    <t xml:space="preserve">c-baseline-r2</t>
  </si>
  <si>
    <t xml:space="preserve">Revised baseline at range 2</t>
  </si>
  <si>
    <t xml:space="preserve">c-baseline-r4</t>
  </si>
  <si>
    <t xml:space="preserve">Revised baseline at range 4</t>
  </si>
  <si>
    <t xml:space="preserve">c-both-evm-r2</t>
  </si>
  <si>
    <t xml:space="preserve">Both ships use EvM</t>
  </si>
  <si>
    <t xml:space="preserve">1/1</t>
  </si>
  <si>
    <t xml:space="preserve">c-a-evm-r2</t>
  </si>
  <si>
    <t xml:space="preserve">Only side A uses EvM</t>
  </si>
  <si>
    <t xml:space="preserve">1/0</t>
  </si>
  <si>
    <t xml:space="preserve">c-b-evm-r2</t>
  </si>
  <si>
    <t xml:space="preserve">Only side B uses EvM</t>
  </si>
  <si>
    <t xml:space="preserve">0/1</t>
  </si>
  <si>
    <t xml:space="preserve">c-a-degraded-r2</t>
  </si>
  <si>
    <t xml:space="preserve">Only side A targeting computer degraded</t>
  </si>
  <si>
    <t xml:space="preserve">5/10</t>
  </si>
  <si>
    <t xml:space="preserve">c-b-degraded-r2</t>
  </si>
  <si>
    <t xml:space="preserve">Only side B targeting computer degraded</t>
  </si>
  <si>
    <t xml:space="preserve">10/5</t>
  </si>
  <si>
    <t xml:space="preserve">c-damage-2</t>
  </si>
  <si>
    <t xml:space="preserve">Kinetic damage 2 control</t>
  </si>
  <si>
    <t xml:space="preserve">2/1/0</t>
  </si>
  <si>
    <t xml:space="preserve">c-damage-4</t>
  </si>
  <si>
    <t xml:space="preserve">Kinetic damage 4 control</t>
  </si>
  <si>
    <t xml:space="preserve">4/1/0</t>
  </si>
  <si>
    <t xml:space="preserve">c-spen-0</t>
  </si>
  <si>
    <t xml:space="preserve">Kinetic SPEN 0 control</t>
  </si>
  <si>
    <t xml:space="preserve">3/0/0</t>
  </si>
  <si>
    <t xml:space="preserve">c-spen-2</t>
  </si>
  <si>
    <t xml:space="preserve">Kinetic SPEN 2 control</t>
  </si>
  <si>
    <t xml:space="preserve">3/2/0</t>
  </si>
  <si>
    <t xml:space="preserve">c-shield-1</t>
  </si>
  <si>
    <t xml:space="preserve">Shield Integrity 1 control</t>
  </si>
  <si>
    <t xml:space="preserve">1/0/1</t>
  </si>
  <si>
    <t xml:space="preserve">c-shield-3</t>
  </si>
  <si>
    <t xml:space="preserve">Shield Integrity 3 control</t>
  </si>
  <si>
    <t xml:space="preserve">3/0/1</t>
  </si>
  <si>
    <t xml:space="preserve">c-shield-4</t>
  </si>
  <si>
    <t xml:space="preserve">Shield Integrity 4 control</t>
  </si>
  <si>
    <t xml:space="preserve">4/0/1</t>
  </si>
  <si>
    <t xml:space="preserve">c-shield-armor-1</t>
  </si>
  <si>
    <t xml:space="preserve">Shield Armor 1 control</t>
  </si>
  <si>
    <t xml:space="preserve">2/1/1</t>
  </si>
  <si>
    <t xml:space="preserve">c-shield-armor-2</t>
  </si>
  <si>
    <t xml:space="preserve">Shield Armor 2 control</t>
  </si>
  <si>
    <t xml:space="preserve">2/2/1</t>
  </si>
  <si>
    <t xml:space="preserve">c-recharge-0</t>
  </si>
  <si>
    <t xml:space="preserve">Shield recharge 0 control</t>
  </si>
  <si>
    <t xml:space="preserve">2/0/0</t>
  </si>
  <si>
    <t xml:space="preserve">c-recharge-2</t>
  </si>
  <si>
    <t xml:space="preserve">Shield recharge 2 control</t>
  </si>
  <si>
    <t xml:space="preserve">2/0/2</t>
  </si>
  <si>
    <t xml:space="preserve">c-armor-2</t>
  </si>
  <si>
    <t xml:space="preserve">Armor Integrity 2 control</t>
  </si>
  <si>
    <t xml:space="preserve">0/2/12</t>
  </si>
  <si>
    <t xml:space="preserve">c-armor-6</t>
  </si>
  <si>
    <t xml:space="preserve">Armor Integrity 6 control</t>
  </si>
  <si>
    <t xml:space="preserve">0/6/12</t>
  </si>
  <si>
    <t xml:space="preserve">c-armor-8</t>
  </si>
  <si>
    <t xml:space="preserve">Armor Integrity 8 control</t>
  </si>
  <si>
    <t xml:space="preserve">0/8/12</t>
  </si>
  <si>
    <t xml:space="preserve">c-ap1-apen0</t>
  </si>
  <si>
    <t xml:space="preserve">Armor Protection 1 / APEN 0</t>
  </si>
  <si>
    <t xml:space="preserve">1/4/12</t>
  </si>
  <si>
    <t xml:space="preserve">c-ap1-apen1</t>
  </si>
  <si>
    <t xml:space="preserve">Armor Protection 1 / APEN 1</t>
  </si>
  <si>
    <t xml:space="preserve">3/1/1</t>
  </si>
  <si>
    <t xml:space="preserve">c-ap2-apen0</t>
  </si>
  <si>
    <t xml:space="preserve">Armor Protection 2 / APEN 0</t>
  </si>
  <si>
    <t xml:space="preserve">2/4/12</t>
  </si>
  <si>
    <t xml:space="preserve">c-ap2-apen1</t>
  </si>
  <si>
    <t xml:space="preserve">Armor Protection 2 / APEN 1</t>
  </si>
  <si>
    <t xml:space="preserve">c-ap2-apen2</t>
  </si>
  <si>
    <t xml:space="preserve">Armor Protection 2 / APEN 2</t>
  </si>
  <si>
    <t xml:space="preserve">3/1/2</t>
  </si>
  <si>
    <t xml:space="preserve">c-hull-8</t>
  </si>
  <si>
    <t xml:space="preserve">Hull 8 control</t>
  </si>
  <si>
    <t xml:space="preserve">0/4/8</t>
  </si>
  <si>
    <t xml:space="preserve">c-hull-16</t>
  </si>
  <si>
    <t xml:space="preserve">Hull 16 control</t>
  </si>
  <si>
    <t xml:space="preserve">0/4/16</t>
  </si>
  <si>
    <t xml:space="preserve">Default: 10,000 trials per variant. Common random numbers. Mirror side-bias &lt;= 3 percentage points. Asymmetric variants are side-swapped. Reduced trials are smoke tests only.</t>
  </si>
  <si>
    <t xml:space="preserve">Checkpoint 28 - TL1 Energy Weapon Calibration</t>
  </si>
  <si>
    <t xml:space="preserve">Area</t>
  </si>
  <si>
    <t xml:space="preserve">Mode / Variant</t>
  </si>
  <si>
    <t xml:space="preserve">Accuracy</t>
  </si>
  <si>
    <t xml:space="preserve">DAM / SPEN / APEN</t>
  </si>
  <si>
    <t xml:space="preserve">TP Cost</t>
  </si>
  <si>
    <t xml:space="preserve">Role</t>
  </si>
  <si>
    <t xml:space="preserve">Energy Cannon</t>
  </si>
  <si>
    <t xml:space="preserve">Low output</t>
  </si>
  <si>
    <t xml:space="preserve">2 / 0 / 0</t>
  </si>
  <si>
    <t xml:space="preserve">Constrained-power fire</t>
  </si>
  <si>
    <t xml:space="preserve">Provisional</t>
  </si>
  <si>
    <t xml:space="preserve">Standard output</t>
  </si>
  <si>
    <t xml:space="preserve">3 / 1 / 1</t>
  </si>
  <si>
    <t xml:space="preserve">Core doctrine</t>
  </si>
  <si>
    <t xml:space="preserve">Safe overload burst</t>
  </si>
  <si>
    <t xml:space="preserve">4 / 1 / 1</t>
  </si>
  <si>
    <t xml:space="preserve">Two safe shots, then standard</t>
  </si>
  <si>
    <t xml:space="preserve">Calibration only</t>
  </si>
  <si>
    <t xml:space="preserve">Kinetic control</t>
  </si>
  <si>
    <t xml:space="preserve">Standard</t>
  </si>
  <si>
    <t xml:space="preserve">3 / 1 / 0</t>
  </si>
  <si>
    <t xml:space="preserve">Accepted control; 100 packages</t>
  </si>
  <si>
    <t xml:space="preserve">Accepted</t>
  </si>
  <si>
    <t xml:space="preserve">Main reactor</t>
  </si>
  <si>
    <t xml:space="preserve">Turn power envelope</t>
  </si>
  <si>
    <t xml:space="preserve">Spent TP per active turn</t>
  </si>
  <si>
    <t xml:space="preserve">Tactical Shield recharge</t>
  </si>
  <si>
    <t xml:space="preserve">1 Shield per TP</t>
  </si>
  <si>
    <t xml:space="preserve">After weapon-power reservation</t>
  </si>
  <si>
    <t xml:space="preserve">Study</t>
  </si>
  <si>
    <t xml:space="preserve">Energy calibration</t>
  </si>
  <si>
    <t xml:space="preserve">31 variants x 10,000 trials</t>
  </si>
  <si>
    <t xml:space="preserve">Decision Register Additions</t>
  </si>
  <si>
    <t xml:space="preserve">D-250</t>
  </si>
  <si>
    <t xml:space="preserve">Use low, standard, and two-shot safe-overload-burst doctrines; defer repeated forced overload.</t>
  </si>
  <si>
    <t xml:space="preserve">D-251</t>
  </si>
  <si>
    <t xml:space="preserve">Reserve committed weapon power before optional tactical Shield recharge.</t>
  </si>
  <si>
    <t xml:space="preserve">D-252</t>
  </si>
  <si>
    <t xml:space="preserve">Use side-swapped common-random-number energy-versus-kinetic pairs; do not require parity in every context.</t>
  </si>
  <si>
    <t xml:space="preserve">D-253</t>
  </si>
  <si>
    <t xml:space="preserve">Checkpoint 28 changes no accepted Checkpoint 27c baseline values; results remain diagnostic.</t>
  </si>
  <si>
    <t xml:space="preserve">Checkpoint 29 - Complete TL1 Weapon Matrix</t>
  </si>
  <si>
    <t xml:space="preserve">Category</t>
  </si>
  <si>
    <t xml:space="preserve">Item</t>
  </si>
  <si>
    <t xml:space="preserve">Kinetic</t>
  </si>
  <si>
    <t xml:space="preserve">Energy</t>
  </si>
  <si>
    <t xml:space="preserve">Missile</t>
  </si>
  <si>
    <t xml:space="preserve">Test role</t>
  </si>
  <si>
    <t xml:space="preserve">Target defense penalty</t>
  </si>
  <si>
    <t xml:space="preserve">-10 pp</t>
  </si>
  <si>
    <t xml:space="preserve">-10 pp Guidance</t>
  </si>
  <si>
    <t xml:space="preserve">Revised incentive</t>
  </si>
  <si>
    <t xml:space="preserve">Shooter own-fire penalty</t>
  </si>
  <si>
    <t xml:space="preserve">-5 pp</t>
  </si>
  <si>
    <t xml:space="preserve">Not after launch</t>
  </si>
  <si>
    <t xml:space="preserve">Direct-fire tradeoff</t>
  </si>
  <si>
    <t xml:space="preserve">Damage</t>
  </si>
  <si>
    <t xml:space="preserve">3 standard</t>
  </si>
  <si>
    <t xml:space="preserve">Baseline packet</t>
  </si>
  <si>
    <t xml:space="preserve">1 standard</t>
  </si>
  <si>
    <t xml:space="preserve">Ammo</t>
  </si>
  <si>
    <t xml:space="preserve">100</t>
  </si>
  <si>
    <t xml:space="preserve">Unlimited</t>
  </si>
  <si>
    <t xml:space="preserve">24</t>
  </si>
  <si>
    <t xml:space="preserve">Campaign endurance</t>
  </si>
  <si>
    <t xml:space="preserve">6 traveled</t>
  </si>
  <si>
    <t xml:space="preserve">Reachability</t>
  </si>
  <si>
    <t xml:space="preserve">Accuracy / Guidance</t>
  </si>
  <si>
    <t xml:space="preserve">+20</t>
  </si>
  <si>
    <t xml:space="preserve">+25</t>
  </si>
  <si>
    <t xml:space="preserve">55%</t>
  </si>
  <si>
    <t xml:space="preserve">Hit behavior</t>
  </si>
  <si>
    <t xml:space="preserve">Speed</t>
  </si>
  <si>
    <t xml:space="preserve">-</t>
  </si>
  <si>
    <t xml:space="preserve">1 hex/action</t>
  </si>
  <si>
    <t xml:space="preserve">Pursuit and outrun</t>
  </si>
  <si>
    <t xml:space="preserve">Complete matrix</t>
  </si>
  <si>
    <t xml:space="preserve">48 variants x 10,000 trials</t>
  </si>
  <si>
    <t xml:space="preserve">EvM becomes -10 incoming and -5 own-fire.</t>
  </si>
  <si>
    <t xml:space="preserve">Complete stripped-down K/E/M matrix before subsystem counters.</t>
  </si>
  <si>
    <t xml:space="preserve">Missiles retain traveled-range, pursuit replanning, and independent terminal Guidance.</t>
  </si>
  <si>
    <t xml:space="preserve">Record hard stalls and uncaught targets as mechanical findings.</t>
  </si>
  <si>
    <t xml:space="preserve">Checkpoint 30 PDS Control - Corrected by Checkpoint 31</t>
  </si>
  <si>
    <t xml:space="preserve">Readiness</t>
  </si>
  <si>
    <t xml:space="preserve">Powered Tactical Power</t>
  </si>
  <si>
    <t xml:space="preserve">Opportunity cost</t>
  </si>
  <si>
    <t xml:space="preserve">Reaction</t>
  </si>
  <si>
    <t xml:space="preserve">Capacity per turn</t>
  </si>
  <si>
    <t xml:space="preserve">Shared across flights/windows</t>
  </si>
  <si>
    <t xml:space="preserve">Interception</t>
  </si>
  <si>
    <t xml:space="preserve">Equal-TL chance</t>
  </si>
  <si>
    <t xml:space="preserve">35%</t>
  </si>
  <si>
    <t xml:space="preserve">50%</t>
  </si>
  <si>
    <t xml:space="preserve">40%</t>
  </si>
  <si>
    <t xml:space="preserve">Terminal defense</t>
  </si>
  <si>
    <t xml:space="preserve">Ammunition</t>
  </si>
  <si>
    <t xml:space="preserve">Total capacity</t>
  </si>
  <si>
    <t xml:space="preserve">50 (1 Ready + 49 reserve)</t>
  </si>
  <si>
    <t xml:space="preserve">25 (1 Ready + 24 reserve)</t>
  </si>
  <si>
    <t xml:space="preserve">Unlimited conventional</t>
  </si>
  <si>
    <t xml:space="preserve">Per-attempt consumption</t>
  </si>
  <si>
    <t xml:space="preserve">Corrected executable</t>
  </si>
  <si>
    <t xml:space="preserve">Fire control</t>
  </si>
  <si>
    <t xml:space="preserve">Main Targeting Computer</t>
  </si>
  <si>
    <t xml:space="preserve">+10 / +5 / +0</t>
  </si>
  <si>
    <t xml:space="preserve">Assistance after legal opportunity; local fallback</t>
  </si>
  <si>
    <t xml:space="preserve">Own-fire modifier</t>
  </si>
  <si>
    <t xml:space="preserve">No penalty</t>
  </si>
  <si>
    <t xml:space="preserve">AMM guides independently after launch</t>
  </si>
  <si>
    <t xml:space="preserve">Windows</t>
  </si>
  <si>
    <t xml:space="preserve">Terminal opportunities</t>
  </si>
  <si>
    <t xml:space="preserve">Entry + pre-attack</t>
  </si>
  <si>
    <t xml:space="preserve">Shared Reaction Capacity</t>
  </si>
  <si>
    <t xml:space="preserve">Per-attempt Tactical Power</t>
  </si>
  <si>
    <t xml:space="preserve">Readiness already Powered</t>
  </si>
  <si>
    <t xml:space="preserve">PDS matrix</t>
  </si>
  <si>
    <t xml:space="preserve">59 variants x 10,000 trials, rebaselined</t>
  </si>
  <si>
    <t xml:space="preserve">Executable control</t>
  </si>
  <si>
    <t xml:space="preserve">Control</t>
  </si>
  <si>
    <t xml:space="preserve">No-counter weapon matrix</t>
  </si>
  <si>
    <t xml:space="preserve">Checkpoint 29e retained unchanged</t>
  </si>
  <si>
    <t xml:space="preserve">Keeper</t>
  </si>
  <si>
    <t xml:space="preserve">PDS remains self-contained Powered terminal defense with shared Reaction Capacity.</t>
  </si>
  <si>
    <t xml:space="preserve">Finite totals are Kinetic 50 and AMM 25; Energy remains ammunition-independent.</t>
  </si>
  <si>
    <t xml:space="preserve">Targeting Computer may assist PDS; AMM is exempt from own EvM penalty.</t>
  </si>
  <si>
    <t xml:space="preserve">Keep corrected PDS and no-counter matrices as controls for Checkpoint 31.</t>
  </si>
  <si>
    <t xml:space="preserve">Checkpoint 31 - TL1 Layered Defensive Systems Calibration</t>
  </si>
  <si>
    <t xml:space="preserve">Layer</t>
  </si>
  <si>
    <t xml:space="preserve">System / rule</t>
  </si>
  <si>
    <t xml:space="preserve">TL1 value</t>
  </si>
  <si>
    <t xml:space="preserve">Primary interaction</t>
  </si>
  <si>
    <t xml:space="preserve">Sweep coverage</t>
  </si>
  <si>
    <t xml:space="preserve">Ready Package</t>
  </si>
  <si>
    <t xml:space="preserve">1 included in total</t>
  </si>
  <si>
    <t xml:space="preserve">Auto-load from reserve</t>
  </si>
  <si>
    <t xml:space="preserve">Kinetic 100 / Missile 25 / KPDS 50 / AMM 25</t>
  </si>
  <si>
    <t xml:space="preserve">Implemented</t>
  </si>
  <si>
    <t xml:space="preserve">Targeting Computer assistance</t>
  </si>
  <si>
    <t xml:space="preserve">+10 Operational / +5 Degraded / +0 unavailable</t>
  </si>
  <si>
    <t xml:space="preserve">Resolution after legal opportunity</t>
  </si>
  <si>
    <t xml:space="preserve">All PDS x three computer states</t>
  </si>
  <si>
    <t xml:space="preserve">Own EvM</t>
  </si>
  <si>
    <t xml:space="preserve">Kinetic -5 / AMM 0 / Energy -5</t>
  </si>
  <si>
    <t xml:space="preserve">EvM 1 TP</t>
  </si>
  <si>
    <t xml:space="preserve">AMM guides independently</t>
  </si>
  <si>
    <t xml:space="preserve">Steady and EvM controls</t>
  </si>
  <si>
    <t xml:space="preserve">3 hexes</t>
  </si>
  <si>
    <t xml:space="preserve">Core</t>
  </si>
  <si>
    <t xml:space="preserve">Hard firing-solution gate</t>
  </si>
  <si>
    <t xml:space="preserve">All weapon families</t>
  </si>
  <si>
    <t xml:space="preserve">Active Sensors 1</t>
  </si>
  <si>
    <t xml:space="preserve">Firm through 5</t>
  </si>
  <si>
    <t xml:space="preserve">1 TP</t>
  </si>
  <si>
    <t xml:space="preserve">Range only, no accuracy bonus</t>
  </si>
  <si>
    <t xml:space="preserve">Ranges 4/5/6</t>
  </si>
  <si>
    <t xml:space="preserve">Active Sensors 2</t>
  </si>
  <si>
    <t xml:space="preserve">Firm through 6</t>
  </si>
  <si>
    <t xml:space="preserve">2 TP</t>
  </si>
  <si>
    <t xml:space="preserve">Ranges 5/6</t>
  </si>
  <si>
    <t xml:space="preserve">EW</t>
  </si>
  <si>
    <t xml:space="preserve">Rating 1</t>
  </si>
  <si>
    <t xml:space="preserve">Reduces enemy Firm range</t>
  </si>
  <si>
    <t xml:space="preserve">Edge and denial cases</t>
  </si>
  <si>
    <t xml:space="preserve">Cancels equal ECM</t>
  </si>
  <si>
    <t xml:space="preserve">Restoration cases</t>
  </si>
  <si>
    <t xml:space="preserve">Shield Hardener</t>
  </si>
  <si>
    <t xml:space="preserve">1 Shield Armor</t>
  </si>
  <si>
    <t xml:space="preserve">After SPEN, before capacity</t>
  </si>
  <si>
    <t xml:space="preserve">Versus K/E/M at ranges 0/2</t>
  </si>
  <si>
    <t xml:space="preserve">Tactical recharge</t>
  </si>
  <si>
    <t xml:space="preserve">1 Shield per TP, cap 2</t>
  </si>
  <si>
    <t xml:space="preserve">0-2 TP</t>
  </si>
  <si>
    <t xml:space="preserve">After base recharge</t>
  </si>
  <si>
    <t xml:space="preserve">1/2 TP and combined cases</t>
  </si>
  <si>
    <t xml:space="preserve">Shield Battery</t>
  </si>
  <si>
    <t xml:space="preserve">3 Shield x 3 finite charges</t>
  </si>
  <si>
    <t xml:space="preserve">No TP</t>
  </si>
  <si>
    <t xml:space="preserve">Player-reserved emergency restoration</t>
  </si>
  <si>
    <t xml:space="preserve">Mechanical charge/exhaustion boundaries only</t>
  </si>
  <si>
    <t xml:space="preserve">Implemented; routine doctrine deferred</t>
  </si>
  <si>
    <t xml:space="preserve">Accepted controls</t>
  </si>
  <si>
    <t xml:space="preserve">6 variants</t>
  </si>
  <si>
    <t xml:space="preserve">Unchanged 5 TP</t>
  </si>
  <si>
    <t xml:space="preserve">No-defense anchors</t>
  </si>
  <si>
    <t xml:space="preserve">K/E/M mirrors ranges 0/2</t>
  </si>
  <si>
    <t xml:space="preserve">PDS rule corrections</t>
  </si>
  <si>
    <t xml:space="preserve">36 variants</t>
  </si>
  <si>
    <t xml:space="preserve">TC and EvM boundaries</t>
  </si>
  <si>
    <t xml:space="preserve">All PDS with side swaps</t>
  </si>
  <si>
    <t xml:space="preserve">Sensor/EW boundaries</t>
  </si>
  <si>
    <t xml:space="preserve">57 variants</t>
  </si>
  <si>
    <t xml:space="preserve">Firm access and denial</t>
  </si>
  <si>
    <t xml:space="preserve">Shield defenses</t>
  </si>
  <si>
    <t xml:space="preserve">Mitigation and restoration</t>
  </si>
  <si>
    <t xml:space="preserve">Layered defenses</t>
  </si>
  <si>
    <t xml:space="preserve">PDS/EW/EvM/shield/saturation</t>
  </si>
  <si>
    <t xml:space="preserve">All PDS families</t>
  </si>
  <si>
    <t xml:space="preserve">171 variants x 10,000 trials</t>
  </si>
  <si>
    <t xml:space="preserve">Single engagement</t>
  </si>
  <si>
    <t xml:space="preserve">Reciprocal swaps and mirror gates</t>
  </si>
  <si>
    <t xml:space="preserve">Ready Package is included in finite total and reloads from reserve.</t>
  </si>
  <si>
    <t xml:space="preserve">Use finite totals Kinetic 100 / Missile 25 / Kinetic PDS 50 / AMM 25.</t>
  </si>
  <si>
    <t xml:space="preserve">Allow Targeting Computer assistance while retaining PDS local fallback.</t>
  </si>
  <si>
    <t xml:space="preserve">Exempt AMM from own EvM firing penalty.</t>
  </si>
  <si>
    <t xml:space="preserve">Use Sensors/ECM/ECCM for Firm access without double accuracy penalty.</t>
  </si>
  <si>
    <t xml:space="preserve">Add Shield Hardener, recharge, and Shield Battery before reactor changes.</t>
  </si>
  <si>
    <t xml:space="preserve">Keep 5 TP and fixed commitment order for the sweep.</t>
  </si>
  <si>
    <t xml:space="preserve">Checkpoint 32 supersedes overload and Held Interception deferrals; multiple PDS and final balance remain deferred.</t>
  </si>
  <si>
    <t xml:space="preserve">Checkpoint 32 - TL1 Tactical Power Completion and Reactor Envelope Calibration</t>
  </si>
  <si>
    <t xml:space="preserve">Renewable output sweep</t>
  </si>
  <si>
    <t xml:space="preserve">0 through 8 TP</t>
  </si>
  <si>
    <t xml:space="preserve">Base envelope</t>
  </si>
  <si>
    <t xml:space="preserve">Affordability thresholds</t>
  </si>
  <si>
    <t xml:space="preserve">Five offense packages x nine outputs</t>
  </si>
  <si>
    <t xml:space="preserve">Named controls</t>
  </si>
  <si>
    <t xml:space="preserve">Emergency 1 / Degraded 3 / Operational 5</t>
  </si>
  <si>
    <t xml:space="preserve">Renewable</t>
  </si>
  <si>
    <t xml:space="preserve">Retained reference states</t>
  </si>
  <si>
    <t xml:space="preserve">All relevant packages</t>
  </si>
  <si>
    <t xml:space="preserve">Power source</t>
  </si>
  <si>
    <t xml:space="preserve">Auxiliary Reactor</t>
  </si>
  <si>
    <t xml:space="preserve">Operational +2 / Degraded +1</t>
  </si>
  <si>
    <t xml:space="preserve">Renewable overlay</t>
  </si>
  <si>
    <t xml:space="preserve">Future power-heavy hull comparison</t>
  </si>
  <si>
    <t xml:space="preserve">Two layered packages at outputs 3/4/5</t>
  </si>
  <si>
    <t xml:space="preserve">Executable comparison</t>
  </si>
  <si>
    <t xml:space="preserve">Combat Battery</t>
  </si>
  <si>
    <t xml:space="preserve">3 charges x +2 TP</t>
  </si>
  <si>
    <t xml:space="preserve">Finite Available</t>
  </si>
  <si>
    <t xml:space="preserve">One discharge/turn; unused expires</t>
  </si>
  <si>
    <t xml:space="preserve">Threshold overlays</t>
  </si>
  <si>
    <t xml:space="preserve">Storage</t>
  </si>
  <si>
    <t xml:space="preserve">Capacitor Bank</t>
  </si>
  <si>
    <t xml:space="preserve">Capacity 3 / charge 1 / discharge 2</t>
  </si>
  <si>
    <t xml:space="preserve">Stored TP</t>
  </si>
  <si>
    <t xml:space="preserve">Full after FTL; one operation/turn</t>
  </si>
  <si>
    <t xml:space="preserve">Full and empty threshold starts</t>
  </si>
  <si>
    <t xml:space="preserve">Held fire</t>
  </si>
  <si>
    <t xml:space="preserve">Kinetic Held Interception</t>
  </si>
  <si>
    <t xml:space="preserve">Normal ready package and attack cycle</t>
  </si>
  <si>
    <t xml:space="preserve">0 TP</t>
  </si>
  <si>
    <t xml:space="preserve">PDS first; one held attempt</t>
  </si>
  <si>
    <t xml:space="preserve">Outputs 0/1/3/5</t>
  </si>
  <si>
    <t xml:space="preserve">Energy Held Interception</t>
  </si>
  <si>
    <t xml:space="preserve">Low 1 TP / standard 2 TP earmark</t>
  </si>
  <si>
    <t xml:space="preserve">Earmarked then Spent</t>
  </si>
  <si>
    <t xml:space="preserve">Unused release; offensive cycle lost</t>
  </si>
  <si>
    <t xml:space="preserve">Low/standard and saturation</t>
  </si>
  <si>
    <t xml:space="preserve">Reaction Capacity</t>
  </si>
  <si>
    <t xml:space="preserve">Separate statistic</t>
  </si>
  <si>
    <t xml:space="preserve">Shared across incoming Flights</t>
  </si>
  <si>
    <t xml:space="preserve">All retained PDS families</t>
  </si>
  <si>
    <t xml:space="preserve">Retained TL1</t>
  </si>
  <si>
    <t xml:space="preserve">Missiles</t>
  </si>
  <si>
    <t xml:space="preserve">Launcher salvo limit</t>
  </si>
  <si>
    <t xml:space="preserve">1 Flight per installed launcher per turn</t>
  </si>
  <si>
    <t xml:space="preserve">0 launch TP</t>
  </si>
  <si>
    <t xml:space="preserve">Multiple Flights require multiple sources</t>
  </si>
  <si>
    <t xml:space="preserve">Two-flight boundary only</t>
  </si>
  <si>
    <t xml:space="preserve">Overload</t>
  </si>
  <si>
    <t xml:space="preserve">Main Reactor</t>
  </si>
  <si>
    <t xml:space="preserve">+1 TP / +1 Strain</t>
  </si>
  <si>
    <t xml:space="preserve">Temporary source</t>
  </si>
  <si>
    <t xml:space="preserve">Crosses one-point thresholds</t>
  </si>
  <si>
    <t xml:space="preserve">Overlay and boundary cases</t>
  </si>
  <si>
    <t xml:space="preserve">Energy safe burst</t>
  </si>
  <si>
    <t xml:space="preserve">3 TP / DAM 4 / SPEN 1 / APEN 1</t>
  </si>
  <si>
    <t xml:space="preserve">Spent</t>
  </si>
  <si>
    <t xml:space="preserve">Two safe shots then standard</t>
  </si>
  <si>
    <t xml:space="preserve">Outputs 2/3/4</t>
  </si>
  <si>
    <t xml:space="preserve">Active Sensors</t>
  </si>
  <si>
    <t xml:space="preserve">+1 TP / +2 Firm range / +1 Strain</t>
  </si>
  <si>
    <t xml:space="preserve">Powered</t>
  </si>
  <si>
    <t xml:space="preserve">Static Firm-range edge</t>
  </si>
  <si>
    <t xml:space="preserve">Range 6 boundaries</t>
  </si>
  <si>
    <t xml:space="preserve">ECM / ECCM</t>
  </si>
  <si>
    <t xml:space="preserve">+1 TP / +1 rating / +1 Strain</t>
  </si>
  <si>
    <t xml:space="preserve">Denial/restoration edge</t>
  </si>
  <si>
    <t xml:space="preserve">Ranges 4/5</t>
  </si>
  <si>
    <t xml:space="preserve">+1 TP / +1 additional SA / +1 Strain</t>
  </si>
  <si>
    <t xml:space="preserve">Mitigation threshold</t>
  </si>
  <si>
    <t xml:space="preserve">Missile boundaries</t>
  </si>
  <si>
    <t xml:space="preserve">Shield Generator</t>
  </si>
  <si>
    <t xml:space="preserve">1 TP for +2 overcapacity or +2 next recharge</t>
  </si>
  <si>
    <t xml:space="preserve">Operating/collapsed alternatives</t>
  </si>
  <si>
    <t xml:space="preserve">Kinetic and missile edges</t>
  </si>
  <si>
    <t xml:space="preserve">Reserve</t>
  </si>
  <si>
    <t xml:space="preserve">3 shipyard/drydock-restored charges</t>
  </si>
  <si>
    <t xml:space="preserve">Player-reserved emergency item</t>
  </si>
  <si>
    <t xml:space="preserve">Excluded from ordinary reactor valuation</t>
  </si>
  <si>
    <t xml:space="preserve">Mechanical tests retained</t>
  </si>
  <si>
    <t xml:space="preserve">Deferred</t>
  </si>
  <si>
    <t xml:space="preserve">Tractor and STL overload</t>
  </si>
  <si>
    <t xml:space="preserve">Movement dependent</t>
  </si>
  <si>
    <t xml:space="preserve">Varies</t>
  </si>
  <si>
    <t xml:space="preserve">Requires geometry and tactics</t>
  </si>
  <si>
    <t xml:space="preserve">Not in static matrix</t>
  </si>
  <si>
    <t xml:space="preserve">Existing contracts</t>
  </si>
  <si>
    <t xml:space="preserve">K/E/M mirrors</t>
  </si>
  <si>
    <t xml:space="preserve">Ranges 0/2</t>
  </si>
  <si>
    <t xml:space="preserve">Reactor sweep</t>
  </si>
  <si>
    <t xml:space="preserve">90 variants</t>
  </si>
  <si>
    <t xml:space="preserve">0-8 TP</t>
  </si>
  <si>
    <t xml:space="preserve">Offense affordability</t>
  </si>
  <si>
    <t xml:space="preserve">Five packages with swaps</t>
  </si>
  <si>
    <t xml:space="preserve">Single consumers</t>
  </si>
  <si>
    <t xml:space="preserve">144 variants</t>
  </si>
  <si>
    <t xml:space="preserve">Individual opportunity costs</t>
  </si>
  <si>
    <t xml:space="preserve">Eight packages with swaps</t>
  </si>
  <si>
    <t xml:space="preserve">Layered sweep</t>
  </si>
  <si>
    <t xml:space="preserve">Defense/offense priority</t>
  </si>
  <si>
    <t xml:space="preserve">Power-source overlays</t>
  </si>
  <si>
    <t xml:space="preserve">60 variants</t>
  </si>
  <si>
    <t xml:space="preserve">Separate sources</t>
  </si>
  <si>
    <t xml:space="preserve">Aux/Cap/Battery/overload</t>
  </si>
  <si>
    <t xml:space="preserve">Two packages x outputs 3/4/5</t>
  </si>
  <si>
    <t xml:space="preserve">Overload boundaries</t>
  </si>
  <si>
    <t xml:space="preserve">30 variants</t>
  </si>
  <si>
    <t xml:space="preserve">Safe only</t>
  </si>
  <si>
    <t xml:space="preserve">Static threshold proof</t>
  </si>
  <si>
    <t xml:space="preserve">Seven overload families</t>
  </si>
  <si>
    <t xml:space="preserve">Held Interception</t>
  </si>
  <si>
    <t xml:space="preserve">Earmarked power</t>
  </si>
  <si>
    <t xml:space="preserve">Triggered/unused/saturation</t>
  </si>
  <si>
    <t xml:space="preserve">Kinetic and Energy</t>
  </si>
  <si>
    <t xml:space="preserve">504 variants x 10,000 trials</t>
  </si>
  <si>
    <t xml:space="preserve">Single engagement envelope</t>
  </si>
  <si>
    <t xml:space="preserve">Exact reciprocal swaps</t>
  </si>
  <si>
    <t xml:space="preserve">Keep TL1 PDS Reaction Capacity at 1 and separate from other PDS statistics.</t>
  </si>
  <si>
    <t xml:space="preserve">One main Missile Launcher launches one Flight per turn; multiple Flights require multiple sources.</t>
  </si>
  <si>
    <t xml:space="preserve">Retain hard stalls and other static edge outcomes as valid mechanical boundary proofs.</t>
  </si>
  <si>
    <t xml:space="preserve">Treat Shield Batteries as shipyard/drydock-restored player reserves, not routine recharge.</t>
  </si>
  <si>
    <t xml:space="preserve">Refill Capacity-3 Capacitor Banks after FTL; charge 1, discharge 2, one operation/turn.</t>
  </si>
  <si>
    <t xml:space="preserve">Implement Kinetic/Energy Held Interception with earmarks, normal resources, and lost cycles.</t>
  </si>
  <si>
    <t xml:space="preserve">Test Auxiliary Reactor +2/+1/+0 as a comparison overlay, not standard TL1 equipment.</t>
  </si>
  <si>
    <t xml:space="preserve">Defer Tractor and STL overload to movement-dependent calibration.</t>
  </si>
  <si>
    <t xml:space="preserve">Sweep renewable output 0-8 with fixed packages and separate source reporting before locking Reactor output.</t>
  </si>
  <si>
    <t xml:space="preserve">Checkpoint 33 - TL1 Main-Weapon Power and Interception-Order Correction</t>
  </si>
  <si>
    <t xml:space="preserve">Corrected TL1 value</t>
  </si>
  <si>
    <t xml:space="preserve">Main weapon</t>
  </si>
  <si>
    <t xml:space="preserve">Kinetic Cannon</t>
  </si>
  <si>
    <t xml:space="preserve">Standard fire</t>
  </si>
  <si>
    <t xml:space="preserve">1 TP Spent</t>
  </si>
  <si>
    <t xml:space="preserve">Internal firing systems</t>
  </si>
  <si>
    <t xml:space="preserve">Controls and outputs 3-6</t>
  </si>
  <si>
    <t xml:space="preserve">Missile Launcher</t>
  </si>
  <si>
    <t xml:space="preserve">One Flight / launcher / turn</t>
  </si>
  <si>
    <t xml:space="preserve">0 TP launch</t>
  </si>
  <si>
    <t xml:space="preserve">Finite guided munition carries own power</t>
  </si>
  <si>
    <t xml:space="preserve">Controls and overlays</t>
  </si>
  <si>
    <t xml:space="preserve">Retained</t>
  </si>
  <si>
    <t xml:space="preserve">Kinetic Held Main</t>
  </si>
  <si>
    <t xml:space="preserve">One ready package / one cycle</t>
  </si>
  <si>
    <t xml:space="preserve">1 TP earmarked then Spent</t>
  </si>
  <si>
    <t xml:space="preserve">Long-range interception</t>
  </si>
  <si>
    <t xml:space="preserve">Triggered and unused holds</t>
  </si>
  <si>
    <t xml:space="preserve">Energy Held Main</t>
  </si>
  <si>
    <t xml:space="preserve">Low 1 / standard 2 TP</t>
  </si>
  <si>
    <t xml:space="preserve">Ordering</t>
  </si>
  <si>
    <t xml:space="preserve">Interception sequence</t>
  </si>
  <si>
    <t xml:space="preserve">Held Main then PDS then terminal attack</t>
  </si>
  <si>
    <t xml:space="preserve">Resource order</t>
  </si>
  <si>
    <t xml:space="preserve">Preserve PDS ammo on held success</t>
  </si>
  <si>
    <t xml:space="preserve">Success and miss fallback</t>
  </si>
  <si>
    <t xml:space="preserve">Close defensive layer</t>
  </si>
  <si>
    <t xml:space="preserve">All families</t>
  </si>
  <si>
    <t xml:space="preserve">Overcapacity</t>
  </si>
  <si>
    <t xml:space="preserve">+1 temporary SP / activation</t>
  </si>
  <si>
    <t xml:space="preserve">Two safe activations max +2 total</t>
  </si>
  <si>
    <t xml:space="preserve">Static overload boundary</t>
  </si>
  <si>
    <t xml:space="preserve">Early Auxiliary Reactor</t>
  </si>
  <si>
    <t xml:space="preserve">Operational +1 / Degraded +0</t>
  </si>
  <si>
    <t xml:space="preserve">Cross one nearby threshold</t>
  </si>
  <si>
    <t xml:space="preserve">Outputs 3/4/5</t>
  </si>
  <si>
    <t xml:space="preserve">Focused renewable sweep</t>
  </si>
  <si>
    <t xml:space="preserve">3 through 6 TP</t>
  </si>
  <si>
    <t xml:space="preserve">Decision-rich band</t>
  </si>
  <si>
    <t xml:space="preserve">Five offense packages</t>
  </si>
  <si>
    <t xml:space="preserve">Full after FTL</t>
  </si>
  <si>
    <t xml:space="preserve">Retained overlays</t>
  </si>
  <si>
    <t xml:space="preserve">Emergency threshold crossing</t>
  </si>
  <si>
    <t xml:space="preserve">Rebaseline corrected weapon costs</t>
  </si>
  <si>
    <t xml:space="preserve">Kinetic/Energy/Missile</t>
  </si>
  <si>
    <t xml:space="preserve">40 variants</t>
  </si>
  <si>
    <t xml:space="preserve">Outputs 3-6</t>
  </si>
  <si>
    <t xml:space="preserve">Five packages and swaps</t>
  </si>
  <si>
    <t xml:space="preserve">64 variants</t>
  </si>
  <si>
    <t xml:space="preserve">Eight packages and swaps</t>
  </si>
  <si>
    <t xml:space="preserve">Aux/Capacitor/Battery/overload</t>
  </si>
  <si>
    <t xml:space="preserve">Threshold comparisons</t>
  </si>
  <si>
    <t xml:space="preserve">Revised Shield overcapacity</t>
  </si>
  <si>
    <t xml:space="preserve">Static edges</t>
  </si>
  <si>
    <t xml:space="preserve">Held-first ordering and Kinetic cost</t>
  </si>
  <si>
    <t xml:space="preserve">Complete correction matrix</t>
  </si>
  <si>
    <t xml:space="preserve">294 variants x 10,000 trials</t>
  </si>
  <si>
    <t xml:space="preserve">Single-engagement envelope</t>
  </si>
  <si>
    <t xml:space="preserve">Checkpoint 34 - Headless C# Calibration Lane and Stable Validation Harness</t>
  </si>
  <si>
    <t xml:space="preserve">Lane</t>
  </si>
  <si>
    <t xml:space="preserve">Artifact</t>
  </si>
  <si>
    <t xml:space="preserve">Responsibility</t>
  </si>
  <si>
    <t xml:space="preserve">Frequency</t>
  </si>
  <si>
    <t xml:space="preserve">Blocking gate</t>
  </si>
  <si>
    <t xml:space="preserve">Documentation role</t>
  </si>
  <si>
    <t xml:space="preserve">Calibration</t>
  </si>
  <si>
    <t xml:space="preserve">StarCluster.Calibration.sln</t>
  </si>
  <si>
    <t xml:space="preserve">Core + ScenarioRunner + Tests</t>
  </si>
  <si>
    <t xml:space="preserve">Every calibration checkpoint</t>
  </si>
  <si>
    <t xml:space="preserve">Warnings-as-errors build</t>
  </si>
  <si>
    <t xml:space="preserve">None</t>
  </si>
  <si>
    <t xml:space="preserve">Active</t>
  </si>
  <si>
    <t xml:space="preserve">Integration</t>
  </si>
  <si>
    <t xml:space="preserve">StarCluster.sln</t>
  </si>
  <si>
    <t xml:space="preserve">Complete solution including StarCluster.Game</t>
  </si>
  <si>
    <t xml:space="preserve">Major subsystem milestones</t>
  </si>
  <si>
    <t xml:space="preserve">Full-solution build</t>
  </si>
  <si>
    <t xml:space="preserve">Separate lane</t>
  </si>
  <si>
    <t xml:space="preserve">Rules</t>
  </si>
  <si>
    <t xml:space="preserve">StarCluster.Core</t>
  </si>
  <si>
    <t xml:space="preserve">Authoritative combat and technology mechanics</t>
  </si>
  <si>
    <t xml:space="preserve">Shared by both lanes</t>
  </si>
  <si>
    <t xml:space="preserve">Compiled behavior</t>
  </si>
  <si>
    <t xml:space="preserve">Design reference only</t>
  </si>
  <si>
    <t xml:space="preserve">Authoritative</t>
  </si>
  <si>
    <t xml:space="preserve">Simulation</t>
  </si>
  <si>
    <t xml:space="preserve">StarCluster.ScenarioRunner</t>
  </si>
  <si>
    <t xml:space="preserve">Structured inputs, deterministic/Monte Carlo execution, gates, reports</t>
  </si>
  <si>
    <t xml:space="preserve">Every calibration</t>
  </si>
  <si>
    <t xml:space="preserve">Runner exit code</t>
  </si>
  <si>
    <t xml:space="preserve">Documents inputs/results</t>
  </si>
  <si>
    <t xml:space="preserve">Authoritative host</t>
  </si>
  <si>
    <t xml:space="preserve">Tests</t>
  </si>
  <si>
    <t xml:space="preserve">StarCluster.Tests</t>
  </si>
  <si>
    <t xml:space="preserve">Engine-independent behavioral contracts</t>
  </si>
  <si>
    <t xml:space="preserve">dotnet test exit code</t>
  </si>
  <si>
    <t xml:space="preserve">No prose matching</t>
  </si>
  <si>
    <t xml:space="preserve">Authoritative gate</t>
  </si>
  <si>
    <t xml:space="preserve">Presentation</t>
  </si>
  <si>
    <t xml:space="preserve">StarCluster.Game</t>
  </si>
  <si>
    <t xml:space="preserve">Godot scenes, input, UI, save and adapters</t>
  </si>
  <si>
    <t xml:space="preserve">Integration milestones</t>
  </si>
  <si>
    <t xml:space="preserve">Player-facing design</t>
  </si>
  <si>
    <t xml:space="preserve">Production host</t>
  </si>
  <si>
    <t xml:space="preserve">Harness</t>
  </si>
  <si>
    <t xml:space="preserve">tools/calibration/run_calibration_checkpoint.ps1</t>
  </si>
  <si>
    <t xml:space="preserve">Stable orchestration only</t>
  </si>
  <si>
    <t xml:space="preserve">Reused unchanged</t>
  </si>
  <si>
    <t xml:space="preserve">Native command exit codes</t>
  </si>
  <si>
    <t xml:space="preserve">Reports file presence only</t>
  </si>
  <si>
    <t xml:space="preserve">Definition</t>
  </si>
  <si>
    <t xml:space="preserve">tools/calibration/checkpoints/checkpoint-34.json</t>
  </si>
  <si>
    <t xml:space="preserve">Paths, workload defaults, ordered runner stages</t>
  </si>
  <si>
    <t xml:space="preserve">Versioned per checkpoint</t>
  </si>
  <si>
    <t xml:space="preserve">Typed path/config validation</t>
  </si>
  <si>
    <t xml:space="preserve">Declares non-blocking docs</t>
  </si>
  <si>
    <t xml:space="preserve">Release integrity</t>
  </si>
  <si>
    <t xml:space="preserve">CHECKPOINT_34_SHA256SUMS.txt</t>
  </si>
  <si>
    <t xml:space="preserve">Controlled-file hashes</t>
  </si>
  <si>
    <t xml:space="preserve">Every delivered archive</t>
  </si>
  <si>
    <t xml:space="preserve">Hash and unexpected-file check</t>
  </si>
  <si>
    <t xml:space="preserve">Version-control role</t>
  </si>
  <si>
    <t xml:space="preserve">Blocking</t>
  </si>
  <si>
    <t xml:space="preserve">Script integrity</t>
  </si>
  <si>
    <t xml:space="preserve">PowerShell parser</t>
  </si>
  <si>
    <t xml:space="preserve">Syntax validation</t>
  </si>
  <si>
    <t xml:space="preserve">Parser errors</t>
  </si>
  <si>
    <t xml:space="preserve">No content assertions</t>
  </si>
  <si>
    <t xml:space="preserve">Runtime</t>
  </si>
  <si>
    <t xml:space="preserve">global.json / SDK 8.0.423</t>
  </si>
  <si>
    <t xml:space="preserve">Pinned C# toolchain</t>
  </si>
  <si>
    <t xml:space="preserve">Exact SDK selection</t>
  </si>
  <si>
    <t xml:space="preserve">Build</t>
  </si>
  <si>
    <t xml:space="preserve">Headless calibration solution</t>
  </si>
  <si>
    <t xml:space="preserve">Compile Core, Runner, and Tests</t>
  </si>
  <si>
    <t xml:space="preserve">Nonzero exit</t>
  </si>
  <si>
    <t xml:space="preserve">No Godot requirement</t>
  </si>
  <si>
    <t xml:space="preserve">Execution</t>
  </si>
  <si>
    <t xml:space="preserve">Configured runner stages</t>
  </si>
  <si>
    <t xml:space="preserve">Retained deterministic and calibration lanes</t>
  </si>
  <si>
    <t xml:space="preserve">Output artifacts</t>
  </si>
  <si>
    <t xml:space="preserve">README</t>
  </si>
  <si>
    <t xml:space="preserve">README.md</t>
  </si>
  <si>
    <t xml:space="preserve">Human orientation and commands</t>
  </si>
  <si>
    <t xml:space="preserve">As needed</t>
  </si>
  <si>
    <t xml:space="preserve">Non-blocking narrative</t>
  </si>
  <si>
    <t xml:space="preserve">Informational</t>
  </si>
  <si>
    <t xml:space="preserve">Concept</t>
  </si>
  <si>
    <t xml:space="preserve">Star_Cluster_Game_Concept_v0.4f.docx</t>
  </si>
  <si>
    <t xml:space="preserve">Living design decisions and rationale</t>
  </si>
  <si>
    <t xml:space="preserve">Every design checkpoint</t>
  </si>
  <si>
    <t xml:space="preserve">Workbook</t>
  </si>
  <si>
    <t xml:space="preserve">StarCluster_Player_TL_Framework_Draft_v0_14.xlsx</t>
  </si>
  <si>
    <t xml:space="preserve">Technology ledger and decisions</t>
  </si>
  <si>
    <t xml:space="preserve">Every technology checkpoint</t>
  </si>
  <si>
    <t xml:space="preserve">Retained mechanics</t>
  </si>
  <si>
    <t xml:space="preserve">Checkpoint 33 correction</t>
  </si>
  <si>
    <t xml:space="preserve">Kinetic 1 TP; Missile 0 TP; Held Main before PDS</t>
  </si>
  <si>
    <t xml:space="preserve">Unchanged in Checkpoint 34</t>
  </si>
  <si>
    <t xml:space="preserve">C# tests and scenarios</t>
  </si>
  <si>
    <t xml:space="preserve">Recorded in Concept/workbook</t>
  </si>
  <si>
    <t xml:space="preserve">Retained study</t>
  </si>
  <si>
    <t xml:space="preserve">tl1-pe02 correction study</t>
  </si>
  <si>
    <t xml:space="preserve">294 variants x 10,000 trials; outputs 3-6</t>
  </si>
  <si>
    <t xml:space="preserve">Checkpoint 34 calibration</t>
  </si>
  <si>
    <t xml:space="preserve">ScenarioRunner semantic gates</t>
  </si>
  <si>
    <t xml:space="preserve">Results assessed after run</t>
  </si>
  <si>
    <t xml:space="preserve">Integration cadence</t>
  </si>
  <si>
    <t xml:space="preserve">tools/integration/run_full_solution_validation.ps1</t>
  </si>
  <si>
    <t xml:space="preserve">Build complete Godot/C# solution</t>
  </si>
  <si>
    <t xml:space="preserve">Major milestones</t>
  </si>
  <si>
    <t xml:space="preserve">Full solution exit code</t>
  </si>
  <si>
    <t xml:space="preserve">Separate report</t>
  </si>
  <si>
    <t xml:space="preserve">Available</t>
  </si>
  <si>
    <t xml:space="preserve">Checkpoint 35 - Scripted Relative-Range, Sensor, and Missile-Budget Calibration</t>
  </si>
  <si>
    <t xml:space="preserve">Rule / artifact</t>
  </si>
  <si>
    <t xml:space="preserve">Checkpoint 35 contract</t>
  </si>
  <si>
    <t xml:space="preserve">Timing / range</t>
  </si>
  <si>
    <t xml:space="preserve">Mechanical consequence</t>
  </si>
  <si>
    <t xml:space="preserve">Study coverage</t>
  </si>
  <si>
    <t xml:space="preserve">Geometry</t>
  </si>
  <si>
    <t xml:space="preserve">Relative separation</t>
  </si>
  <si>
    <t xml:space="preserve">One shared scalar range; no absolute coordinates</t>
  </si>
  <si>
    <t xml:space="preserve">0-10 hexes</t>
  </si>
  <si>
    <t xml:space="preserve">Represents legal separation on 11-hex-diameter board</t>
  </si>
  <si>
    <t xml:space="preserve">All 75 variants</t>
  </si>
  <si>
    <t xml:space="preserve">Schedule</t>
  </si>
  <si>
    <t xml:space="preserve">Range change</t>
  </si>
  <si>
    <t xml:space="preserve">Strictly ordered typed turn/range entries</t>
  </si>
  <si>
    <t xml:space="preserve">Normally Turn 2</t>
  </si>
  <si>
    <t xml:space="preserve">Changes separation once, then holds it</t>
  </si>
  <si>
    <t xml:space="preserve">Scripted families</t>
  </si>
  <si>
    <t xml:space="preserve">Turn order</t>
  </si>
  <si>
    <t xml:space="preserve">Application window</t>
  </si>
  <si>
    <t xml:space="preserve">Apply before sensors, power, fire, and missile resolution</t>
  </si>
  <si>
    <t xml:space="preserve">Start of named turn</t>
  </si>
  <si>
    <t xml:space="preserve">New range governs the entire turn</t>
  </si>
  <si>
    <t xml:space="preserve">All scripted cases</t>
  </si>
  <si>
    <t xml:space="preserve">Direct fire</t>
  </si>
  <si>
    <t xml:space="preserve">Range modifier</t>
  </si>
  <si>
    <t xml:space="preserve">Use current relative separation</t>
  </si>
  <si>
    <t xml:space="preserve">After each change</t>
  </si>
  <si>
    <t xml:space="preserve">Accuracy penalty follows new range</t>
  </si>
  <si>
    <t xml:space="preserve">Kinetic and Energy mirrors</t>
  </si>
  <si>
    <t xml:space="preserve">Track reevaluation</t>
  </si>
  <si>
    <t xml:space="preserve">Run ordinary passive/Active/ECM/ECCM rules</t>
  </si>
  <si>
    <t xml:space="preserve">After range change</t>
  </si>
  <si>
    <t xml:space="preserve">No separate automatic movement penalty</t>
  </si>
  <si>
    <t xml:space="preserve">20 sensor/EW variants</t>
  </si>
  <si>
    <t xml:space="preserve">Route adjustment</t>
  </si>
  <si>
    <t xml:space="preserve">Add relative-range delta to each live Flight remaining distance</t>
  </si>
  <si>
    <t xml:space="preserve">At scripted change</t>
  </si>
  <si>
    <t xml:space="preserve">Outward adds route; inward shortens route</t>
  </si>
  <si>
    <t xml:space="preserve">16 missile-budget variants</t>
  </si>
  <si>
    <t xml:space="preserve">Cumulative travel</t>
  </si>
  <si>
    <t xml:space="preserve">Never reset traveled distance</t>
  </si>
  <si>
    <t xml:space="preserve">Entire flight</t>
  </si>
  <si>
    <t xml:space="preserve">Rerouting cannot restore Maximum Range</t>
  </si>
  <si>
    <t xml:space="preserve">Exact exhaustion and late change</t>
  </si>
  <si>
    <t xml:space="preserve">New launches</t>
  </si>
  <si>
    <t xml:space="preserve">Begin at current separation</t>
  </si>
  <si>
    <t xml:space="preserve">Launch turn</t>
  </si>
  <si>
    <t xml:space="preserve">Post-change launches use the new range</t>
  </si>
  <si>
    <t xml:space="preserve">Missile controls</t>
  </si>
  <si>
    <t xml:space="preserve">Pursuit</t>
  </si>
  <si>
    <t xml:space="preserve">Scalar proofs</t>
  </si>
  <si>
    <t xml:space="preserve">Retain TargetMovePerTurn only for narrow proofs</t>
  </si>
  <si>
    <t xml:space="preserve">Every missile action</t>
  </si>
  <si>
    <t xml:space="preserve">Target faster / equal / missile faster</t>
  </si>
  <si>
    <t xml:space="preserve">Held Main order</t>
  </si>
  <si>
    <t xml:space="preserve">Held Main then PDS then terminal Guidance</t>
  </si>
  <si>
    <t xml:space="preserve">Actual arrival turn</t>
  </si>
  <si>
    <t xml:space="preserve">Delayed Flights meet current defensive state</t>
  </si>
  <si>
    <t xml:space="preserve">12 timing variants</t>
  </si>
  <si>
    <t xml:space="preserve">Launch rate</t>
  </si>
  <si>
    <t xml:space="preserve">Main launcher</t>
  </si>
  <si>
    <t xml:space="preserve">One Missile Flight per launcher per turn</t>
  </si>
  <si>
    <t xml:space="preserve">Unchanged</t>
  </si>
  <si>
    <t xml:space="preserve">No artificial salvo multiplication</t>
  </si>
  <si>
    <t xml:space="preserve">All missile cases</t>
  </si>
  <si>
    <t xml:space="preserve">Ordinary TL1 capacity remains 1</t>
  </si>
  <si>
    <t xml:space="preserve">Per turn</t>
  </si>
  <si>
    <t xml:space="preserve">Arrival timing can shift ammunition/readiness pressure</t>
  </si>
  <si>
    <t xml:space="preserve">Timing variants</t>
  </si>
  <si>
    <t xml:space="preserve">Static controls</t>
  </si>
  <si>
    <t xml:space="preserve">Ranges 2, 4, and 6 for Kinetic/Energy/Missile</t>
  </si>
  <si>
    <t xml:space="preserve">Fixed</t>
  </si>
  <si>
    <t xml:space="preserve">Separates schedule effects from range itself</t>
  </si>
  <si>
    <t xml:space="preserve">9 variants</t>
  </si>
  <si>
    <t xml:space="preserve">Scripted direct fire</t>
  </si>
  <si>
    <t xml:space="preserve">2-&gt;3, 2-&gt;4, 3-&gt;5, 4-&gt;6, 6-&gt;4, 5-&gt;3</t>
  </si>
  <si>
    <t xml:space="preserve">Turn 2</t>
  </si>
  <si>
    <t xml:space="preserve">Outward and inward accuracy/track changes</t>
  </si>
  <si>
    <t xml:space="preserve">12 variants</t>
  </si>
  <si>
    <t xml:space="preserve">Missile budgets</t>
  </si>
  <si>
    <t xml:space="preserve">Reach, delay, exact exhaustion, overrun, late and inward changes</t>
  </si>
  <si>
    <t xml:space="preserve">Turn 2 / one Turn 3 proof</t>
  </si>
  <si>
    <t xml:space="preserve">Tests route and finite range</t>
  </si>
  <si>
    <t xml:space="preserve">16 variants</t>
  </si>
  <si>
    <t xml:space="preserve">Sensor/EW</t>
  </si>
  <si>
    <t xml:space="preserve">Loss, retention, denial, restoration, reacquisition</t>
  </si>
  <si>
    <t xml:space="preserve">Boundary ranges</t>
  </si>
  <si>
    <t xml:space="preserve">Tests existing sensor/EW thresholds</t>
  </si>
  <si>
    <t xml:space="preserve">20 variants</t>
  </si>
  <si>
    <t xml:space="preserve">Interception timing</t>
  </si>
  <si>
    <t xml:space="preserve">PDS, Held Main, combined layers, delayed/inward arrival</t>
  </si>
  <si>
    <t xml:space="preserve">Arrival dependent</t>
  </si>
  <si>
    <t xml:space="preserve">Tests accepted Held-before-PDS sequence</t>
  </si>
  <si>
    <t xml:space="preserve">Symmetry</t>
  </si>
  <si>
    <t xml:space="preserve">Reciprocal pairs</t>
  </si>
  <si>
    <t xml:space="preserve">54 asymmetric variants form 27 exact side swaps</t>
  </si>
  <si>
    <t xml:space="preserve">Common random numbers</t>
  </si>
  <si>
    <t xml:space="preserve">Bounds processing-order bias</t>
  </si>
  <si>
    <t xml:space="preserve">All asymmetric cases</t>
  </si>
  <si>
    <t xml:space="preserve">Required gate</t>
  </si>
  <si>
    <t xml:space="preserve">Full movement</t>
  </si>
  <si>
    <t xml:space="preserve">Coordinates, headings, acceleration, pathfinding, edges, multiple movers</t>
  </si>
  <si>
    <t xml:space="preserve">Future checkpoint</t>
  </si>
  <si>
    <t xml:space="preserve">Avoids premature tactical geometry lock</t>
  </si>
  <si>
    <t xml:space="preserve">Not in Checkpoint 35</t>
  </si>
  <si>
    <t xml:space="preserve">Acceptance lane</t>
  </si>
  <si>
    <t xml:space="preserve">Stable JSON-driven headless C# calibration harness</t>
  </si>
  <si>
    <t xml:space="preserve">16 stages expected</t>
  </si>
  <si>
    <t xml:space="preserve">No checkpoint-specific prose assertions</t>
  </si>
  <si>
    <t xml:space="preserve">Retained lanes + new study</t>
  </si>
  <si>
    <t xml:space="preserve">Checkpoint 36b - Protected Compartmentation Closure and Immobile Target Accuracy</t>
  </si>
  <si>
    <t xml:space="preserve">Checkpoint 36b contract</t>
  </si>
  <si>
    <t xml:space="preserve">Damage stream</t>
  </si>
  <si>
    <t xml:space="preserve">Hull / X progression</t>
  </si>
  <si>
    <t xml:space="preserve">Each Hull-reaching point removes 1 Hull and advances one hidden persistent position</t>
  </si>
  <si>
    <t xml:space="preserve">Damage phase</t>
  </si>
  <si>
    <t xml:space="preserve">H is structure only; X invokes one component selection</t>
  </si>
  <si>
    <t xml:space="preserve">All 80 variants</t>
  </si>
  <si>
    <t xml:space="preserve">Terminology</t>
  </si>
  <si>
    <t xml:space="preserve">Internal Critical Marker</t>
  </si>
  <si>
    <t xml:space="preserve">X on the hidden stream</t>
  </si>
  <si>
    <t xml:space="preserve">Per Hull point</t>
  </si>
  <si>
    <t xml:space="preserve">Controls when a component critical occurs</t>
  </si>
  <si>
    <t xml:space="preserve">All densities</t>
  </si>
  <si>
    <t xml:space="preserve">Locked</t>
  </si>
  <si>
    <t xml:space="preserve">Critical Exposure</t>
  </si>
  <si>
    <t xml:space="preserve">Integer weighted chance contributed by a component or group</t>
  </si>
  <si>
    <t xml:space="preserve">On each X</t>
  </si>
  <si>
    <t xml:space="preserve">Models physical vulnerability, not durability boxes</t>
  </si>
  <si>
    <t xml:space="preserve">Reference loadouts</t>
  </si>
  <si>
    <t xml:space="preserve">Density</t>
  </si>
  <si>
    <t xml:space="preserve">Candidate set</t>
  </si>
  <si>
    <t xml:space="preserve">15%, 20%, 25%, 33 1/3%, 50%</t>
  </si>
  <si>
    <t xml:space="preserve">7-6-7 / 5 / 4 / 3 / 2 strata</t>
  </si>
  <si>
    <t xml:space="preserve">Bounds critical frequency without hidden extra Hull</t>
  </si>
  <si>
    <t xml:space="preserve">5 density families</t>
  </si>
  <si>
    <t xml:space="preserve">Tunable</t>
  </si>
  <si>
    <t xml:space="preserve">Compartmentation</t>
  </si>
  <si>
    <t xml:space="preserve">Ordinary placement</t>
  </si>
  <si>
    <t xml:space="preserve">One deterministic seeded X within each stratum</t>
  </si>
  <si>
    <t xml:space="preserve">Persistent by seed</t>
  </si>
  <si>
    <t xml:space="preserve">Save/reload cannot produce safer damage</t>
  </si>
  <si>
    <t xml:space="preserve">Protected Compartmentation</t>
  </si>
  <si>
    <t xml:space="preserve">Preserve the ordinary seeded finite-track X count; move each retained X as late as possible, swapping a terminal X with the adjacent H when possible</t>
  </si>
  <si>
    <t xml:space="preserve">Human characteristic</t>
  </si>
  <si>
    <t xml:space="preserve">Delays criticals without silently reducing finite critical density</t>
  </si>
  <si>
    <t xml:space="preserve">Exposure</t>
  </si>
  <si>
    <t xml:space="preserve">Direct systems</t>
  </si>
  <si>
    <t xml:space="preserve">Reactor 2; STL 2; FTL, shields, weapons, PDS, magazines, damageable Aux 1</t>
  </si>
  <si>
    <t xml:space="preserve">On X</t>
  </si>
  <si>
    <t xml:space="preserve">Weighted deterministic component selection</t>
  </si>
  <si>
    <t xml:space="preserve">All variants</t>
  </si>
  <si>
    <t xml:space="preserve">Initial / tunable</t>
  </si>
  <si>
    <t xml:space="preserve">Electronics group</t>
  </si>
  <si>
    <t xml:space="preserve">One top-level ticket; equal secondary selection among Active Sensors, TC, Comms, ECM, ECCM</t>
  </si>
  <si>
    <t xml:space="preserve">Avoids many small electronics shielding major systems</t>
  </si>
  <si>
    <t xml:space="preserve">Destroyed entries</t>
  </si>
  <si>
    <t xml:space="preserve">Remain selectable; no reroll and no further condition step</t>
  </si>
  <si>
    <t xml:space="preserve">On later X</t>
  </si>
  <si>
    <t xml:space="preserve">Prevents late-battle concentration on survivors</t>
  </si>
  <si>
    <t xml:space="preserve">Repeated-hit metrics</t>
  </si>
  <si>
    <t xml:space="preserve">Conditions</t>
  </si>
  <si>
    <t xml:space="preserve">Component ladder</t>
  </si>
  <si>
    <t xml:space="preserve">Operational -&gt; Degraded -&gt; Disabled -&gt; Destroyed</t>
  </si>
  <si>
    <t xml:space="preserve">Sequential during Damage</t>
  </si>
  <si>
    <t xml:space="preserve">Multiple hits may step one component repeatedly</t>
  </si>
  <si>
    <t xml:space="preserve">Ship state</t>
  </si>
  <si>
    <t xml:space="preserve">Disabled</t>
  </si>
  <si>
    <t xml:space="preserve">Hull &gt; 0 with no meaningful offense and no standard STL movement</t>
  </si>
  <si>
    <t xml:space="preserve">After committed damage</t>
  </si>
  <si>
    <t xml:space="preserve">FTL and local defenses do not prevent Disabled status</t>
  </si>
  <si>
    <t xml:space="preserve">Disabled metrics</t>
  </si>
  <si>
    <t xml:space="preserve">Pending Destruction</t>
  </si>
  <si>
    <t xml:space="preserve">Hull 0 until committed Damage packets and criticals finish</t>
  </si>
  <si>
    <t xml:space="preserve">End of Damage phase</t>
  </si>
  <si>
    <t xml:space="preserve">Overkill logged; no ordinary H/X after zero</t>
  </si>
  <si>
    <t xml:space="preserve">Unit tests</t>
  </si>
  <si>
    <t xml:space="preserve">Destruction</t>
  </si>
  <si>
    <t xml:space="preserve">Finalization</t>
  </si>
  <si>
    <t xml:space="preserve">Collapse remaining shields; no generic external explosion</t>
  </si>
  <si>
    <t xml:space="preserve">Damage-phase end</t>
  </si>
  <si>
    <t xml:space="preserve">No Damage Control; autonomous missile rules remain</t>
  </si>
  <si>
    <t xml:space="preserve">Damage Control</t>
  </si>
  <si>
    <t xml:space="preserve">TL1 resources</t>
  </si>
  <si>
    <t xml:space="preserve">Capacity 1; 3 Repair Kits; 1 TP + 1 kit per attempt</t>
  </si>
  <si>
    <t xml:space="preserve">Damage Control phase</t>
  </si>
  <si>
    <t xml:space="preserve">Kit spent on success or failure; result next refresh</t>
  </si>
  <si>
    <t xml:space="preserve">40 DC-on variants</t>
  </si>
  <si>
    <t xml:space="preserve">Provisional chances</t>
  </si>
  <si>
    <t xml:space="preserve">70% Degraded-&gt;Operational; 50% Disabled-&gt;Degraded; 40% Hull +1</t>
  </si>
  <si>
    <t xml:space="preserve">One d100 roll</t>
  </si>
  <si>
    <t xml:space="preserve">Destroyed components and lost stores cannot be restored in combat</t>
  </si>
  <si>
    <t xml:space="preserve">Repair metrics</t>
  </si>
  <si>
    <t xml:space="preserve">Kinetic / Missile degradation</t>
  </si>
  <si>
    <t xml:space="preserve">Full output; one complete recycle turn after firing/launch</t>
  </si>
  <si>
    <t xml:space="preserve">Condition active next turn</t>
  </si>
  <si>
    <t xml:space="preserve">Preserves decisive shots but halves sustained tempo</t>
  </si>
  <si>
    <t xml:space="preserve">Energy degradation</t>
  </si>
  <si>
    <t xml:space="preserve">Ceiling-half damage and ceiling-half TP every turn</t>
  </si>
  <si>
    <t xml:space="preserve">Retains continuous reduced output</t>
  </si>
  <si>
    <t xml:space="preserve">Degraded accuracy</t>
  </si>
  <si>
    <t xml:space="preserve">Ceiling-half native base, then TC and other modifiers</t>
  </si>
  <si>
    <t xml:space="preserve">Next interception turn</t>
  </si>
  <si>
    <t xml:space="preserve">RC, range, readiness, and ammo unchanged</t>
  </si>
  <si>
    <t xml:space="preserve">Stores</t>
  </si>
  <si>
    <t xml:space="preserve">Magazines / batteries</t>
  </si>
  <si>
    <t xml:space="preserve">First hit halves capacity and contents rounded up; second destroys</t>
  </si>
  <si>
    <t xml:space="preserve">Immediate condition step</t>
  </si>
  <si>
    <t xml:space="preserve">Loaded Ready Package remains; repair restores capacity only</t>
  </si>
  <si>
    <t xml:space="preserve">Generator</t>
  </si>
  <si>
    <t xml:space="preserve">Degraded doubles recharge TP; Disabled preserves existing SP; Destroyed collapses all SP</t>
  </si>
  <si>
    <t xml:space="preserve">Damage / next recharge</t>
  </si>
  <si>
    <t xml:space="preserve">Enhanced modes unavailable below Operational</t>
  </si>
  <si>
    <t xml:space="preserve">Main / Auxiliary Reactor</t>
  </si>
  <si>
    <t xml:space="preserve">Main 5/3/1/0; Degraded Aux +1 then one cooling turn</t>
  </si>
  <si>
    <t xml:space="preserve">Next Turn Refresh</t>
  </si>
  <si>
    <t xml:space="preserve">Current-turn pool never clawed back</t>
  </si>
  <si>
    <t xml:space="preserve">Capacitor / Combat Battery</t>
  </si>
  <si>
    <t xml:space="preserve">Capacitor recovery turn and trapped charge; finite battery two-hit rule</t>
  </si>
  <si>
    <t xml:space="preserve">Next turn / immediate loss</t>
  </si>
  <si>
    <t xml:space="preserve">Released power remains authoritative</t>
  </si>
  <si>
    <t xml:space="preserve">STL</t>
  </si>
  <si>
    <t xml:space="preserve">Degraded half rounded up; Disabled/Destroyed zero standard movement and create Immobile Target</t>
  </si>
  <si>
    <t xml:space="preserve">Next turn</t>
  </si>
  <si>
    <t xml:space="preserve">EvM remains separate; Disabled/Destroyed STL gives incoming ship-target attacks +10 percentage points beginning next turn</t>
  </si>
  <si>
    <t xml:space="preserve">EvM Auxiliary</t>
  </si>
  <si>
    <t xml:space="preserve">Exposure 1; Degraded defense floor-half and attack penalty ceiling-half</t>
  </si>
  <si>
    <t xml:space="preserve">Disabled/Destroyed unusable</t>
  </si>
  <si>
    <t xml:space="preserve">FTL condition</t>
  </si>
  <si>
    <t xml:space="preserve">Degraded half range; Disabled player one-hex egress, NPC none; Destroyed none</t>
  </si>
  <si>
    <t xml:space="preserve">Next jump</t>
  </si>
  <si>
    <t xml:space="preserve">Player convenience does not prevent Disabled ship state</t>
  </si>
  <si>
    <t xml:space="preserve">Passive / Active / TC</t>
  </si>
  <si>
    <t xml:space="preserve">Passive indestructible; Active and TC own bonus half rounded down</t>
  </si>
  <si>
    <t xml:space="preserve">Base passive capability remains</t>
  </si>
  <si>
    <t xml:space="preserve">Degraded full effect for +1 committed TP; ECM emits, ECCM does not</t>
  </si>
  <si>
    <t xml:space="preserve">No enhanced mode while Degraded</t>
  </si>
  <si>
    <t xml:space="preserve">Communications</t>
  </si>
  <si>
    <t xml:space="preserve">Comms / datalink</t>
  </si>
  <si>
    <t xml:space="preserve">Comms works Operational/Degraded; datalink also needs one functioning launcher</t>
  </si>
  <si>
    <t xml:space="preserve">Final launcher or Comms failure drops command guidance</t>
  </si>
  <si>
    <t xml:space="preserve">FTL map</t>
  </si>
  <si>
    <t xml:space="preserve">Jump Perimeter</t>
  </si>
  <si>
    <t xml:space="preserve">Regular arrival/departure uses outer ring; STL never exits tactical map</t>
  </si>
  <si>
    <t xml:space="preserve">System transition</t>
  </si>
  <si>
    <t xml:space="preserve">Emergency jump may begin anywhere</t>
  </si>
  <si>
    <t xml:space="preserve">Gravity restriction</t>
  </si>
  <si>
    <t xml:space="preserve">Only perimeter hexes adjacent to celestial bodies are restricted</t>
  </si>
  <si>
    <t xml:space="preserve">Regular arrival/departure</t>
  </si>
  <si>
    <t xml:space="preserve">KISS local exclusion; emergency ignores start restriction</t>
  </si>
  <si>
    <t xml:space="preserve">Engagement</t>
  </si>
  <si>
    <t xml:space="preserve">Departure contested</t>
  </si>
  <si>
    <t xml:space="preserve">Known hostile has detected ship and can/will contest departure</t>
  </si>
  <si>
    <t xml:space="preserve">Tactical map</t>
  </si>
  <si>
    <t xml:space="preserve">Hidden observer does not block regular declaration</t>
  </si>
  <si>
    <t xml:space="preserve">FTL signature</t>
  </si>
  <si>
    <t xml:space="preserve">Public non-positional event</t>
  </si>
  <si>
    <t xml:space="preserve">Everyone knows someone is powering FTL, not who or where</t>
  </si>
  <si>
    <t xml:space="preserve">Jump declaration</t>
  </si>
  <si>
    <t xml:space="preserve">Like ECM emission awareness, not a targeting track</t>
  </si>
  <si>
    <t xml:space="preserve">FTL power</t>
  </si>
  <si>
    <t xml:space="preserve">Preparation</t>
  </si>
  <si>
    <t xml:space="preserve">Entire Turn Power Envelope for one vulnerable turn; no other TP use</t>
  </si>
  <si>
    <t xml:space="preserve">Declaration to next refresh</t>
  </si>
  <si>
    <t xml:space="preserve">Only ship or FTL destruction cancels once powered</t>
  </si>
  <si>
    <t xml:space="preserve">FTL anti-exploit cleanup</t>
  </si>
  <si>
    <t xml:space="preserve">All outbound Flights self-destruct immediately at power-up declaration</t>
  </si>
  <si>
    <t xml:space="preserve">Before movement/attack</t>
  </si>
  <si>
    <t xml:space="preserve">Prevents repeated launch-and-jump raids</t>
  </si>
  <si>
    <t xml:space="preserve">Departure / destruction</t>
  </si>
  <si>
    <t xml:space="preserve">Successful player jump removes inbound Flights; destroyed launcher ship uses guidance fallback</t>
  </si>
  <si>
    <t xml:space="preserve">Exit / destruction</t>
  </si>
  <si>
    <t xml:space="preserve">No off-screen persistent tactical combat</t>
  </si>
  <si>
    <t xml:space="preserve">Factorial matrix</t>
  </si>
  <si>
    <t xml:space="preserve">5 density x 2 placement x 2 DC x 2 loadout x 2 tempo</t>
  </si>
  <si>
    <t xml:space="preserve">10,000 trials each</t>
  </si>
  <si>
    <t xml:space="preserve">80 variants / 800,000 new trials</t>
  </si>
  <si>
    <t xml:space="preserve">80 variants</t>
  </si>
  <si>
    <t xml:space="preserve">Acceptance summaries</t>
  </si>
  <si>
    <t xml:space="preserve">Incremental acceptance-summary.json and .txt with first-failure capture</t>
  </si>
  <si>
    <t xml:space="preserve">Output root</t>
  </si>
  <si>
    <t xml:space="preserve">Reduces need for full transcript on successful runs</t>
  </si>
  <si>
    <t xml:space="preserve">12 stages</t>
  </si>
  <si>
    <t xml:space="preserve">Characteristics / campaign</t>
  </si>
  <si>
    <t xml:space="preserve">Oversized Engines, Distributed Shield Grid, exact jump scatter, crew effects, Ship Repair</t>
  </si>
  <si>
    <t xml:space="preserve">Future passes</t>
  </si>
  <si>
    <t xml:space="preserve">Documented but excluded from current mechanics</t>
  </si>
  <si>
    <t xml:space="preserve">Not in matrix</t>
  </si>
  <si>
    <t xml:space="preserve">Future</t>
  </si>
  <si>
    <t xml:space="preserve">Finite terminal closure</t>
  </si>
  <si>
    <t xml:space="preserve">Paired ordinary/protected tracks have identical reachable X counts; final X swaps to adjacent H</t>
  </si>
  <si>
    <t xml:space="preserve">Original Max Hull span</t>
  </si>
  <si>
    <t xml:space="preserve">Example terminal section HHXH instead of HHHX</t>
  </si>
  <si>
    <t xml:space="preserve">Preflight + calibration gate</t>
  </si>
  <si>
    <t xml:space="preserve">Executable / Checkpoint 36b</t>
  </si>
  <si>
    <t xml:space="preserve">Immobile Target</t>
  </si>
  <si>
    <t xml:space="preserve">+10 percentage points to incoming ship-target attacks when STL is Disabled/Destroyed</t>
  </si>
  <si>
    <t xml:space="preserve">Beginning next turn</t>
  </si>
  <si>
    <t xml:space="preserve">Stacks with EvM; no detection, track, or PDS benefit</t>
  </si>
  <si>
    <t xml:space="preserve">Direct-fire + missile unit tests</t>
  </si>
  <si>
    <t xml:space="preserve">Checkpoint 37 - Damage Control Doctrine and Critical-Density Pacing</t>
  </si>
  <si>
    <t xml:space="preserve">Checkpoint 37 contract</t>
  </si>
  <si>
    <t xml:space="preserve">Timing / threshold</t>
  </si>
  <si>
    <t xml:space="preserve">Measured consequence</t>
  </si>
  <si>
    <t xml:space="preserve">Baseline</t>
  </si>
  <si>
    <t xml:space="preserve">Ordinary critical density</t>
  </si>
  <si>
    <t xml:space="preserve">Provisional 33 1/3%; one X per three-position stratum</t>
  </si>
  <si>
    <t xml:space="preserve">Finite original Max Hull</t>
  </si>
  <si>
    <t xml:space="preserve">More regular subsystem variation; mostly first-step degradation</t>
  </si>
  <si>
    <t xml:space="preserve">25% and 33 1/3% comparison</t>
  </si>
  <si>
    <t xml:space="preserve">Preserve ordinary seeded finite X count and delay retained markers</t>
  </si>
  <si>
    <t xml:space="preserve">Per finite track</t>
  </si>
  <si>
    <t xml:space="preserve">Later first critical without deleting criticals</t>
  </si>
  <si>
    <t xml:space="preserve">Ordinary and Protected</t>
  </si>
  <si>
    <t xml:space="preserve">Player-facing loadout</t>
  </si>
  <si>
    <t xml:space="preserve">Capacity 1; three Repair Kits; 1 Tactical Power and one kit per attempted task</t>
  </si>
  <si>
    <t xml:space="preserve">One attempt per turn</t>
  </si>
  <si>
    <t xml:space="preserve">Scarce deliberate in-combat repair</t>
  </si>
  <si>
    <t xml:space="preserve">Ordinary TL1 ship profile</t>
  </si>
  <si>
    <t xml:space="preserve">Calibration-only loadout</t>
  </si>
  <si>
    <t xml:space="preserve">Capacity 1; five Repair Kits</t>
  </si>
  <si>
    <t xml:space="preserve">Checkpoint 37 fixtures only</t>
  </si>
  <si>
    <t xml:space="preserve">Keeps subsystem repairs observable after early damage</t>
  </si>
  <si>
    <t xml:space="preserve">64 doctrine + 8 pacing variants</t>
  </si>
  <si>
    <t xml:space="preserve">Eligibility</t>
  </si>
  <si>
    <t xml:space="preserve">Repairable target</t>
  </si>
  <si>
    <t xml:space="preserve">Degraded or Disabled component, or surviving Hull below pristine maximum</t>
  </si>
  <si>
    <t xml:space="preserve">Before consuming resources</t>
  </si>
  <si>
    <t xml:space="preserve">No target means no attempt, power, kit, queue, or roll advancement</t>
  </si>
  <si>
    <t xml:space="preserve">Unit, preflight, Monte Carlo gates</t>
  </si>
  <si>
    <t xml:space="preserve">Other requirements</t>
  </si>
  <si>
    <t xml:space="preserve">Attempt capacity, Repair Kit, and Tactical Power must all remain</t>
  </si>
  <si>
    <t xml:space="preserve">At attempted task</t>
  </si>
  <si>
    <t xml:space="preserve">Illegal attempts are rejected before resource use</t>
  </si>
  <si>
    <t xml:space="preserve">All Damage Control lanes</t>
  </si>
  <si>
    <t xml:space="preserve">Doctrine</t>
  </si>
  <si>
    <t xml:space="preserve">Component priority</t>
  </si>
  <si>
    <t xml:space="preserve">Disabled component first, then Degraded, using deterministic capability priority</t>
  </si>
  <si>
    <t xml:space="preserve">After damage; before Hull</t>
  </si>
  <si>
    <t xml:space="preserve">Subsystem repair cannot be hidden inside Hull totals</t>
  </si>
  <si>
    <t xml:space="preserve">ComponentOnly / HullHalf / ReserveOne</t>
  </si>
  <si>
    <t xml:space="preserve">Restrained Hull repair</t>
  </si>
  <si>
    <t xml:space="preserve">Consider Hull only at 6 or less on a 12-Hull chassis</t>
  </si>
  <si>
    <t xml:space="preserve">Half-Hull threshold</t>
  </si>
  <si>
    <t xml:space="preserve">Avoid spending kits on early one-point scratches</t>
  </si>
  <si>
    <t xml:space="preserve">HullHalf doctrines</t>
  </si>
  <si>
    <t xml:space="preserve">Reserve one kit</t>
  </si>
  <si>
    <t xml:space="preserve">Do not spend the final kit on Hull</t>
  </si>
  <si>
    <t xml:space="preserve">At Hull-repair decision</t>
  </si>
  <si>
    <t xml:space="preserve">Preserves one response for later subsystem damage</t>
  </si>
  <si>
    <t xml:space="preserve">HullHalfReserveOne</t>
  </si>
  <si>
    <t xml:space="preserve">Accounting</t>
  </si>
  <si>
    <t xml:space="preserve">Eligibility and deferrals</t>
  </si>
  <si>
    <t xml:space="preserve">Count no-target, no-power, no-kit skips and doctrine deferrals separately</t>
  </si>
  <si>
    <t xml:space="preserve">Every decision point</t>
  </si>
  <si>
    <t xml:space="preserve">Distinguishes illegality from deliberate restraint</t>
  </si>
  <si>
    <t xml:space="preserve">64 doctrine variants</t>
  </si>
  <si>
    <t xml:space="preserve">Attempt and result</t>
  </si>
  <si>
    <t xml:space="preserve">Separate Hull/component; Degraded/Disabled; attempts, successes, activations</t>
  </si>
  <si>
    <t xml:space="preserve">Roll then next Turn Refresh</t>
  </si>
  <si>
    <t xml:space="preserve">Success is not conflated with delayed effect</t>
  </si>
  <si>
    <t xml:space="preserve">Resources</t>
  </si>
  <si>
    <t xml:space="preserve">Report Repair Kits, Tactical Power, kits at first X, and maximum kits consumed</t>
  </si>
  <si>
    <t xml:space="preserve">Per trial and variant</t>
  </si>
  <si>
    <t xml:space="preserve">Proves calibration cap and opportunity cost</t>
  </si>
  <si>
    <t xml:space="preserve">Pacing</t>
  </si>
  <si>
    <t xml:space="preserve">Integrated duel</t>
  </si>
  <si>
    <t xml:space="preserve">Simultaneous TL1 kinetic fire through shield, armor, Hull, component conditions, recycle, power, and ammo</t>
  </si>
  <si>
    <t xml:space="preserve">Maximum 40 turns</t>
  </si>
  <si>
    <t xml:space="preserve">Measure real duration rather than infer from density</t>
  </si>
  <si>
    <t xml:space="preserve">8 pacing variants</t>
  </si>
  <si>
    <t xml:space="preserve">Duration reporting</t>
  </si>
  <si>
    <t xml:space="preserve">Mean, median, P75, P90, share over 18 turns, and unresolved share</t>
  </si>
  <si>
    <t xml:space="preserve">Per variant</t>
  </si>
  <si>
    <t xml:space="preserve">Shows whether long fights are common or tail events</t>
  </si>
  <si>
    <t xml:space="preserve">25% / 33 1/3%; ordinary / protected; DC off/on</t>
  </si>
  <si>
    <t xml:space="preserve">Outcome reporting</t>
  </si>
  <si>
    <t xml:space="preserve">Destruction, mission kill, first X, first consequential impairment</t>
  </si>
  <si>
    <t xml:space="preserve">Per duel</t>
  </si>
  <si>
    <t xml:space="preserve">Separates Hull kill from tactical defeat</t>
  </si>
  <si>
    <t xml:space="preserve">Immobile Target timing</t>
  </si>
  <si>
    <t xml:space="preserve">Disabled or Destroyed STL grants +10 only from following-turn snapshot</t>
  </si>
  <si>
    <t xml:space="preserve">Direct fire and terminal missile</t>
  </si>
  <si>
    <t xml:space="preserve">No retroactive same-turn benefit</t>
  </si>
  <si>
    <t xml:space="preserve">Unit + integrated pacing</t>
  </si>
  <si>
    <t xml:space="preserve">PDS exclusion</t>
  </si>
  <si>
    <t xml:space="preserve">Target STL condition never changes PDS interception accuracy</t>
  </si>
  <si>
    <t xml:space="preserve">Interception resolution</t>
  </si>
  <si>
    <t xml:space="preserve">Immobile target is not an easier missile to intercept</t>
  </si>
  <si>
    <t xml:space="preserve">Four-condition test matrix</t>
  </si>
  <si>
    <t xml:space="preserve">Checkpoint 37 Design Decisions</t>
  </si>
  <si>
    <t xml:space="preserve">Checkpoint 38 - Integrated Cross-Family Combat and Tactical-Order Policies</t>
  </si>
  <si>
    <t xml:space="preserve">Checkpoint 38 contract</t>
  </si>
  <si>
    <t xml:space="preserve">Architecture</t>
  </si>
  <si>
    <t xml:space="preserve">Policy seam</t>
  </si>
  <si>
    <t xml:space="preserve">ITacticalOrderPolicy receives immutable TacticalDecisionContext and returns TacticalOrderPlan intent plus a decision reason</t>
  </si>
  <si>
    <t xml:space="preserve">Start-of-turn decision snapshot</t>
  </si>
  <si>
    <t xml:space="preserve">Scenarios and eventual enemy AI share one refinement seam</t>
  </si>
  <si>
    <t xml:space="preserve">Scripted and preferred-range policies</t>
  </si>
  <si>
    <t xml:space="preserve">Authority boundary</t>
  </si>
  <si>
    <t xml:space="preserve">Policies cannot mutate ship, range, missiles, Tactical Power, or component state; only the rules resolver may apply legal actions</t>
  </si>
  <si>
    <t xml:space="preserve">Before movement</t>
  </si>
  <si>
    <t xml:space="preserve">Prevents scenario or AI code from bypassing combat rules</t>
  </si>
  <si>
    <t xml:space="preserve">Core tests and integrated study</t>
  </si>
  <si>
    <t xml:space="preserve">Orders</t>
  </si>
  <si>
    <t xml:space="preserve">Initial range-order vocabulary</t>
  </si>
  <si>
    <t xml:space="preserve">Hold, Close, Open, Maintain Preferred Range</t>
  </si>
  <si>
    <t xml:space="preserve">Movement decision</t>
  </si>
  <si>
    <t xml:space="preserve">Small stable vocabulary supports deterministic scenarios and later AI expansion</t>
  </si>
  <si>
    <t xml:space="preserve">All integrated variants</t>
  </si>
  <si>
    <t xml:space="preserve">Initial</t>
  </si>
  <si>
    <t xml:space="preserve">Desired separation</t>
  </si>
  <si>
    <t xml:space="preserve">A plan may specify a target range; movement is throttled before overshoot</t>
  </si>
  <si>
    <t xml:space="preserve">Simultaneous resolution</t>
  </si>
  <si>
    <t xml:space="preserve">Avoids full-thrust oscillation around preferred bands</t>
  </si>
  <si>
    <t xml:space="preserve">Preferred-range policy and resolver tests</t>
  </si>
  <si>
    <t xml:space="preserve">Movement</t>
  </si>
  <si>
    <t xml:space="preserve">TL1 STL movement</t>
  </si>
  <si>
    <t xml:space="preserve">Operational 4; Degraded 2; Disabled or Destroyed 0 hexes per turn</t>
  </si>
  <si>
    <t xml:space="preserve">Start-of-turn STL snapshot</t>
  </si>
  <si>
    <t xml:space="preserve">Component damage directly changes legal movement</t>
  </si>
  <si>
    <t xml:space="preserve">All dynamic lanes</t>
  </si>
  <si>
    <t xml:space="preserve">Resolve both orders together; derive relative range from signed ship displacements; never allow ships to cross</t>
  </si>
  <si>
    <t xml:space="preserve">Before attacks</t>
  </si>
  <si>
    <t xml:space="preserve">Preserves fair simultaneous intent and stable geometry</t>
  </si>
  <si>
    <t xml:space="preserve">Scripted pursuit and preferred-range lanes</t>
  </si>
  <si>
    <t xml:space="preserve">Maintain behavior</t>
  </si>
  <si>
    <t xml:space="preserve">Counter only the opponent's actual throttled movement, not maximum thrust</t>
  </si>
  <si>
    <t xml:space="preserve">During simultaneous resolution</t>
  </si>
  <si>
    <t xml:space="preserve">Preserves separation without artificial oscillation</t>
  </si>
  <si>
    <t xml:space="preserve">Unit tests plus preferred-range lanes</t>
  </si>
  <si>
    <t xml:space="preserve">Immobile coercion</t>
  </si>
  <si>
    <t xml:space="preserve">A requested move resolves to Hold when the start-of-turn STL snapshot has no movement</t>
  </si>
  <si>
    <t xml:space="preserve">Following-turn consequence</t>
  </si>
  <si>
    <t xml:space="preserve">Exposes requested-versus-resolved AI behavior</t>
  </si>
  <si>
    <t xml:space="preserve">Telemetry gate across dynamic lanes</t>
  </si>
  <si>
    <t xml:space="preserve">Policy</t>
  </si>
  <si>
    <t xml:space="preserve">Scripted policy</t>
  </si>
  <si>
    <t xml:space="preserve">Scenario specifies per-turn or default range intent through the same interface used by AI</t>
  </si>
  <si>
    <t xml:space="preserve">At each order decision</t>
  </si>
  <si>
    <t xml:space="preserve">Deterministic mechanical probes do not set range directly</t>
  </si>
  <si>
    <t xml:space="preserve">Fixed and scripted-pursuit modes</t>
  </si>
  <si>
    <t xml:space="preserve">Preferred-range policy</t>
  </si>
  <si>
    <t xml:space="preserve">Close above the band, Open below it, Maintain inside it, Hold when immobile or ordered to hold, and Open when withdrawing/disarmed</t>
  </si>
  <si>
    <t xml:space="preserve">First reusable doctrine function for later enemy AI</t>
  </si>
  <si>
    <t xml:space="preserve">PreferredRange mode</t>
  </si>
  <si>
    <t xml:space="preserve">Kinetic calibration band</t>
  </si>
  <si>
    <t xml:space="preserve">Prefer Range 1-2; maximum useful Range 6</t>
  </si>
  <si>
    <t xml:space="preserve">Calibration doctrine only</t>
  </si>
  <si>
    <t xml:space="preserve">Encourages close direct-fire engagement</t>
  </si>
  <si>
    <t xml:space="preserve">Preferred-range family pairings</t>
  </si>
  <si>
    <t xml:space="preserve">Energy calibration band</t>
  </si>
  <si>
    <t xml:space="preserve">Prefer Range 3-4; maximum useful Range 6</t>
  </si>
  <si>
    <t xml:space="preserve">Tests distinct standoff behavior</t>
  </si>
  <si>
    <t xml:space="preserve">Missile calibration band</t>
  </si>
  <si>
    <t xml:space="preserve">Prefer Range 4-6; maximum useful Range 6</t>
  </si>
  <si>
    <t xml:space="preserve">Tests kiting and missile range-budget pressure</t>
  </si>
  <si>
    <t xml:space="preserve">Independent flight state</t>
  </si>
  <si>
    <t xml:space="preserve">Each launched Flight stores its own position, owner, target, cumulative distance, maximum range, damage, and guidance</t>
  </si>
  <si>
    <t xml:space="preserve">After launch</t>
  </si>
  <si>
    <t xml:space="preserve">Launcher movement cannot drag an existing missile</t>
  </si>
  <si>
    <t xml:space="preserve">Every integrated missile lane</t>
  </si>
  <si>
    <t xml:space="preserve">Dynamic rerouting</t>
  </si>
  <si>
    <t xml:space="preserve">Recalculate remaining target geometry after movement without resetting distance traveled</t>
  </si>
  <si>
    <t xml:space="preserve">Every movement turn</t>
  </si>
  <si>
    <t xml:space="preserve">Moving targets may outrun low-speed missiles; range exhaustion remains real</t>
  </si>
  <si>
    <t xml:space="preserve">Route and target-movement telemetry</t>
  </si>
  <si>
    <t xml:space="preserve">Integrated family matrix</t>
  </si>
  <si>
    <t xml:space="preserve">Kinetic, Energy, and Missile mirrors plus both orientations of every cross-family pairing</t>
  </si>
  <si>
    <t xml:space="preserve">Range 2, Range 4, scripted pursuit, and preferred-range modes</t>
  </si>
  <si>
    <t xml:space="preserve">Reconnects retained family mechanics to subsystem damage and movement</t>
  </si>
  <si>
    <t xml:space="preserve">Internal damage</t>
  </si>
  <si>
    <t xml:space="preserve">33 1/3% ordinary critical density; selected Protected Compartmentation lanes</t>
  </si>
  <si>
    <t xml:space="preserve">Every Hull loss</t>
  </si>
  <si>
    <t xml:space="preserve">Produces component-conditioned offense, power, movement, PDS, EvM, and DamCon outcomes</t>
  </si>
  <si>
    <t xml:space="preserve">Ordinary all modes; Protected preferred-range lanes</t>
  </si>
  <si>
    <t xml:space="preserve">Normal Capacity 1 and three Repair Kits; component-first/reserve-one doctrine</t>
  </si>
  <si>
    <t xml:space="preserve">After damage; activation next refresh</t>
  </si>
  <si>
    <t xml:space="preserve">Tests player-facing resource limits rather than five-kit calibration</t>
  </si>
  <si>
    <t xml:space="preserve">45 DamCon-on variants</t>
  </si>
  <si>
    <t xml:space="preserve">+10 applies to direct fire and terminal missiles only from the following-turn STL snapshot; never PDS</t>
  </si>
  <si>
    <t xml:space="preserve">Attack commitment / terminal attack</t>
  </si>
  <si>
    <t xml:space="preserve">Preserves Checkpoint 37 timing under movement</t>
  </si>
  <si>
    <t xml:space="preserve">Locked timing</t>
  </si>
  <si>
    <t xml:space="preserve">Outcomes</t>
  </si>
  <si>
    <t xml:space="preserve">Resolution classes</t>
  </si>
  <si>
    <t xml:space="preserve">Destruction, offensive mission kill, mobility mission kill, mutual, unresolved</t>
  </si>
  <si>
    <t xml:space="preserve">Maximum 40 turns plus existing-flight resolution</t>
  </si>
  <si>
    <t xml:space="preserve">Separates Hull destruction from tactical defeat</t>
  </si>
  <si>
    <t xml:space="preserve">Mean, median, P75, P90, over-18-turn share, and unresolved share</t>
  </si>
  <si>
    <t xml:space="preserve">Tests whether dynamic range or family mismatch creates protracted combat</t>
  </si>
  <si>
    <t xml:space="preserve">Telemetry</t>
  </si>
  <si>
    <t xml:space="preserve">Orders and movement</t>
  </si>
  <si>
    <t xml:space="preserve">Requested/resolved order, source policy, coercion, movement per side, minimum/maximum/final range, and range changes</t>
  </si>
  <si>
    <t xml:space="preserve">Every turn / variant summary</t>
  </si>
  <si>
    <t xml:space="preserve">Creates evidence for later AI refinement</t>
  </si>
  <si>
    <t xml:space="preserve">Missiles and defenses</t>
  </si>
  <si>
    <t xml:space="preserve">Launches, terminal attacks, hits, range exhaustion, distance, reroutes, PDS attempts/intercepts, and Immobile bonuses</t>
  </si>
  <si>
    <t xml:space="preserve">Every missile / variant summary</t>
  </si>
  <si>
    <t xml:space="preserve">Diagnoses kiting, interception, and route behavior</t>
  </si>
  <si>
    <t xml:space="preserve">All missile variants</t>
  </si>
  <si>
    <t xml:space="preserve">Regression</t>
  </si>
  <si>
    <t xml:space="preserve">Historical controls</t>
  </si>
  <si>
    <t xml:space="preserve">Retain the 48-variant weapon matrix and 75-variant scripted relative-range study unchanged</t>
  </si>
  <si>
    <t xml:space="preserve">Checkpoint runner stages</t>
  </si>
  <si>
    <t xml:space="preserve">Keeps isolated arithmetic failures distinguishable from integrated behavior</t>
  </si>
  <si>
    <t xml:space="preserve">Retained stages</t>
  </si>
  <si>
    <t xml:space="preserve">Checkpoint 38 Design Decisions</t>
  </si>
  <si>
    <t xml:space="preserve">Checkpoint 39 - TL-Scaled Movement, Kinetic Damage, and Engagement Termination</t>
  </si>
  <si>
    <t xml:space="preserve">Checkpoint 39 contract</t>
  </si>
  <si>
    <t xml:space="preserve">Ship TL law</t>
  </si>
  <si>
    <t xml:space="preserve">Operational STL Move equals installed STL Drive TL; TL1 Move 1 and TL9 Move 9</t>
  </si>
  <si>
    <t xml:space="preserve">Simple visible progression with no high-TL cap</t>
  </si>
  <si>
    <t xml:space="preserve">Core tests and every integrated lane</t>
  </si>
  <si>
    <t xml:space="preserve">Condition scaling</t>
  </si>
  <si>
    <t xml:space="preserve">Degraded STL uses half rounded up; Disabled or Destroyed Move 0</t>
  </si>
  <si>
    <t xml:space="preserve">Start-of-turn component condition</t>
  </si>
  <si>
    <t xml:space="preserve">Degraded TL1 remains Move 1 rather than becoming silently Disabled</t>
  </si>
  <si>
    <t xml:space="preserve">Core tests and damage lanes</t>
  </si>
  <si>
    <t xml:space="preserve">Locked condition rule</t>
  </si>
  <si>
    <t xml:space="preserve">Missile TL law</t>
  </si>
  <si>
    <t xml:space="preserve">Missile Move equals Missile Drive TL + 1; TL1 missile Move 2</t>
  </si>
  <si>
    <t xml:space="preserve">Each missile action</t>
  </si>
  <si>
    <t xml:space="preserve">Same-TL missile has a closing advantage over a normal same-TL ship</t>
  </si>
  <si>
    <t xml:space="preserve">Production and movement controls</t>
  </si>
  <si>
    <t xml:space="preserve">Movement benefit</t>
  </si>
  <si>
    <t xml:space="preserve">STL overload adds the drive's listed Move; TL1 ship temporarily reaches Move 2</t>
  </si>
  <si>
    <t xml:space="preserve">Declared before movement</t>
  </si>
  <si>
    <t xml:space="preserve">A player may match a TL1 missile and deny closure</t>
  </si>
  <si>
    <t xml:space="preserve">Core overload tests; 2/2 geometry control</t>
  </si>
  <si>
    <t xml:space="preserve">Cost and risk</t>
  </si>
  <si>
    <t xml:space="preserve">TL1 costs 1 TP and 2 extra fuel, applies 1 Strain, has Strain Limit 2, then requires a 60% forced-success roll with critical outcomes</t>
  </si>
  <si>
    <t xml:space="preserve">Once per turn / persistent Strain</t>
  </si>
  <si>
    <t xml:space="preserve">Emergency mobility has a meaningful component-risk tradeoff</t>
  </si>
  <si>
    <t xml:space="preserve">Core overload tests</t>
  </si>
  <si>
    <t xml:space="preserve">Controls</t>
  </si>
  <si>
    <t xml:space="preserve">Movement profiles</t>
  </si>
  <si>
    <t xml:space="preserve">Production 1/2; Godot 3/2; legacy integrated 4/1; overload-equivalent 2/2</t>
  </si>
  <si>
    <t xml:space="preserve">Paired common-random streams</t>
  </si>
  <si>
    <t xml:space="preserve">Separates geometry changes from weapon/defense changes</t>
  </si>
  <si>
    <t xml:space="preserve">8 diagnostic pursuit variants</t>
  </si>
  <si>
    <t xml:space="preserve">Diagnostic only</t>
  </si>
  <si>
    <t xml:space="preserve">Production profile</t>
  </si>
  <si>
    <t xml:space="preserve">Kinetic Cannon DAM 4, SPEN 1, APEN 0</t>
  </si>
  <si>
    <t xml:space="preserve">Direct-fire packet</t>
  </si>
  <si>
    <t xml:space="preserve">Stronger immediate packet offsets shorter range and lower accuracy</t>
  </si>
  <si>
    <t xml:space="preserve">Retained studies plus integrated production matrix</t>
  </si>
  <si>
    <t xml:space="preserve">Comparison arms</t>
  </si>
  <si>
    <t xml:space="preserve">DAM 3/APEN 0; DAM 4/APEN 0; DAM 5/APEN 0; DAM 4/APEN 1, all against AP 1 diagnostic armor while production armor remains AP 0</t>
  </si>
  <si>
    <t xml:space="preserve">Paired seeds at Range 2 and preferred range</t>
  </si>
  <si>
    <t xml:space="preserve">Measures raw-damage and APEN effects on a surface where APEN is observable without changing the production armor baseline</t>
  </si>
  <si>
    <t xml:space="preserve">24 diagnostic variants</t>
  </si>
  <si>
    <t xml:space="preserve">Damageable generator</t>
  </si>
  <si>
    <t xml:space="preserve">Shield Generator participates in Critical Exposure and condition-driven repair priority</t>
  </si>
  <si>
    <t xml:space="preserve">Internal-damage selection</t>
  </si>
  <si>
    <t xml:space="preserve">Shield recharge can be impaired by component damage</t>
  </si>
  <si>
    <t xml:space="preserve">Shared recharge</t>
  </si>
  <si>
    <t xml:space="preserve">Use ShieldRechargeService for operational/degraded start-of-turn base recharge</t>
  </si>
  <si>
    <t xml:space="preserve">Turn Refresh before decisions</t>
  </si>
  <si>
    <t xml:space="preserve">Avoids a parallel immortal-generator shortcut</t>
  </si>
  <si>
    <t xml:space="preserve">Locked integration</t>
  </si>
  <si>
    <t xml:space="preserve">Control matrix</t>
  </si>
  <si>
    <t xml:space="preserve">Base Shield recharge on/off crossed with EvM on/off for K/K, E/E, and M/M</t>
  </si>
  <si>
    <t xml:space="preserve">Preferred-range mirrors</t>
  </si>
  <si>
    <t xml:space="preserve">Isolates renewable-defense and accuracy effects on long combat</t>
  </si>
  <si>
    <t xml:space="preserve">12 diagnostic variants</t>
  </si>
  <si>
    <t xml:space="preserve">Termination</t>
  </si>
  <si>
    <t xml:space="preserve">Disengagement</t>
  </si>
  <si>
    <t xml:space="preserve">A ship with an explicit withdrawal objective must request Open for three consecutive qualifying turns beyond all enemy weapon reach with no viable inbound missile</t>
  </si>
  <si>
    <t xml:space="preserve">End-of-turn assessment; the escape clock owns the terminal outcome while active</t>
  </si>
  <si>
    <t xml:space="preserve">Converts legitimate withdrawal success to Disengagement instead of an early pursuer mobility mission kill or a 40-turn unresolved result</t>
  </si>
  <si>
    <t xml:space="preserve">Pursuit diagnostics and production study</t>
  </si>
  <si>
    <t xml:space="preserve">Destruction, offensive mission kill, mobility mission kill, disengagement, mutual, unresolved</t>
  </si>
  <si>
    <t xml:space="preserve">Separates tactical escape from stalemate and destruction</t>
  </si>
  <si>
    <t xml:space="preserve">Attack opportunities</t>
  </si>
  <si>
    <t xml:space="preserve">Record direct and missile opportunities, shots/launches, prevention reason, final hit chance, and hits</t>
  </si>
  <si>
    <t xml:space="preserve">Every attack decision</t>
  </si>
  <si>
    <t xml:space="preserve">Explains whether low damage comes from accuracy, range, recycle, support, or power</t>
  </si>
  <si>
    <t xml:space="preserve">Defense layers</t>
  </si>
  <si>
    <t xml:space="preserve">Record Shield restoration, Shieldless turns, Shield absorption/armor, Armor prevention/damage, and Hull damage</t>
  </si>
  <si>
    <t xml:space="preserve">Every recharge and packet</t>
  </si>
  <si>
    <t xml:space="preserve">Quantifies renewable-defense pacing pressure</t>
  </si>
  <si>
    <t xml:space="preserve">Movement status</t>
  </si>
  <si>
    <t xml:space="preserve">Separate no movement required, desired-range throttling, STL-unavailable coercion, and other no-movement resolution</t>
  </si>
  <si>
    <t xml:space="preserve">Every order</t>
  </si>
  <si>
    <t xml:space="preserve">Prevents ordinary Hold/Maintain behavior from appearing as AI failure</t>
  </si>
  <si>
    <t xml:space="preserve">Production matrix</t>
  </si>
  <si>
    <t xml:space="preserve">Rerun all 90 ordered cross-family/fixed/scripted/preferred variants under ship 1, missile 2, kinetic DAM 4/APEN 0, AP 0 production armor, zero-TP missile launch, and 25 Flights per launcher</t>
  </si>
  <si>
    <t xml:space="preserve">10,000 trials per variant</t>
  </si>
  <si>
    <t xml:space="preserve">Applies latest movement and weapon rules to accepted integrated scenarios</t>
  </si>
  <si>
    <t xml:space="preserve">Focused diagnostics</t>
  </si>
  <si>
    <t xml:space="preserve">Movement, kinetic versus AP 1 diagnostic armor, Shield/EvM, and explicit-withdrawal disengagement controls use paired random streams</t>
  </si>
  <si>
    <t xml:space="preserve">Supports causal tuning before any further balance change</t>
  </si>
  <si>
    <t xml:space="preserve">44 variants</t>
  </si>
  <si>
    <t xml:space="preserve">Retain the 48-variant weapon matrix and 75-variant scripted relative-range study as isolated controls, updated to the production kinetic packet where applicable</t>
  </si>
  <si>
    <t xml:space="preserve">Keeps arithmetic/geometry regressions distinguishable from integrated behavior</t>
  </si>
  <si>
    <t xml:space="preserve">Checkpoint 39 Design Decisions</t>
  </si>
  <si>
    <t xml:space="preserve">Locked integration/reporting / Checkpoint 39</t>
  </si>
  <si>
    <t xml:space="preserve">Executable diagnostics / Checkpoint 39</t>
  </si>
  <si>
    <t xml:space="preserve">Checkpoint 40 - TL1 Minimal-Tactics Baseline Sanity Grid</t>
  </si>
  <si>
    <t xml:space="preserve">Checkpoint 40 contract</t>
  </si>
  <si>
    <t xml:space="preserve">Primary</t>
  </si>
  <si>
    <t xml:space="preserve">Range grid</t>
  </si>
  <si>
    <t xml:space="preserve">Hold-position ordered weapon-family fights at Ranges 2, 3, 4, and 5</t>
  </si>
  <si>
    <t xml:space="preserve">Entire engagement</t>
  </si>
  <si>
    <t xml:space="preserve">Produces a readable range-by-matchup grid without movement or kiting effects</t>
  </si>
  <si>
    <t xml:space="preserve">36 AP 0 variants</t>
  </si>
  <si>
    <t xml:space="preserve">Primary / executable</t>
  </si>
  <si>
    <t xml:space="preserve">Ordered matchups</t>
  </si>
  <si>
    <t xml:space="preserve">K/K, K/E, K/M, E/K, E/E, E/M, M/K, M/E, and M/M at every range</t>
  </si>
  <si>
    <t xml:space="preserve">Paired common-random streams by matchup and range</t>
  </si>
  <si>
    <t xml:space="preserve">Exposes orientation, range, and weapon-family asymmetry</t>
  </si>
  <si>
    <t xml:space="preserve">9 pairings x 4 ranges</t>
  </si>
  <si>
    <t xml:space="preserve">Minimal adaptation</t>
  </si>
  <si>
    <t xml:space="preserve">Both ships Hold and fire whenever legal; no STL movement, overload, withdrawal, EvM, DamCon, or Protected Compartmentation</t>
  </si>
  <si>
    <t xml:space="preserve">Start of combat through terminal result</t>
  </si>
  <si>
    <t xml:space="preserve">Separates baseline weapon/defense behavior from tactical decisions</t>
  </si>
  <si>
    <t xml:space="preserve">All 36 primary variants</t>
  </si>
  <si>
    <t xml:space="preserve">Locked study doctrine</t>
  </si>
  <si>
    <t xml:space="preserve">Automatic rules</t>
  </si>
  <si>
    <t xml:space="preserve">Base Shield recharge, automatic PDS, ammunition, Tactical Power, recycle, missile flight, internal damage, component condition, and mission kills remain active</t>
  </si>
  <si>
    <t xml:space="preserve">Normal rule timing</t>
  </si>
  <si>
    <t xml:space="preserve">Minimal tactics does not disable ordinary systems or passive/automatic defenses</t>
  </si>
  <si>
    <t xml:space="preserve">All primary variants</t>
  </si>
  <si>
    <t xml:space="preserve">Production mechanics</t>
  </si>
  <si>
    <t xml:space="preserve">Kinetic production</t>
  </si>
  <si>
    <t xml:space="preserve">Every direct-fire packet</t>
  </si>
  <si>
    <t xml:space="preserve">Retains the accepted stronger raw packet without armor penetration</t>
  </si>
  <si>
    <t xml:space="preserve">All primary and control variants</t>
  </si>
  <si>
    <t xml:space="preserve">Provisional locked for TL1 study</t>
  </si>
  <si>
    <t xml:space="preserve">TL1 Rolled Alloy Plating remains AP 0 / AI 4</t>
  </si>
  <si>
    <t xml:space="preserve">Every armor-facing packet</t>
  </si>
  <si>
    <t xml:space="preserve">Preserves the agreed capacity-first TL1 armor identity</t>
  </si>
  <si>
    <t xml:space="preserve">36 primary variants plus controls</t>
  </si>
  <si>
    <t xml:space="preserve">Production baseline</t>
  </si>
  <si>
    <t xml:space="preserve">Balance</t>
  </si>
  <si>
    <t xml:space="preserve">Review objective</t>
  </si>
  <si>
    <t xml:space="preserve">Identify significant under- or overperformance; do not force all families or ranges toward perfect parity</t>
  </si>
  <si>
    <t xml:space="preserve">Post-study review</t>
  </si>
  <si>
    <t xml:space="preserve">Allows weapon identities and range envelopes to remain meaningful across nine TLs</t>
  </si>
  <si>
    <t xml:space="preserve">Non-blocking review grid</t>
  </si>
  <si>
    <t xml:space="preserve">Design principle</t>
  </si>
  <si>
    <t xml:space="preserve">Review bands</t>
  </si>
  <si>
    <t xml:space="preserve">45-55 essentially even; 35-65 ordinary advantage; 25-75 strong review; worse than 20-80 likely baseline-gap review</t>
  </si>
  <si>
    <t xml:space="preserve">Primary AP 0 outcomes</t>
  </si>
  <si>
    <t xml:space="preserve">Flags large differences without failing the checkpoint automatically</t>
  </si>
  <si>
    <t xml:space="preserve">review-grid.csv</t>
  </si>
  <si>
    <t xml:space="preserve">Non-blocking signal</t>
  </si>
  <si>
    <t xml:space="preserve">Review flags</t>
  </si>
  <si>
    <t xml:space="preserve">Flag mean duration above 18 turns, more than 50% beyond 18 turns, or unresolved above 5%</t>
  </si>
  <si>
    <t xml:space="preserve">Highlights long or stalled fights while preserving Range 5 envelope controls</t>
  </si>
  <si>
    <t xml:space="preserve">AP 1 completeness</t>
  </si>
  <si>
    <t xml:space="preserve">Repeat the full Range 2-5 ordered grid with Primary Armor Protection 1</t>
  </si>
  <si>
    <t xml:space="preserve">Paired to each AP 0 variant</t>
  </si>
  <si>
    <t xml:space="preserve">Shows how Energy and Missile APEN behave once Protection exists without promoting AP 1 at TL1</t>
  </si>
  <si>
    <t xml:space="preserve">Enable normal component-first/reserve-one DamCon at Range 4 only</t>
  </si>
  <si>
    <t xml:space="preserve">Normal three-kit profile</t>
  </si>
  <si>
    <t xml:space="preserve">Measures the effect of active repair without contaminating the primary grid</t>
  </si>
  <si>
    <t xml:space="preserve">Single-factor control</t>
  </si>
  <si>
    <t xml:space="preserve">Evasive Maneuvers</t>
  </si>
  <si>
    <t xml:space="preserve">Enable EvM at Range 4 only</t>
  </si>
  <si>
    <t xml:space="preserve">Normal power allocation</t>
  </si>
  <si>
    <t xml:space="preserve">Measures accuracy/power effects separately from movement</t>
  </si>
  <si>
    <t xml:space="preserve">Enable Protected Compartmentation at Range 4 only</t>
  </si>
  <si>
    <t xml:space="preserve">Internal-track generation</t>
  </si>
  <si>
    <t xml:space="preserve">Measures delayed critical exposure without changing critical count</t>
  </si>
  <si>
    <t xml:space="preserve">Shield recharge off</t>
  </si>
  <si>
    <t xml:space="preserve">Disable base Shield recharge at Range 4 only</t>
  </si>
  <si>
    <t xml:space="preserve">Turn Refresh</t>
  </si>
  <si>
    <t xml:space="preserve">Isolates renewable-defense contribution to pacing</t>
  </si>
  <si>
    <t xml:space="preserve">PDS off</t>
  </si>
  <si>
    <t xml:space="preserve">Disable automatic PDS for the five missile-facing Range 4 pairings</t>
  </si>
  <si>
    <t xml:space="preserve">Missile interception allocation</t>
  </si>
  <si>
    <t xml:space="preserve">Measures whether PDS invalidates or appropriately moderates Missile Flights</t>
  </si>
  <si>
    <t xml:space="preserve">5 variants</t>
  </si>
  <si>
    <t xml:space="preserve">Combat outcomes</t>
  </si>
  <si>
    <t xml:space="preserve">Report win orientation, destruction, mission kills, mutual results, unresolved results, duration percentiles, and combats over 18 turns</t>
  </si>
  <si>
    <t xml:space="preserve">Every variant</t>
  </si>
  <si>
    <t xml:space="preserve">Supports broad sanity review rather than a single aggregate score</t>
  </si>
  <si>
    <t xml:space="preserve">variants.csv and summary.json</t>
  </si>
  <si>
    <t xml:space="preserve">Attack and layers</t>
  </si>
  <si>
    <t xml:space="preserve">Report opportunities, range/system/power prevention, hit chance, hits, missile terminal attacks, PDS, Shield restoration/absorption, Armor effects, Hull damage, and critical exposure</t>
  </si>
  <si>
    <t xml:space="preserve">Every decision and packet</t>
  </si>
  <si>
    <t xml:space="preserve">Explains why a family or range over- or underperforms</t>
  </si>
  <si>
    <t xml:space="preserve">All 113 variants</t>
  </si>
  <si>
    <t xml:space="preserve">Output</t>
  </si>
  <si>
    <t xml:space="preserve">Range review grid</t>
  </si>
  <si>
    <t xml:space="preserve">Write a compact primary AP 0 review file sorted by Range and ordered matchup</t>
  </si>
  <si>
    <t xml:space="preserve">After Monte Carlo completion</t>
  </si>
  <si>
    <t xml:space="preserve">Marks advantage and pacing bands without making balance a pass/fail gate</t>
  </si>
  <si>
    <t xml:space="preserve">Permanent baseline binding</t>
  </si>
  <si>
    <t xml:space="preserve">Retain preflight rejection of copied mutable production values in deterministic corpora</t>
  </si>
  <si>
    <t xml:space="preserve">Repository preflight and scenario preflight</t>
  </si>
  <si>
    <t xml:space="preserve">Prevents future numerical changes from creating stale expected-value cascades</t>
  </si>
  <si>
    <t xml:space="preserve">Phase A and Phase B retained stages</t>
  </si>
  <si>
    <t xml:space="preserve">Permanent gate</t>
  </si>
  <si>
    <t xml:space="preserve">Retained studies</t>
  </si>
  <si>
    <t xml:space="preserve">Rerun all Checkpoint 39 stages before the new minimal-tactics lane</t>
  </si>
  <si>
    <t xml:space="preserve">Checkpoint runner</t>
  </si>
  <si>
    <t xml:space="preserve">Preserves movement, kinetic, defense, disengagement, tactical-order, and historical arithmetic coverage</t>
  </si>
  <si>
    <t xml:space="preserve">913 retained variants + deterministic corpora</t>
  </si>
  <si>
    <t xml:space="preserve">Checkpoint 40 Design Decisions</t>
  </si>
  <si>
    <t xml:space="preserve">Checkpoint 41 - Combat Scaling Framework and TL2 Candidate Derivation</t>
  </si>
  <si>
    <t xml:space="preserve">Relationship / artifact</t>
  </si>
  <si>
    <t xml:space="preserve">Checkpoint 41 contract</t>
  </si>
  <si>
    <t xml:space="preserve">Equation / threshold</t>
  </si>
  <si>
    <t xml:space="preserve">Design use</t>
  </si>
  <si>
    <t xml:space="preserve">Evidence / output</t>
  </si>
  <si>
    <t xml:space="preserve">Progression</t>
  </si>
  <si>
    <t xml:space="preserve">Technology bands</t>
  </si>
  <si>
    <t xml:space="preserve">Low TL1-3; medium TL4-6; high TL7-9</t>
  </si>
  <si>
    <t xml:space="preserve">Piecewise tiers, not one global slope</t>
  </si>
  <si>
    <t xml:space="preserve">Allows stronger qualitative breakpoints at TL4 and TL7</t>
  </si>
  <si>
    <t xml:space="preserve">tierModel in study JSON</t>
  </si>
  <si>
    <t xml:space="preserve">Locked framework</t>
  </si>
  <si>
    <t xml:space="preserve">Band rhythm</t>
  </si>
  <si>
    <t xml:space="preserve">Foundation / refinement / culmination; breakthrough / refinement / culmination; transformation / refinement / apex</t>
  </si>
  <si>
    <t xml:space="preserve">TL2 refines TL1; TL3 completes low tech</t>
  </si>
  <si>
    <t xml:space="preserve">Prevents every TL from receiving the same numeric increment</t>
  </si>
  <si>
    <t xml:space="preserve">Concept and workbook names</t>
  </si>
  <si>
    <t xml:space="preserve">Method</t>
  </si>
  <si>
    <t xml:space="preserve">Vector model</t>
  </si>
  <si>
    <t xml:space="preserve">Weapons and defenses remain multi-attribute vectors; no single universal combat score</t>
  </si>
  <si>
    <t xml:space="preserve">DAM, SPEN, APEN, accuracy, range, cadence, power, ammo vs Shield, recharge, SA, AI, AP, Hull, PDS</t>
  </si>
  <si>
    <t xml:space="preserve">Preserves weapon and subsystem identities</t>
  </si>
  <si>
    <t xml:space="preserve">profiles.csv and range grids</t>
  </si>
  <si>
    <t xml:space="preserve">Locked method</t>
  </si>
  <si>
    <t xml:space="preserve">Mechanics</t>
  </si>
  <si>
    <t xml:space="preserve">Exact packet transition</t>
  </si>
  <si>
    <t xml:space="preserve">Use the authoritative LayeredDamageResolver for every analytical packet</t>
  </si>
  <si>
    <t xml:space="preserve">Shield bypass / SA / absorption, then Effective AP=max(0, AP-APEN), AI, AP, Hull</t>
  </si>
  <si>
    <t xml:space="preserve">Prevents a parallel simplified damage rule</t>
  </si>
  <si>
    <t xml:space="preserve">packet-traces.csv</t>
  </si>
  <si>
    <t xml:space="preserve">Executable analytical model</t>
  </si>
  <si>
    <t xml:space="preserve">Offense</t>
  </si>
  <si>
    <t xml:space="preserve">Direct-fire probability</t>
  </si>
  <si>
    <t xml:space="preserve">Clamp(50 + weapon accuracy + targeting - 5 x range, 5, 95)</t>
  </si>
  <si>
    <t xml:space="preserve">Per legal direct-fire packet</t>
  </si>
  <si>
    <t xml:space="preserve">Connects accuracy, targeting, and range without hiding boundaries</t>
  </si>
  <si>
    <t xml:space="preserve">tl1-calibration.csv</t>
  </si>
  <si>
    <t xml:space="preserve">Missile delivery</t>
  </si>
  <si>
    <t xml:space="preserve">Guidance chance x (1 - effective PDS chance), plus travel delay</t>
  </si>
  <si>
    <t xml:space="preserve">Missile Move = TL + 1; TL2 missile Move 3</t>
  </si>
  <si>
    <t xml:space="preserve">Screens guidance, PDS, and range together</t>
  </si>
  <si>
    <t xml:space="preserve">cross-tl-range-grid.csv</t>
  </si>
  <si>
    <t xml:space="preserve">Renewable Shield pressure</t>
  </si>
  <si>
    <t xml:space="preserve">Expected shield removal per turn minus base recharge</t>
  </si>
  <si>
    <t xml:space="preserve">Positive, near-zero, negative-with-bypass, or hard stall</t>
  </si>
  <si>
    <t xml:space="preserve">Highlights packet/recharge interactions before Monte Carlo</t>
  </si>
  <si>
    <t xml:space="preserve">packet traces and calibrated durations</t>
  </si>
  <si>
    <t xml:space="preserve">Diagnostic</t>
  </si>
  <si>
    <t xml:space="preserve">Protection breakpoints</t>
  </si>
  <si>
    <t xml:space="preserve">Evaluate AP/SA and penetration as discrete steps</t>
  </si>
  <si>
    <t xml:space="preserve">Do not auto-increment AP, SA, APEN, or SPEN every TL</t>
  </si>
  <si>
    <t xml:space="preserve">Exposes hard stalls and nonlinear jumps</t>
  </si>
  <si>
    <t xml:space="preserve">protection-breakpoints.csv</t>
  </si>
  <si>
    <t xml:space="preserve">Locked guardrail</t>
  </si>
  <si>
    <t xml:space="preserve">Power margin</t>
  </si>
  <si>
    <t xml:space="preserve">Reactor output minus standard combat commitment</t>
  </si>
  <si>
    <t xml:space="preserve">Candidate gate: margin at least 1</t>
  </si>
  <si>
    <t xml:space="preserve">Preserves tactical power choices instead of automatic full operation</t>
  </si>
  <si>
    <t xml:space="preserve">profiles.csv and gates.csv</t>
  </si>
  <si>
    <t xml:space="preserve">Blocking analytical gate</t>
  </si>
  <si>
    <t xml:space="preserve">Odds</t>
  </si>
  <si>
    <t xml:space="preserve">Complete-TL target</t>
  </si>
  <si>
    <t xml:space="preserve">Comparable full TL2 package vs full TL1 package</t>
  </si>
  <si>
    <t xml:space="preserve">Nominal 66.7%; exploratory band 60-72%</t>
  </si>
  <si>
    <t xml:space="preserve">Meaningful one-TL advantage without invalidating TL1</t>
  </si>
  <si>
    <t xml:space="preserve">candidate-review.csv</t>
  </si>
  <si>
    <t xml:space="preserve">Provisional review target</t>
  </si>
  <si>
    <t xml:space="preserve">Equal-TL fairness</t>
  </si>
  <si>
    <t xml:space="preserve">Identical mirror ships and doctrine should remain near 50/50</t>
  </si>
  <si>
    <t xml:space="preserve">Bias check, not universal cross-family parity</t>
  </si>
  <si>
    <t xml:space="preserve">Separates implementation fairness from weapon identity</t>
  </si>
  <si>
    <t xml:space="preserve">same-tl-range-grid.csv</t>
  </si>
  <si>
    <t xml:space="preserve">Review signal</t>
  </si>
  <si>
    <t xml:space="preserve">Accepted TL1 evidence</t>
  </si>
  <si>
    <t xml:space="preserve">Fit one family-specific analytical duration factor to accepted Checkpoint 40 mirrors</t>
  </si>
  <si>
    <t xml:space="preserve">12 rows; maximum accepted fit error &lt;=12%</t>
  </si>
  <si>
    <t xml:space="preserve">Anchors screening to compiled Monte Carlo evidence</t>
  </si>
  <si>
    <t xml:space="preserve">tl1-mirror-calibration.csv</t>
  </si>
  <si>
    <t xml:space="preserve">Candidates</t>
  </si>
  <si>
    <t xml:space="preserve">Small coherent set</t>
  </si>
  <si>
    <t xml:space="preserve">Screen conservative refinement, balanced derived, and specialization-forward packages</t>
  </si>
  <si>
    <t xml:space="preserve">Exactly three candidate-only vectors</t>
  </si>
  <si>
    <t xml:space="preserve">Avoids arbitrary combinatorial search</t>
  </si>
  <si>
    <t xml:space="preserve">tl2-candidate-derivation-v0_1.json</t>
  </si>
  <si>
    <t xml:space="preserve">Candidate-only</t>
  </si>
  <si>
    <t xml:space="preserve">Names</t>
  </si>
  <si>
    <t xml:space="preserve">Mechanics-driven review</t>
  </si>
  <si>
    <t xml:space="preserve">Stable IDs survive, but display names may change when their promise or tier placement is unsupported</t>
  </si>
  <si>
    <t xml:space="preserve">Names guide candidate mechanics; mechanics can force renaming</t>
  </si>
  <si>
    <t xml:space="preserve">Keeps the progression intentional and non-campy</t>
  </si>
  <si>
    <t xml:space="preserve">namingReview in study JSON</t>
  </si>
  <si>
    <t xml:space="preserve">Locked naming rule</t>
  </si>
  <si>
    <t xml:space="preserve">References</t>
  </si>
  <si>
    <t xml:space="preserve">Originality guardrail</t>
  </si>
  <si>
    <t xml:space="preserve">Use references for patterns, tradeoffs, and questions only</t>
  </si>
  <si>
    <t xml:space="preserve">No copied tables, numbers, prose, distinctive names, or defining mechanics</t>
  </si>
  <si>
    <t xml:space="preserve">Provides inspiration without importing another game</t>
  </si>
  <si>
    <t xml:space="preserve">referenceInfluences fields</t>
  </si>
  <si>
    <t xml:space="preserve">Permanent guardrail</t>
  </si>
  <si>
    <t xml:space="preserve">Mutable production values must resolve from the catalog or be derived</t>
  </si>
  <si>
    <t xml:space="preserve">No copied expected-value cascades</t>
  </si>
  <si>
    <t xml:space="preserve">Keeps TL1 controls stable while candidate documents remain explicit</t>
  </si>
  <si>
    <t xml:space="preserve">Phase A/B preflight plus baseline hash</t>
  </si>
  <si>
    <t xml:space="preserve">Permanent repository gate</t>
  </si>
  <si>
    <t xml:space="preserve">TL2 Candidate Screen - values remain non-production until later Monte Carlo promotion</t>
  </si>
  <si>
    <t xml:space="preserve">Candidate</t>
  </si>
  <si>
    <t xml:space="preserve">Recharge</t>
  </si>
  <si>
    <t xml:space="preserve">Std Power</t>
  </si>
  <si>
    <t xml:space="preserve">Margin</t>
  </si>
  <si>
    <t xml:space="preserve">Ship Move</t>
  </si>
  <si>
    <t xml:space="preserve">Missile Move</t>
  </si>
  <si>
    <t xml:space="preserve">Kinetic D/APEN/R</t>
  </si>
  <si>
    <t xml:space="preserve">Energy D/APEN/R</t>
  </si>
  <si>
    <t xml:space="preserve">Missile D/APEN/R</t>
  </si>
  <si>
    <t xml:space="preserve">Mean TL2 win</t>
  </si>
  <si>
    <t xml:space="preserve">Conservative refinement</t>
  </si>
  <si>
    <t xml:space="preserve">4 / 0 / 4</t>
  </si>
  <si>
    <t xml:space="preserve">3 / 1 / 5</t>
  </si>
  <si>
    <t xml:space="preserve">5 / 2 / 7</t>
  </si>
  <si>
    <t xml:space="preserve">Balanced derived</t>
  </si>
  <si>
    <t xml:space="preserve">4 / 0 / 5</t>
  </si>
  <si>
    <t xml:space="preserve">4 / 1 / 5</t>
  </si>
  <si>
    <t xml:space="preserve">6 / 2 / 7</t>
  </si>
  <si>
    <t xml:space="preserve">Recommended first MC</t>
  </si>
  <si>
    <t xml:space="preserve">Specialization-forward</t>
  </si>
  <si>
    <t xml:space="preserve">3 / 1 / 6</t>
  </si>
  <si>
    <t xml:space="preserve">6 / 2 / 8</t>
  </si>
  <si>
    <t xml:space="preserve">Upper specialization control</t>
  </si>
  <si>
    <t xml:space="preserve">Checkpoint 41 Design Decisions</t>
  </si>
  <si>
    <t xml:space="preserve">Checkpoint 42 - Within-Band Progression and TL2 Identity Preservation</t>
  </si>
  <si>
    <t xml:space="preserve">Checkpoint 42 contract</t>
  </si>
  <si>
    <t xml:space="preserve">Within-band target</t>
  </si>
  <si>
    <t xml:space="preserve">Comparable complete one-TL advancement inside TL1-3, TL4-6, or TL7-9</t>
  </si>
  <si>
    <t xml:space="preserve">Nominal 60/40; first TL2 review band 57-64%</t>
  </si>
  <si>
    <t xml:space="preserve">Noticeable advantage without rapid obsolescence</t>
  </si>
  <si>
    <t xml:space="preserve">analytical and Monte Carlo candidate review</t>
  </si>
  <si>
    <t xml:space="preserve">Non-blocking review target</t>
  </si>
  <si>
    <t xml:space="preserve">Band breakpoint</t>
  </si>
  <si>
    <t xml:space="preserve">TL3-&gt;TL4 and TL6-&gt;TL7 qualitative transition</t>
  </si>
  <si>
    <t xml:space="preserve">Test 75/25 first; 80/20 upper stress case</t>
  </si>
  <si>
    <t xml:space="preserve">Allows science-fiction / science-fantasy paradigm jumps</t>
  </si>
  <si>
    <t xml:space="preserve">future checkpoint controls</t>
  </si>
  <si>
    <t xml:space="preserve">Future hypothesis</t>
  </si>
  <si>
    <t xml:space="preserve">Piecewise progression, not one global slope</t>
  </si>
  <si>
    <t xml:space="preserve">Supports stronger breakpoints and mature band endpoints</t>
  </si>
  <si>
    <t xml:space="preserve">tierModel in candidate study</t>
  </si>
  <si>
    <t xml:space="preserve">Weapon-family validity</t>
  </si>
  <si>
    <t xml:space="preserve">Kinetic, energy, and missile remain valid choices with distinct strategies</t>
  </si>
  <si>
    <t xml:space="preserve">No universal 50/50 requirement</t>
  </si>
  <si>
    <t xml:space="preserve">Prevents numerical optimization from flattening families</t>
  </si>
  <si>
    <t xml:space="preserve">identity diagnostics and same-TL grid</t>
  </si>
  <si>
    <t xml:space="preserve">Locked principle</t>
  </si>
  <si>
    <t xml:space="preserve">Meaningful differences</t>
  </si>
  <si>
    <t xml:space="preserve">Each weapon pair preserves at least two operational differences</t>
  </si>
  <si>
    <t xml:space="preserve">Core: damage, accuracy/guidance, range; support: penetration, power, ammo</t>
  </si>
  <si>
    <t xml:space="preserve">Flags convergence while allowing shared individual values</t>
  </si>
  <si>
    <t xml:space="preserve">Recommended candidate gate</t>
  </si>
  <si>
    <t xml:space="preserve">Fit mirrors and ordered cross-family outcomes from Checkpoint 40</t>
  </si>
  <si>
    <t xml:space="preserve">12 mirror + 36 ordered rows at Ranges 2-5</t>
  </si>
  <si>
    <t xml:space="preserve">Anchors estimates to compiled production behavior</t>
  </si>
  <si>
    <t xml:space="preserve">tl1 calibration CSVs</t>
  </si>
  <si>
    <t xml:space="preserve">Use production LayeredDamageResolver and accepted Shield recharge timing</t>
  </si>
  <si>
    <t xml:space="preserve">No parallel damage formula</t>
  </si>
  <si>
    <t xml:space="preserve">Preserves discrete AP/SA/APEN/SPEN breakpoints</t>
  </si>
  <si>
    <t xml:space="preserve">packet traces and breakpoint table</t>
  </si>
  <si>
    <t xml:space="preserve">Former 66.7% package</t>
  </si>
  <si>
    <t xml:space="preserve">Retain former Balanced Derived values as aggressive upper control</t>
  </si>
  <si>
    <t xml:space="preserve">Aggressive threshold 65% analytical mean</t>
  </si>
  <si>
    <t xml:space="preserve">Shows effect of faster within-band escalation and vector convergence</t>
  </si>
  <si>
    <t xml:space="preserve">Aggressive Balanced Control</t>
  </si>
  <si>
    <t xml:space="preserve">Control only</t>
  </si>
  <si>
    <t xml:space="preserve">Identity-preserving center</t>
  </si>
  <si>
    <t xml:space="preserve">Refine TL1 roles and target roughly 60/40 complete-package advantage</t>
  </si>
  <si>
    <t xml:space="preserve">Review band 57-64%, not exact optimization</t>
  </si>
  <si>
    <t xml:space="preserve">Preferred starting point for simulation</t>
  </si>
  <si>
    <t xml:space="preserve">Identity-Preserving Refinement</t>
  </si>
  <si>
    <t xml:space="preserve">Recommended candidate</t>
  </si>
  <si>
    <t xml:space="preserve">Specialization control</t>
  </si>
  <si>
    <t xml:space="preserve">Test early APEN, longer beam reach, and stronger missile guidance</t>
  </si>
  <si>
    <t xml:space="preserve">May intrude on TL3 milestones</t>
  </si>
  <si>
    <t xml:space="preserve">Reveals progression-boundary risk</t>
  </si>
  <si>
    <t xml:space="preserve">Specialization-Forward Control</t>
  </si>
  <si>
    <t xml:space="preserve">Monte Carlo</t>
  </si>
  <si>
    <t xml:space="preserve">Complete candidate grid</t>
  </si>
  <si>
    <t xml:space="preserve">Three candidates x 9 ordered families x 4 ranges x same/cross-TL orientations</t>
  </si>
  <si>
    <t xml:space="preserve">324 variants</t>
  </si>
  <si>
    <t xml:space="preserve">Tests stochastic packet, missile, PDS, internal damage, and mission-kill behavior</t>
  </si>
  <si>
    <t xml:space="preserve">tl2-candidate-minimal-tactics</t>
  </si>
  <si>
    <t xml:space="preserve">Tactics</t>
  </si>
  <si>
    <t xml:space="preserve">Minimal-tactics contract</t>
  </si>
  <si>
    <t xml:space="preserve">Hold range and fire whenever legal; no movement, overload, withdrawal, EvM, DamCon, or compartmentation</t>
  </si>
  <si>
    <t xml:space="preserve">Normal Shield recharge, PDS, resources, missile flight, criticals remain active</t>
  </si>
  <si>
    <t xml:space="preserve">Isolates baseline technology vectors</t>
  </si>
  <si>
    <t xml:space="preserve">study JSON contract</t>
  </si>
  <si>
    <t xml:space="preserve">Locked study method</t>
  </si>
  <si>
    <t xml:space="preserve">Stable IDs survive; display names may change when promise or tier placement is unsupported</t>
  </si>
  <si>
    <t xml:space="preserve">Do not protect a name at the expense of progression</t>
  </si>
  <si>
    <t xml:space="preserve">Keeps low-tech refinement distinct from TL3 culmination</t>
  </si>
  <si>
    <t xml:space="preserve">namingReview fields</t>
  </si>
  <si>
    <t xml:space="preserve">Permanent rule</t>
  </si>
  <si>
    <t xml:space="preserve">Mutable production values resolve from catalogs or derived expectations</t>
  </si>
  <si>
    <t xml:space="preserve">No copied balance-value cascades</t>
  </si>
  <si>
    <t xml:space="preserve">Prevents future TL changes from breaking stale deterministic literals</t>
  </si>
  <si>
    <t xml:space="preserve">repository preflight</t>
  </si>
  <si>
    <t xml:space="preserve">TL2 Candidate Screen - all values remain non-production</t>
  </si>
  <si>
    <t xml:space="preserve">Analytical TL2 win</t>
  </si>
  <si>
    <t xml:space="preserve">Identity-preserving</t>
  </si>
  <si>
    <t xml:space="preserve">Aggressive balanced</t>
  </si>
  <si>
    <t xml:space="preserve">Aggressive control</t>
  </si>
  <si>
    <t xml:space="preserve">Checkpoint 42 Analytical and Monte Carlo Coverage</t>
  </si>
  <si>
    <t xml:space="preserve">Profiles</t>
  </si>
  <si>
    <t xml:space="preserve">Ordered family pairs</t>
  </si>
  <si>
    <t xml:space="preserve">Ranges</t>
  </si>
  <si>
    <t xml:space="preserve">Orientations</t>
  </si>
  <si>
    <t xml:space="preserve">Variants / rows</t>
  </si>
  <si>
    <t xml:space="preserve">Purpose</t>
  </si>
  <si>
    <t xml:space="preserve">Mirror calibration</t>
  </si>
  <si>
    <t xml:space="preserve">TL1 production</t>
  </si>
  <si>
    <t xml:space="preserve">3 mirrors</t>
  </si>
  <si>
    <t xml:space="preserve">2-5</t>
  </si>
  <si>
    <t xml:space="preserve">same profile</t>
  </si>
  <si>
    <t xml:space="preserve">Duration-factor fit</t>
  </si>
  <si>
    <t xml:space="preserve">Cross-family calibration</t>
  </si>
  <si>
    <t xml:space="preserve">9 ordered</t>
  </si>
  <si>
    <t xml:space="preserve">Odds/identity fit</t>
  </si>
  <si>
    <t xml:space="preserve">Candidate Monte Carlo</t>
  </si>
  <si>
    <t xml:space="preserve">3 TL2 + TL1</t>
  </si>
  <si>
    <t xml:space="preserve">TL2/TL2, TL2/TL1, TL1/TL2</t>
  </si>
  <si>
    <t xml:space="preserve">Full stochastic candidate review</t>
  </si>
  <si>
    <t xml:space="preserve">Checkpoint 42 Design Decisions</t>
  </si>
  <si>
    <t xml:space="preserve">Candidate Standard Auxiliary Component Catalog</t>
  </si>
  <si>
    <t xml:space="preserve">27 candidate-only AUX families. Existing mechanics and TL1 fixture evidence do not promote standard availability. Orange text marks review-only floors and risks.</t>
  </si>
  <si>
    <t xml:space="preserve">auxiliary_family_id</t>
  </si>
  <si>
    <t xml:space="preserve">installation_class</t>
  </si>
  <si>
    <t xml:space="preserve">candidate_first_standard_item_tl</t>
  </si>
  <si>
    <t xml:space="preserve">primary_research_category</t>
  </si>
  <si>
    <t xml:space="preserve">minimum_primary_research_tl</t>
  </si>
  <si>
    <t xml:space="preserve">support_floors</t>
  </si>
  <si>
    <t xml:space="preserve">minimum_hull_tl</t>
  </si>
  <si>
    <t xml:space="preserve">capacity_cost</t>
  </si>
  <si>
    <t xml:space="preserve">power_behavior</t>
  </si>
  <si>
    <t xml:space="preserve">stacking_rule</t>
  </si>
  <si>
    <t xml:space="preserve">damageable</t>
  </si>
  <si>
    <t xml:space="preserve">critical_exposure</t>
  </si>
  <si>
    <t xml:space="preserve">tl1_fixture_evidence</t>
  </si>
  <si>
    <t xml:space="preserve">balance_risk_tier</t>
  </si>
  <si>
    <t xml:space="preserve">balance_risk_flags</t>
  </si>
  <si>
    <t xml:space="preserve">blocking_concerns</t>
  </si>
  <si>
    <t xml:space="preserve">availability_status</t>
  </si>
  <si>
    <t xml:space="preserve">entry_policy</t>
  </si>
  <si>
    <t xml:space="preserve">aux_kinetic_pds</t>
  </si>
  <si>
    <t xml:space="preserve">Kinetic Point-Defense Battery</t>
  </si>
  <si>
    <t xml:space="preserve">terminal missile and boarding-craft defense</t>
  </si>
  <si>
    <t xml:space="preserve">auxiliary_capacity</t>
  </si>
  <si>
    <t xml:space="preserve">computing_fire_control&gt;=1</t>
  </si>
  <si>
    <t xml:space="preserve">powered_readiness_plus_ammunition</t>
  </si>
  <si>
    <t xml:space="preserve">pooled_reaction_capacity; normal two-attempt-per-flight cap</t>
  </si>
  <si>
    <t xml:space="preserve">TL1 PDS mechanics and calibration fixtures exist</t>
  </si>
  <si>
    <t xml:space="preserve">moderate</t>
  </si>
  <si>
    <t xml:space="preserve">reaction_capacity</t>
  </si>
  <si>
    <t xml:space="preserve">confirm early reaction capacity and ammunition burden</t>
  </si>
  <si>
    <t xml:space="preserve">candidate_only</t>
  </si>
  <si>
    <t xml:space="preserve">raise_starting_tl_before_reducing_established_mechanical_identity</t>
  </si>
  <si>
    <t xml:space="preserve">Candidate early conventional PDS; fixture evidence does not promote availability.</t>
  </si>
  <si>
    <t xml:space="preserve">aux_amm_pds</t>
  </si>
  <si>
    <t xml:space="preserve">Anti-Missile Missile Battery</t>
  </si>
  <si>
    <t xml:space="preserve">finite-ammunition terminal interception</t>
  </si>
  <si>
    <t xml:space="preserve">TL1 PDS calibration includes ammunition-fed interception behavior</t>
  </si>
  <si>
    <t xml:space="preserve">reaction_capacity; finite_store</t>
  </si>
  <si>
    <t xml:space="preserve">confirm magazine pressure and comparison with kinetic PDS</t>
  </si>
  <si>
    <t xml:space="preserve">Candidate early ammunition-intensive alternative to kinetic PDS.</t>
  </si>
  <si>
    <t xml:space="preserve">aux_energy_pds</t>
  </si>
  <si>
    <t xml:space="preserve">Energy Point-Defense Array</t>
  </si>
  <si>
    <t xml:space="preserve">power-intensive ammunition-free terminal interception</t>
  </si>
  <si>
    <t xml:space="preserve">power&gt;=2; computing_fire_control&gt;=2</t>
  </si>
  <si>
    <t xml:space="preserve">sustained_powered_readiness</t>
  </si>
  <si>
    <t xml:space="preserve">Energy PDS behavior exists as a comparison concept, not a promoted TL1 item</t>
  </si>
  <si>
    <t xml:space="preserve">reaction_capacity; unlimited_ammunition; renewable_power</t>
  </si>
  <si>
    <t xml:space="preserve">prove that power cost prevents universal replacement of finite-ammunition PDS</t>
  </si>
  <si>
    <t xml:space="preserve">Starts no earlier than TL2 because ammunition independence can dominate low-TL defenses.</t>
  </si>
  <si>
    <t xml:space="preserve">aux_auxiliary_reactor</t>
  </si>
  <si>
    <t xml:space="preserve">renewable Tactical Power generation</t>
  </si>
  <si>
    <t xml:space="preserve">hull&gt;=2</t>
  </si>
  <si>
    <t xml:space="preserve">renewable_output</t>
  </si>
  <si>
    <t xml:space="preserve">normally one; additional copies require explicit stacking permission</t>
  </si>
  <si>
    <t xml:space="preserve">TL1 comparison overlays test +1 output and degraded cooldown behavior</t>
  </si>
  <si>
    <t xml:space="preserve">renewable_power; threshold_crossing</t>
  </si>
  <si>
    <t xml:space="preserve">test action-threshold crossings, degraded output, cooldown, and reactor stacking</t>
  </si>
  <si>
    <t xml:space="preserve">Candidate floor is TL2; TL1 overlays are calibration controls only.</t>
  </si>
  <si>
    <t xml:space="preserve">aux_apu</t>
  </si>
  <si>
    <t xml:space="preserve">Auxiliary Power Unit</t>
  </si>
  <si>
    <t xml:space="preserve">core-power continuity without normal Tactical Power</t>
  </si>
  <si>
    <t xml:space="preserve">hull&gt;=1</t>
  </si>
  <si>
    <t xml:space="preserve">core_power_only</t>
  </si>
  <si>
    <t xml:space="preserve">normally one</t>
  </si>
  <si>
    <t xml:space="preserve">APU core-power-only rule is established</t>
  </si>
  <si>
    <t xml:space="preserve">continuity</t>
  </si>
  <si>
    <t xml:space="preserve">confirm it cannot supply ordinary Tactical Power or shield recharge unless explicitly stated</t>
  </si>
  <si>
    <t xml:space="preserve">Low tactical leverage because it preserves core operation rather than adding action power.</t>
  </si>
  <si>
    <t xml:space="preserve">aux_combat_battery</t>
  </si>
  <si>
    <t xml:space="preserve">finite emergency Tactical Power injection</t>
  </si>
  <si>
    <t xml:space="preserve">finite_discharge_once_per_turn</t>
  </si>
  <si>
    <t xml:space="preserve">multiple units allowed; each has its own finite store</t>
  </si>
  <si>
    <t xml:space="preserve">TL1 power-envelope fixtures include Combat Battery injection</t>
  </si>
  <si>
    <t xml:space="preserve">stored_power; extra_action_capacity</t>
  </si>
  <si>
    <t xml:space="preserve">set finite charges and refit/resupply rules</t>
  </si>
  <si>
    <t xml:space="preserve">Candidate early stored-power option; finite supply is the primary limiter.</t>
  </si>
  <si>
    <t xml:space="preserve">aux_power_capacitor</t>
  </si>
  <si>
    <t xml:space="preserve">Power Capacitor</t>
  </si>
  <si>
    <t xml:space="preserve">operation-specific stored power and charge timing</t>
  </si>
  <si>
    <t xml:space="preserve">charge_then_single_operation_discharge</t>
  </si>
  <si>
    <t xml:space="preserve">multiple units allowed only when each is assigned to a legal operation</t>
  </si>
  <si>
    <t xml:space="preserve">Capacitor discharge and charge reporting exists in TL1 power studies</t>
  </si>
  <si>
    <t xml:space="preserve">stored_power; extra_action_capacity; timing</t>
  </si>
  <si>
    <t xml:space="preserve">prevent same-turn charge/discharge loops and universal power substitution</t>
  </si>
  <si>
    <t xml:space="preserve">Starts at TL2 because operation-specific burst power can bypass normal turn envelopes.</t>
  </si>
  <si>
    <t xml:space="preserve">aux_shield_battery</t>
  </si>
  <si>
    <t xml:space="preserve">finite emergency shield restoration</t>
  </si>
  <si>
    <t xml:space="preserve">power&gt;=1</t>
  </si>
  <si>
    <t xml:space="preserve">finite_shield_only_discharge</t>
  </si>
  <si>
    <t xml:space="preserve">Shield Battery is established as player-reserved emergency power</t>
  </si>
  <si>
    <t xml:space="preserve">stored_defense; finite_store</t>
  </si>
  <si>
    <t xml:space="preserve">set charges, restoration amount, and no automatic expenditure policy</t>
  </si>
  <si>
    <t xml:space="preserve">Candidate early emergency defense that does not add general Tactical Power.</t>
  </si>
  <si>
    <t xml:space="preserve">aux_shield_booster</t>
  </si>
  <si>
    <t xml:space="preserve">Shield Booster</t>
  </si>
  <si>
    <t xml:space="preserve">increased maximum Shield Capacity or bounded overcharge</t>
  </si>
  <si>
    <t xml:space="preserve">power&gt;=2</t>
  </si>
  <si>
    <t xml:space="preserve">sustained_or_overcharge_power</t>
  </si>
  <si>
    <t xml:space="preserve">normally one effective booster; explicit profiles may permit diminishing returns</t>
  </si>
  <si>
    <t xml:space="preserve">Shield overcapacity and booster concepts are already modeled</t>
  </si>
  <si>
    <t xml:space="preserve">defense_capacity; overcharge</t>
  </si>
  <si>
    <t xml:space="preserve">separate passive capacity, powered bonus, and risky overcharge</t>
  </si>
  <si>
    <t xml:space="preserve">Starts at TL2 so extra renewable capacity does not erase baseline TL1 weapon pacing.</t>
  </si>
  <si>
    <t xml:space="preserve">aux_power_stabilizer</t>
  </si>
  <si>
    <t xml:space="preserve">Shield Power Stabilizer</t>
  </si>
  <si>
    <t xml:space="preserve">improved shield-recharge efficiency per Tactical Power</t>
  </si>
  <si>
    <t xml:space="preserve">shields&gt;=1</t>
  </si>
  <si>
    <t xml:space="preserve">powered_efficiency_modifier</t>
  </si>
  <si>
    <t xml:space="preserve">normally one; no multiplicative stacking</t>
  </si>
  <si>
    <t xml:space="preserve">Tactical shield restoration and recharge-efficiency concepts exist</t>
  </si>
  <si>
    <t xml:space="preserve">efficiency_multiplier</t>
  </si>
  <si>
    <t xml:space="preserve">bound efficiency and avoid zero-cost recharge loops</t>
  </si>
  <si>
    <t xml:space="preserve">Candidate TL2 efficiency component rather than raw Shield Capacity.</t>
  </si>
  <si>
    <t xml:space="preserve">aux_shield_hardener</t>
  </si>
  <si>
    <t xml:space="preserve">flat Shield Armor protection</t>
  </si>
  <si>
    <t xml:space="preserve">power&gt;=3</t>
  </si>
  <si>
    <t xml:space="preserve">sustained_powered_protection</t>
  </si>
  <si>
    <t xml:space="preserve">normally one; Shield Armor does not stack unless explicitly stated</t>
  </si>
  <si>
    <t xml:space="preserve">Shield Armor mechanics and TL1 diagnostic fixtures exist</t>
  </si>
  <si>
    <t xml:space="preserve">flat_damage_prevention; renewable_defense</t>
  </si>
  <si>
    <t xml:space="preserve">prove low-damage weapons still make progress and SPEN retains value</t>
  </si>
  <si>
    <t xml:space="preserve">Starts at TL3 because flat prevention can create hard stalls at low packet sizes.</t>
  </si>
  <si>
    <t xml:space="preserve">aux_ablative_armor</t>
  </si>
  <si>
    <t xml:space="preserve">Ablative Armor Layer</t>
  </si>
  <si>
    <t xml:space="preserve">expendable outer armor layer</t>
  </si>
  <si>
    <t xml:space="preserve">passive_expendable_layer</t>
  </si>
  <si>
    <t xml:space="preserve">one outer ablative layer maximum</t>
  </si>
  <si>
    <t xml:space="preserve">Layered armor rules already support one Auxiliary ablative layer</t>
  </si>
  <si>
    <t xml:space="preserve">extra_defense_layer</t>
  </si>
  <si>
    <t xml:space="preserve">set AP/AI and strategic replacement cost without making it routine in-combat repair</t>
  </si>
  <si>
    <t xml:space="preserve">Candidate early expendable protection with strict one-layer limit.</t>
  </si>
  <si>
    <t xml:space="preserve">aux_energized_armor_controller</t>
  </si>
  <si>
    <t xml:space="preserve">Energized Armor Controller</t>
  </si>
  <si>
    <t xml:space="preserve">powered armor-protection enhancement</t>
  </si>
  <si>
    <t xml:space="preserve">sustained_powered_armor_bonus</t>
  </si>
  <si>
    <t xml:space="preserve">normally one; no additive protection stacking</t>
  </si>
  <si>
    <t xml:space="preserve">Energized Armor has an established conceptual role</t>
  </si>
  <si>
    <t xml:space="preserve">ensure unpowered armor remains passive and powered bonus cannot stall common weapons</t>
  </si>
  <si>
    <t xml:space="preserve">Starts at TL3 because powered flat protection has the same stall risk as Shield Armor.</t>
  </si>
  <si>
    <t xml:space="preserve">aux_evasive_maneuver_system</t>
  </si>
  <si>
    <t xml:space="preserve">Evasive Maneuver System</t>
  </si>
  <si>
    <t xml:space="preserve">full-turn defensive posture support</t>
  </si>
  <si>
    <t xml:space="preserve">computing_fire_control&gt;=2</t>
  </si>
  <si>
    <t xml:space="preserve">activation_power_plus_fuel_multiplier</t>
  </si>
  <si>
    <t xml:space="preserve">one effective system; no defense-bonus stacking</t>
  </si>
  <si>
    <t xml:space="preserve">EvM is implemented as a separate damageable Auxiliary</t>
  </si>
  <si>
    <t xml:space="preserve">accuracy_denial; fuel_multiplier; action_tradeoff</t>
  </si>
  <si>
    <t xml:space="preserve">validate defense bonus, own-fire penalty, fuel and power costs together</t>
  </si>
  <si>
    <t xml:space="preserve">Starts at TL2 because a universal accuracy modifier is stronger than an ordinary stat refinement.</t>
  </si>
  <si>
    <t xml:space="preserve">aux_active_sensor_array</t>
  </si>
  <si>
    <t xml:space="preserve">Active Sensor Array</t>
  </si>
  <si>
    <t xml:space="preserve">active search range and reacquisition support</t>
  </si>
  <si>
    <t xml:space="preserve">sustained_or_windowed_active_power</t>
  </si>
  <si>
    <t xml:space="preserve">normally one effective array; range bonuses do not stack additively</t>
  </si>
  <si>
    <t xml:space="preserve">Active Sensors are implemented in TL1 defensive fixtures</t>
  </si>
  <si>
    <t xml:space="preserve">information_advantage; emissions</t>
  </si>
  <si>
    <t xml:space="preserve">retain emissions cost and range-only baseline before adding accuracy bonuses</t>
  </si>
  <si>
    <t xml:space="preserve">Candidate early active search capability; fixture evidence is not an availability promotion.</t>
  </si>
  <si>
    <t xml:space="preserve">aux_ecm_suite</t>
  </si>
  <si>
    <t xml:space="preserve">Electronic Countermeasures Suite</t>
  </si>
  <si>
    <t xml:space="preserve">track-quality degradation and cooperative screening</t>
  </si>
  <si>
    <t xml:space="preserve">sustained_powered_emission</t>
  </si>
  <si>
    <t xml:space="preserve">cooperative effect follows explicit non-additive or capped rule</t>
  </si>
  <si>
    <t xml:space="preserve">ECM is implemented in TL1 defensive fixtures</t>
  </si>
  <si>
    <t xml:space="preserve">cooperative_stacking; information_denial; emissions</t>
  </si>
  <si>
    <t xml:space="preserve">test multi-ship screens, ECCM response, emissions, and non-disclosure UI</t>
  </si>
  <si>
    <t xml:space="preserve">Starts at TL2 because cooperative information denial can scale faster than individual combat stats.</t>
  </si>
  <si>
    <t xml:space="preserve">aux_eccm_suite</t>
  </si>
  <si>
    <t xml:space="preserve">Electronic Counter-Countermeasures Suite</t>
  </si>
  <si>
    <t xml:space="preserve">powered discrimination against ECM</t>
  </si>
  <si>
    <t xml:space="preserve">computing_fire_control&gt;=2; power&gt;=1</t>
  </si>
  <si>
    <t xml:space="preserve">sustained_powered_processing</t>
  </si>
  <si>
    <t xml:space="preserve">full Powered rating applies independently; multiple suites use an explicit cap</t>
  </si>
  <si>
    <t xml:space="preserve">ECCM is implemented in TL1 defensive fixtures</t>
  </si>
  <si>
    <t xml:space="preserve">cooperative_counter; information_advantage</t>
  </si>
  <si>
    <t xml:space="preserve">keep floor paired with ECM and prevent unrestricted additive stacking</t>
  </si>
  <si>
    <t xml:space="preserve">Starts with ECM at TL2 so the counter exists at the same standard availability floor.</t>
  </si>
  <si>
    <t xml:space="preserve">aux_tractor_projector</t>
  </si>
  <si>
    <t xml:space="preserve">Tractor Projector</t>
  </si>
  <si>
    <t xml:space="preserve">movement denial and hold effects</t>
  </si>
  <si>
    <t xml:space="preserve">power&gt;=3; computing_fire_control&gt;=2</t>
  </si>
  <si>
    <t xml:space="preserve">sustained_high_power_projection</t>
  </si>
  <si>
    <t xml:space="preserve">multiple tractors use explicit conflict and cap rules</t>
  </si>
  <si>
    <t xml:space="preserve">Tractor mechanics exist, but inherited Power 3 requires recalibration against TL-scaled movement</t>
  </si>
  <si>
    <t xml:space="preserve">movement_denial; cooperative_stacking; high_power</t>
  </si>
  <si>
    <t xml:space="preserve">recalibrate against ship Move = Drive TL and define multi-tractor conflicts</t>
  </si>
  <si>
    <t xml:space="preserve">Starts at TL3 because movement denial is a qualitative control capability.</t>
  </si>
  <si>
    <t xml:space="preserve">aux_repair_drone_bay</t>
  </si>
  <si>
    <t xml:space="preserve">Repair Drone Bay</t>
  </si>
  <si>
    <t xml:space="preserve">Damage Control assistance</t>
  </si>
  <si>
    <t xml:space="preserve">powered_or_supply_limited_assistance</t>
  </si>
  <si>
    <t xml:space="preserve">assistance cap applies; no extra repair roll unless explicitly stated</t>
  </si>
  <si>
    <t xml:space="preserve">Repair drones are listed as support items; Damage Control capacity rules exist</t>
  </si>
  <si>
    <t xml:space="preserve">action_capacity; repair_efficiency</t>
  </si>
  <si>
    <t xml:space="preserve">avoid creating extra condition steps or free supplies; test assistance cap</t>
  </si>
  <si>
    <t xml:space="preserve">Starts at TL2 because extra repair capacity can compound survival and resource efficiency.</t>
  </si>
  <si>
    <t xml:space="preserve">aux_hangar_bay</t>
  </si>
  <si>
    <t xml:space="preserve">Auxiliary Hangar Bay</t>
  </si>
  <si>
    <t xml:space="preserve">additional shuttle or small-craft capacity</t>
  </si>
  <si>
    <t xml:space="preserve">core_supported_with_launch_limits</t>
  </si>
  <si>
    <t xml:space="preserve">limited by hull hangar capacity and explicit launch/recovery rules</t>
  </si>
  <si>
    <t xml:space="preserve">Starting-ship shuttle assumptions and hangar Auxiliary concept exist</t>
  </si>
  <si>
    <t xml:space="preserve">extra_unit_capacity; boarding_capacity</t>
  </si>
  <si>
    <t xml:space="preserve">define launch/recovery tempo, craft replacement, and boarding interaction</t>
  </si>
  <si>
    <t xml:space="preserve">Starts at TL3 because an extra craft is a qualitative force-multiplication milestone.</t>
  </si>
  <si>
    <t xml:space="preserve">aux_laboratory_module</t>
  </si>
  <si>
    <t xml:space="preserve">Laboratory Module</t>
  </si>
  <si>
    <t xml:space="preserve">research, analysis, and discovery support</t>
  </si>
  <si>
    <t xml:space="preserve">core_supported_or_task_power</t>
  </si>
  <si>
    <t xml:space="preserve">multiple laboratories use diminishing returns by task</t>
  </si>
  <si>
    <t xml:space="preserve">Laboratories are listed as independent support items</t>
  </si>
  <si>
    <t xml:space="preserve">economy_multiplier; research_acceleration</t>
  </si>
  <si>
    <t xml:space="preserve">define strategic benefit and diminishing returns before promotion</t>
  </si>
  <si>
    <t xml:space="preserve">Candidate early specialist module; strategic payoff must be bounded.</t>
  </si>
  <si>
    <t xml:space="preserve">aux_mining_module</t>
  </si>
  <si>
    <t xml:space="preserve">Mining Module</t>
  </si>
  <si>
    <t xml:space="preserve">resource extraction</t>
  </si>
  <si>
    <t xml:space="preserve">task_power_and_time</t>
  </si>
  <si>
    <t xml:space="preserve">multiple modules use site and throughput caps</t>
  </si>
  <si>
    <t xml:space="preserve">Mining gear is listed as an independent support item</t>
  </si>
  <si>
    <t xml:space="preserve">economy_multiplier; resource_generation</t>
  </si>
  <si>
    <t xml:space="preserve">define site depletion, time exposure, cargo interaction, and throughput cap</t>
  </si>
  <si>
    <t xml:space="preserve">Candidate early utility component; combat value is indirect.</t>
  </si>
  <si>
    <t xml:space="preserve">aux_fabrication_module</t>
  </si>
  <si>
    <t xml:space="preserve">Fabrication Module</t>
  </si>
  <si>
    <t xml:space="preserve">conversion of cargo or salvage into supplies</t>
  </si>
  <si>
    <t xml:space="preserve">task_power_time_and_material_input</t>
  </si>
  <si>
    <t xml:space="preserve">multiple modules use throughput caps and no recursive free-resource loop</t>
  </si>
  <si>
    <t xml:space="preserve">Fabrication is established as a strategic source of Repair Supplies</t>
  </si>
  <si>
    <t xml:space="preserve">economy_multiplier; resource_conversion</t>
  </si>
  <si>
    <t xml:space="preserve">define recipes, efficiency, time, and anti-loop constraints</t>
  </si>
  <si>
    <t xml:space="preserve">Starts at TL2 because broad resource conversion can dominate campaign logistics.</t>
  </si>
  <si>
    <t xml:space="preserve">aux_cargo_expansion</t>
  </si>
  <si>
    <t xml:space="preserve">Cargo Expansion Module</t>
  </si>
  <si>
    <t xml:space="preserve">additional general cargo capacity</t>
  </si>
  <si>
    <t xml:space="preserve">core_supported_passive</t>
  </si>
  <si>
    <t xml:space="preserve">multiple modules allowed within hull and mass limits</t>
  </si>
  <si>
    <t xml:space="preserve">Cargo transfer and strategic resource use are established</t>
  </si>
  <si>
    <t xml:space="preserve">capacity</t>
  </si>
  <si>
    <t xml:space="preserve">set capacity and any maneuver or signature tradeoff</t>
  </si>
  <si>
    <t xml:space="preserve">Candidate baseline logistics option with low direct combat leverage.</t>
  </si>
  <si>
    <t xml:space="preserve">aux_kinetic_magazine_expansion</t>
  </si>
  <si>
    <t xml:space="preserve">Kinetic Magazine Expansion</t>
  </si>
  <si>
    <t xml:space="preserve">additional Kinetic ammunition reserve</t>
  </si>
  <si>
    <t xml:space="preserve">passive_finite_store</t>
  </si>
  <si>
    <t xml:space="preserve">multiple modules allowed; broad Kinetic magazine family</t>
  </si>
  <si>
    <t xml:space="preserve">Broad Kinetic magazine damage and ready-package rules exist</t>
  </si>
  <si>
    <t xml:space="preserve">finite_store; endurance</t>
  </si>
  <si>
    <t xml:space="preserve">set capacity and damage consequences without per-weapon placement bookkeeping</t>
  </si>
  <si>
    <t xml:space="preserve">Candidate early endurance option; loaded Ready Packages remain separate.</t>
  </si>
  <si>
    <t xml:space="preserve">aux_missile_magazine_expansion</t>
  </si>
  <si>
    <t xml:space="preserve">Missile Magazine Expansion</t>
  </si>
  <si>
    <t xml:space="preserve">additional Missile Flight reserve</t>
  </si>
  <si>
    <t xml:space="preserve">multiple modules allowed; broad Missile magazine family</t>
  </si>
  <si>
    <t xml:space="preserve">Broad Missile magazine damage and ready-package rules exist</t>
  </si>
  <si>
    <t xml:space="preserve">set capacity, reload assumptions, and loss on magazine disablement</t>
  </si>
  <si>
    <t xml:space="preserve">Candidate early endurance option for finite Missile Flights.</t>
  </si>
  <si>
    <t xml:space="preserve">aux_communications_relay</t>
  </si>
  <si>
    <t xml:space="preserve">Tactical Communications Relay</t>
  </si>
  <si>
    <t xml:space="preserve">datalink reach, coordination, and relay support</t>
  </si>
  <si>
    <t xml:space="preserve">sustained_or_core_supported_relay</t>
  </si>
  <si>
    <t xml:space="preserve">network effects require explicit range and non-additive relay rules</t>
  </si>
  <si>
    <t xml:space="preserve">Missile datalink and communications architecture exist; no standard relay item is promoted</t>
  </si>
  <si>
    <t xml:space="preserve">cooperative_stacking; information_advantage; datalink</t>
  </si>
  <si>
    <t xml:space="preserve">define line of sight, relay chaining, latency, and observer-safe information</t>
  </si>
  <si>
    <t xml:space="preserve">Starts at TL2 because network multiplication can amplify every missile and sensor platform.</t>
  </si>
  <si>
    <t xml:space="preserve">Checkpoint 43 - Auxiliary Component Foundation and Availability Gating</t>
  </si>
  <si>
    <t xml:space="preserve">Checkpoint 43 contract</t>
  </si>
  <si>
    <t xml:space="preserve">Gate / threshold</t>
  </si>
  <si>
    <t xml:space="preserve">Installation</t>
  </si>
  <si>
    <t xml:space="preserve">Dedicated Core Integration</t>
  </si>
  <si>
    <t xml:space="preserve">Baseline systems use dedicated hull channels rather than generic AUX capacity</t>
  </si>
  <si>
    <t xml:space="preserve">Does not consume generic AUX; still has explicit costs</t>
  </si>
  <si>
    <t xml:space="preserve">Keeps ordinary ship identity without making core items free</t>
  </si>
  <si>
    <t xml:space="preserve">installation-classes.csv</t>
  </si>
  <si>
    <t xml:space="preserve">Locked foundation</t>
  </si>
  <si>
    <t xml:space="preserve">Weapon Bay</t>
  </si>
  <si>
    <t xml:space="preserve">Direct-fire batteries and launchers consume explicit Weapon Bay capacity</t>
  </si>
  <si>
    <t xml:space="preserve">Every additional battery needs bay capacity or a dedicated mount</t>
  </si>
  <si>
    <t xml:space="preserve">Preserves weapon opportunity cost</t>
  </si>
  <si>
    <t xml:space="preserve">Auxiliary Capacity</t>
  </si>
  <si>
    <t xml:space="preserve">Optional defense, support, utility, logistics, and specialist modules compete for AUX capacity</t>
  </si>
  <si>
    <t xml:space="preserve">Capacity cost 1-3 in candidate catalog</t>
  </si>
  <si>
    <t xml:space="preserve">Creates meaningful loadout tradeoffs</t>
  </si>
  <si>
    <t xml:space="preserve">catalog.csv</t>
  </si>
  <si>
    <t xml:space="preserve">Cost</t>
  </si>
  <si>
    <t xml:space="preserve">Core does not mean free</t>
  </si>
  <si>
    <t xml:space="preserve">Core items retain build/refit, integration, power/fuel/ammo, crew, maintenance, damage, and compatibility burdens</t>
  </si>
  <si>
    <t xml:space="preserve">At least five not-free factors encoded</t>
  </si>
  <si>
    <t xml:space="preserve">Prevents semantic loopholes</t>
  </si>
  <si>
    <t xml:space="preserve">gates.csv</t>
  </si>
  <si>
    <t xml:space="preserve">Blocking contract</t>
  </si>
  <si>
    <t xml:space="preserve">Fixtures</t>
  </si>
  <si>
    <t xml:space="preserve">Zero-AUX calibration cruiser</t>
  </si>
  <si>
    <t xml:space="preserve">Allowed only as an explicit stripped isolation fixture</t>
  </si>
  <si>
    <t xml:space="preserve">Normal player exact AUX allowance remains unpromoted</t>
  </si>
  <si>
    <t xml:space="preserve">Separates mechanics evidence from loadout availability</t>
  </si>
  <si>
    <t xml:space="preserve">summary.json</t>
  </si>
  <si>
    <t xml:space="preserve">Hull TL</t>
  </si>
  <si>
    <t xml:space="preserve">AUX expansion</t>
  </si>
  <si>
    <t xml:space="preserve">Higher Hull TL may expand AUX capacity; TL3 is an expansion milestone</t>
  </si>
  <si>
    <t xml:space="preserve">No exact player capacity promoted</t>
  </si>
  <si>
    <t xml:space="preserve">Reconciles early AUX with later structural growth</t>
  </si>
  <si>
    <t xml:space="preserve">Concept and Components correction</t>
  </si>
  <si>
    <t xml:space="preserve">Candidate structure</t>
  </si>
  <si>
    <t xml:space="preserve">Research</t>
  </si>
  <si>
    <t xml:space="preserve">No visible AUX tree</t>
  </si>
  <si>
    <t xml:space="preserve">Each AUX family uses existing broad categories plus &lt;=2 support floors</t>
  </si>
  <si>
    <t xml:space="preserve">standardAuxiliaryResearchTree = false</t>
  </si>
  <si>
    <t xml:space="preserve">Keeps research legible</t>
  </si>
  <si>
    <t xml:space="preserve">catalog schema</t>
  </si>
  <si>
    <t xml:space="preserve">Availability</t>
  </si>
  <si>
    <t xml:space="preserve">Earliest candidate review point</t>
  </si>
  <si>
    <t xml:space="preserve">Maximum of Item, primary/support, Hull, compatibility/capacity, and balance gates</t>
  </si>
  <si>
    <t xml:space="preserve">Every family remains candidate_only / not_promoted</t>
  </si>
  <si>
    <t xml:space="preserve">Prevents fixture-driven unlocks</t>
  </si>
  <si>
    <t xml:space="preserve">availability-gates.csv</t>
  </si>
  <si>
    <t xml:space="preserve">Raise entry TL first</t>
  </si>
  <si>
    <t xml:space="preserve">Move overpowered AUX to a later starting TL before reducing established mechanical identity</t>
  </si>
  <si>
    <t xml:space="preserve">All floors upward-only until promotion</t>
  </si>
  <si>
    <t xml:space="preserve">Protects identity and progression rhythm</t>
  </si>
  <si>
    <t xml:space="preserve">Locked review rule</t>
  </si>
  <si>
    <t xml:space="preserve">High-risk functions</t>
  </si>
  <si>
    <t xml:space="preserve">Renewable power, flat prevention, action capacity, movement denial, economy multipliers, cooperative stacking</t>
  </si>
  <si>
    <t xml:space="preserve">High-risk candidate floor &gt;= TL2; selected qualitative controls &gt;= TL3</t>
  </si>
  <si>
    <t xml:space="preserve">Targets threshold and compounding risks</t>
  </si>
  <si>
    <t xml:space="preserve">Scope</t>
  </si>
  <si>
    <t xml:space="preserve">No mechanics rewrite</t>
  </si>
  <si>
    <t xml:space="preserve">Checkpoint 43 changes installation and availability contracts only</t>
  </si>
  <si>
    <t xml:space="preserve">existingCombatMechanicsRevisedByThisCheckpoint = false</t>
  </si>
  <si>
    <t xml:space="preserve">Avoids unnecessary churn</t>
  </si>
  <si>
    <t xml:space="preserve">Locked scope</t>
  </si>
  <si>
    <t xml:space="preserve">Standard catalog boundary</t>
  </si>
  <si>
    <t xml:space="preserve">27 families; cloak excluded; alien/Precursor/rare items stay outside</t>
  </si>
  <si>
    <t xml:space="preserve">exact 27 unique IDs; no cloak</t>
  </si>
  <si>
    <t xml:space="preserve">Keeps ordinary progression distinct from discoveries</t>
  </si>
  <si>
    <t xml:space="preserve">Candidate Entry-Floor Review - all values remain non-production</t>
  </si>
  <si>
    <t xml:space="preserve">Risk group</t>
  </si>
  <si>
    <t xml:space="preserve">Candidate examples</t>
  </si>
  <si>
    <t xml:space="preserve">Earliest floor</t>
  </si>
  <si>
    <t xml:space="preserve">Reason for gate</t>
  </si>
  <si>
    <t xml:space="preserve">Required later evidence</t>
  </si>
  <si>
    <t xml:space="preserve">Promotion rule</t>
  </si>
  <si>
    <t xml:space="preserve">Bounded conventional</t>
  </si>
  <si>
    <t xml:space="preserve">Kinetic/AMM PDS, APU, Combat/Shield Battery, Ablative, basic utility</t>
  </si>
  <si>
    <t xml:space="preserve">TL1 candidates</t>
  </si>
  <si>
    <t xml:space="preserve">Finite, passive, or tightly bounded effects</t>
  </si>
  <si>
    <t xml:space="preserve">isolated opportunity-cost and pacing checks</t>
  </si>
  <si>
    <t xml:space="preserve">explicit later acceptance only</t>
  </si>
  <si>
    <t xml:space="preserve">Power / action thresholds</t>
  </si>
  <si>
    <t xml:space="preserve">Energy PDS, Auxiliary Reactor, Capacitor, Repair Drones</t>
  </si>
  <si>
    <t xml:space="preserve">TL2+</t>
  </si>
  <si>
    <t xml:space="preserve">Can fund or create additional actions</t>
  </si>
  <si>
    <t xml:space="preserve">full power-envelope and compulsory-choice review</t>
  </si>
  <si>
    <t xml:space="preserve">raise floor first</t>
  </si>
  <si>
    <t xml:space="preserve">High risk</t>
  </si>
  <si>
    <t xml:space="preserve">Information / networks</t>
  </si>
  <si>
    <t xml:space="preserve">ECM, ECCM, Communications Relay</t>
  </si>
  <si>
    <t xml:space="preserve">Cooperative effects can compound across ships</t>
  </si>
  <si>
    <t xml:space="preserve">multi-ship stacking, counter, LOS, and UI review</t>
  </si>
  <si>
    <t xml:space="preserve">Renewable defenses</t>
  </si>
  <si>
    <t xml:space="preserve">Shield Booster, Stabilizer</t>
  </si>
  <si>
    <t xml:space="preserve">Can extend pacing every turn</t>
  </si>
  <si>
    <t xml:space="preserve">packet, recharge, and power-margin studies</t>
  </si>
  <si>
    <t xml:space="preserve">Flat prevention</t>
  </si>
  <si>
    <t xml:space="preserve">Movement / force multiplication</t>
  </si>
  <si>
    <t xml:space="preserve">Tractor Projector, Auxiliary Hangar Bay</t>
  </si>
  <si>
    <t xml:space="preserve">TL3+</t>
  </si>
  <si>
    <t xml:space="preserve">Movement denial or extra craft changes encounter structure</t>
  </si>
  <si>
    <t xml:space="preserve">movement law, multi-source conflicts, boarding tempo</t>
  </si>
  <si>
    <t xml:space="preserve">Strategic economy</t>
  </si>
  <si>
    <t xml:space="preserve">Laboratory, Mining, Fabrication</t>
  </si>
  <si>
    <t xml:space="preserve">TL1-TL2 candidates</t>
  </si>
  <si>
    <t xml:space="preserve">Benefits compound outside one battle</t>
  </si>
  <si>
    <t xml:space="preserve">throughput, time, site, cargo, and anti-loop review</t>
  </si>
  <si>
    <t xml:space="preserve">raise floor or cap throughput</t>
  </si>
  <si>
    <t xml:space="preserve">Strategic risk</t>
  </si>
  <si>
    <t xml:space="preserve">Checkpoint 43 Design Decisions</t>
  </si>
  <si>
    <t xml:space="preserve">Checkpoint 43</t>
  </si>
  <si>
    <t xml:space="preserve">Checkpoint 44 - TL2 Attribution and Refinement Profile Matrix</t>
  </si>
  <si>
    <t xml:space="preserve">Diagnostic profiles only. Values remain candidate-only and not promoted; formulas account for registered coverage.</t>
  </si>
  <si>
    <t xml:space="preserve">Profile ID</t>
  </si>
  <si>
    <t xml:space="preserve">Display label</t>
  </si>
  <si>
    <t xml:space="preserve">Group</t>
  </si>
  <si>
    <t xml:space="preserve">Hull / AI / AP</t>
  </si>
  <si>
    <t xml:space="preserve">Shield / Recharge</t>
  </si>
  <si>
    <t xml:space="preserve">Power Margin</t>
  </si>
  <si>
    <t xml:space="preserve">Target</t>
  </si>
  <si>
    <t xml:space="preserve">Ship / Missile Move</t>
  </si>
  <si>
    <t xml:space="preserve">Kinetic D/SPEN/APEN/Acc/R</t>
  </si>
  <si>
    <t xml:space="preserve">Energy D/SPEN/APEN/Acc/R</t>
  </si>
  <si>
    <t xml:space="preserve">Missile D/SPEN/APEN/Guid/R</t>
  </si>
  <si>
    <t xml:space="preserve">Fixed Cross-TL</t>
  </si>
  <si>
    <t xml:space="preserve">Movement-Aware</t>
  </si>
  <si>
    <t xml:space="preserve">Same-TL</t>
  </si>
  <si>
    <t xml:space="preserve">Promotion</t>
  </si>
  <si>
    <t xml:space="preserve">tl2-attr-null-control</t>
  </si>
  <si>
    <t xml:space="preserve">TL2 Null-Vector Control</t>
  </si>
  <si>
    <t xml:space="preserve">null control</t>
  </si>
  <si>
    <t xml:space="preserve">12 / 4 / 0</t>
  </si>
  <si>
    <t xml:space="preserve">2 / 1</t>
  </si>
  <si>
    <t xml:space="preserve">1 / 2</t>
  </si>
  <si>
    <t xml:space="preserve">4 / 1 / 0 / 20 / 4</t>
  </si>
  <si>
    <t xml:space="preserve">3 / 1 / 1 / 25 / 5</t>
  </si>
  <si>
    <t xml:space="preserve">5 / 1 / 2 / 55 / 6</t>
  </si>
  <si>
    <t xml:space="preserve">not promoted</t>
  </si>
  <si>
    <t xml:space="preserve">tl2-attr-add-structure</t>
  </si>
  <si>
    <t xml:space="preserve">Add Structure</t>
  </si>
  <si>
    <t xml:space="preserve">additive probe</t>
  </si>
  <si>
    <t xml:space="preserve">structure</t>
  </si>
  <si>
    <t xml:space="preserve">13 / 5 / 0</t>
  </si>
  <si>
    <t xml:space="preserve">tl2-attr-remove-structure</t>
  </si>
  <si>
    <t xml:space="preserve">Remove Structure</t>
  </si>
  <si>
    <t xml:space="preserve">leave one out probe</t>
  </si>
  <si>
    <t xml:space="preserve">3 / 1</t>
  </si>
  <si>
    <t xml:space="preserve">2 / 3</t>
  </si>
  <si>
    <t xml:space="preserve">4 / 0 / 0 / 25 / 4</t>
  </si>
  <si>
    <t xml:space="preserve">3 / 1 / 1 / 30 / 5</t>
  </si>
  <si>
    <t xml:space="preserve">5 / 1 / 2 / 60 / 7</t>
  </si>
  <si>
    <t xml:space="preserve">tl2-attr-add-shields</t>
  </si>
  <si>
    <t xml:space="preserve">Add Shields</t>
  </si>
  <si>
    <t xml:space="preserve">tl2-attr-remove-shields</t>
  </si>
  <si>
    <t xml:space="preserve">Remove Shields</t>
  </si>
  <si>
    <t xml:space="preserve">tl2-attr-add-fire-control</t>
  </si>
  <si>
    <t xml:space="preserve">Add Fire Control</t>
  </si>
  <si>
    <t xml:space="preserve">fire-control</t>
  </si>
  <si>
    <t xml:space="preserve">tl2-attr-remove-fire-control</t>
  </si>
  <si>
    <t xml:space="preserve">Remove Fire Control</t>
  </si>
  <si>
    <t xml:space="preserve">tl2-attr-add-propulsion</t>
  </si>
  <si>
    <t xml:space="preserve">Add Propulsion</t>
  </si>
  <si>
    <t xml:space="preserve">tl2-attr-remove-propulsion</t>
  </si>
  <si>
    <t xml:space="preserve">Remove Propulsion</t>
  </si>
  <si>
    <t xml:space="preserve">tl2-attr-add-direct-fire</t>
  </si>
  <si>
    <t xml:space="preserve">Add Direct-Fire Weapons</t>
  </si>
  <si>
    <t xml:space="preserve">direct-fire</t>
  </si>
  <si>
    <t xml:space="preserve">tl2-attr-remove-direct-fire</t>
  </si>
  <si>
    <t xml:space="preserve">Remove Direct-Fire Weapons</t>
  </si>
  <si>
    <t xml:space="preserve">tl2-attr-add-missile-guidance</t>
  </si>
  <si>
    <t xml:space="preserve">Add Missile Guidance</t>
  </si>
  <si>
    <t xml:space="preserve">missile-guidance</t>
  </si>
  <si>
    <t xml:space="preserve">tl2-attr-remove-missile-guidance</t>
  </si>
  <si>
    <t xml:space="preserve">Remove Missile Guidance</t>
  </si>
  <si>
    <t xml:space="preserve">tl2-attr-add-power-logistics</t>
  </si>
  <si>
    <t xml:space="preserve">Add Power and Logistics</t>
  </si>
  <si>
    <t xml:space="preserve">power-logistics</t>
  </si>
  <si>
    <t xml:space="preserve">tl2-attr-remove-power-logistics</t>
  </si>
  <si>
    <t xml:space="preserve">Remove Power and Logistics</t>
  </si>
  <si>
    <t xml:space="preserve">tl2-identity-preserving-refinement</t>
  </si>
  <si>
    <t xml:space="preserve">identity source control</t>
  </si>
  <si>
    <t xml:space="preserve">tl2-refine-moderated-control</t>
  </si>
  <si>
    <t xml:space="preserve">Moderated Control Refinement</t>
  </si>
  <si>
    <t xml:space="preserve">refinement probe</t>
  </si>
  <si>
    <t xml:space="preserve">tl2-refine-control-shield-tempered</t>
  </si>
  <si>
    <t xml:space="preserve">Control and Shield-Tempered Refinement</t>
  </si>
  <si>
    <t xml:space="preserve">tl2-refine-control-structure-tempered</t>
  </si>
  <si>
    <t xml:space="preserve">Control and Structure-Tempered Refinement</t>
  </si>
  <si>
    <t xml:space="preserve">Checkpoint 44 - TL2 Package Attribution and Identity-Preserving Refinement</t>
  </si>
  <si>
    <t xml:space="preserve">Registered contract</t>
  </si>
  <si>
    <t xml:space="preserve">Value / profile</t>
  </si>
  <si>
    <t xml:space="preserve">Decision use</t>
  </si>
  <si>
    <t xml:space="preserve">Accepted source</t>
  </si>
  <si>
    <t xml:space="preserve">Checkpoint 43 identity package</t>
  </si>
  <si>
    <t xml:space="preserve">73.93% integrated conditional win</t>
  </si>
  <si>
    <t xml:space="preserve">retained tl2-itc01 output</t>
  </si>
  <si>
    <t xml:space="preserve">Evidence of compound overmatch</t>
  </si>
  <si>
    <t xml:space="preserve">Accepted diagnostic</t>
  </si>
  <si>
    <t xml:space="preserve">Attribution</t>
  </si>
  <si>
    <t xml:space="preserve">Bidirectional groups</t>
  </si>
  <si>
    <t xml:space="preserve">7 additive + 7 leave-one-out</t>
  </si>
  <si>
    <t xml:space="preserve">Add effect vs null; removal effect vs identity</t>
  </si>
  <si>
    <t xml:space="preserve">group-effects.csv</t>
  </si>
  <si>
    <t xml:space="preserve">Separate marginal and interaction effects</t>
  </si>
  <si>
    <t xml:space="preserve">Registered</t>
  </si>
  <si>
    <t xml:space="preserve">Null vector</t>
  </si>
  <si>
    <t xml:space="preserve">Exact TL1 combat vector</t>
  </si>
  <si>
    <t xml:space="preserve">49-51% fixed conditional share</t>
  </si>
  <si>
    <t xml:space="preserve">attribution-review.csv</t>
  </si>
  <si>
    <t xml:space="preserve">Detect hidden label/routing advantage</t>
  </si>
  <si>
    <t xml:space="preserve">Coverage</t>
  </si>
  <si>
    <t xml:space="preserve">Fixed Range 2-5</t>
  </si>
  <si>
    <t xml:space="preserve">All 19 profiles; 9 ordered pairs; reciprocal</t>
  </si>
  <si>
    <t xml:space="preserve">19 x 9 x 4 x 2 = 1,368</t>
  </si>
  <si>
    <t xml:space="preserve">variants.csv</t>
  </si>
  <si>
    <t xml:space="preserve">Complete cross-TL attribution</t>
  </si>
  <si>
    <t xml:space="preserve">Movement-aware</t>
  </si>
  <si>
    <t xml:space="preserve">7 selected profiles; two policies; reciprocal</t>
  </si>
  <si>
    <t xml:space="preserve">7 x 9 x 2 x 2 = 252</t>
  </si>
  <si>
    <t xml:space="preserve">range-and-policy-breakdown.csv</t>
  </si>
  <si>
    <t xml:space="preserve">Expose propulsion and range-control interactions</t>
  </si>
  <si>
    <t xml:space="preserve">Same-TL identity</t>
  </si>
  <si>
    <t xml:space="preserve">Identity + 3 probes; 9 pairs; Ranges 2-5</t>
  </si>
  <si>
    <t xml:space="preserve">4 x 9 x 4 = 144</t>
  </si>
  <si>
    <t xml:space="preserve">refinement-review.csv</t>
  </si>
  <si>
    <t xml:space="preserve">Reject universal same-TL dominance</t>
  </si>
  <si>
    <t xml:space="preserve">Refinement</t>
  </si>
  <si>
    <t xml:space="preserve">Moderated control</t>
  </si>
  <si>
    <t xml:space="preserve">Target +2; PDS +1 vs TL1</t>
  </si>
  <si>
    <t xml:space="preserve">Preserve all other identity-vector changes</t>
  </si>
  <si>
    <t xml:space="preserve">Test broad fire-control attribution</t>
  </si>
  <si>
    <t xml:space="preserve">Shield-tempered</t>
  </si>
  <si>
    <t xml:space="preserve">Moderated control + TL1 shield</t>
  </si>
  <si>
    <t xml:space="preserve">Shield 2; recharge unchanged</t>
  </si>
  <si>
    <t xml:space="preserve">Test control-defense interaction</t>
  </si>
  <si>
    <t xml:space="preserve">Structure-tempered</t>
  </si>
  <si>
    <t xml:space="preserve">Moderated control + TL1 Hull/AI</t>
  </si>
  <si>
    <t xml:space="preserve">Hull 12; AI 4</t>
  </si>
  <si>
    <t xml:space="preserve">Test control-structure interaction</t>
  </si>
  <si>
    <t xml:space="preserve">Selection</t>
  </si>
  <si>
    <t xml:space="preserve">Review band</t>
  </si>
  <si>
    <t xml:space="preserve">57-64%; nominal center 60%</t>
  </si>
  <si>
    <t xml:space="preserve">Convergent fixed + dynamic evidence required</t>
  </si>
  <si>
    <t xml:space="preserve">summary.json and review CSVs</t>
  </si>
  <si>
    <t xml:space="preserve">Convenience ranking is not promotion</t>
  </si>
  <si>
    <t xml:space="preserve">Non-blocking band</t>
  </si>
  <si>
    <t xml:space="preserve">Range 5 reach</t>
  </si>
  <si>
    <t xml:space="preserve">Report separately</t>
  </si>
  <si>
    <t xml:space="preserve">Not a standalone balance verdict</t>
  </si>
  <si>
    <t xml:space="preserve">Preserve weapon reach identity</t>
  </si>
  <si>
    <t xml:space="preserve">Locked interpretation</t>
  </si>
  <si>
    <t xml:space="preserve">No accepted combat-rule changes</t>
  </si>
  <si>
    <t xml:space="preserve">Study/catalog/runner outputs only</t>
  </si>
  <si>
    <t xml:space="preserve">Attribute before rebalance</t>
  </si>
  <si>
    <t xml:space="preserve">Coverage Accounting</t>
  </si>
  <si>
    <t xml:space="preserve">Family pairs</t>
  </si>
  <si>
    <t xml:space="preserve">Ranges / modes</t>
  </si>
  <si>
    <t xml:space="preserve">Variants</t>
  </si>
  <si>
    <t xml:space="preserve">Contract</t>
  </si>
  <si>
    <t xml:space="preserve">Fixed cross-TL</t>
  </si>
  <si>
    <t xml:space="preserve">All profiles</t>
  </si>
  <si>
    <t xml:space="preserve">Selected movement/refinement profiles</t>
  </si>
  <si>
    <t xml:space="preserve">Identity source + 3 probes</t>
  </si>
  <si>
    <t xml:space="preserve">New Checkpoint 44 study</t>
  </si>
  <si>
    <t xml:space="preserve">Must equal 1,764</t>
  </si>
  <si>
    <t xml:space="preserve">Retained trial variants</t>
  </si>
  <si>
    <t xml:space="preserve">Checkpoint 43 corpus</t>
  </si>
  <si>
    <t xml:space="preserve">Checkpoint total</t>
  </si>
  <si>
    <t xml:space="preserve">Must equal 3,114</t>
  </si>
  <si>
    <t xml:space="preserve">Refinement Probe Comparison</t>
  </si>
  <si>
    <t xml:space="preserve">Profile</t>
  </si>
  <si>
    <t xml:space="preserve">Hull / AI</t>
  </si>
  <si>
    <t xml:space="preserve">Target / PDS</t>
  </si>
  <si>
    <t xml:space="preserve">Weapon and propulsion vector</t>
  </si>
  <si>
    <t xml:space="preserve">Automatic promotion</t>
  </si>
  <si>
    <t xml:space="preserve">Identity source</t>
  </si>
  <si>
    <t xml:space="preserve">13 / 5</t>
  </si>
  <si>
    <t xml:space="preserve">15 / 48</t>
  </si>
  <si>
    <t xml:space="preserve">Retained complete identity vector</t>
  </si>
  <si>
    <t xml:space="preserve">No</t>
  </si>
  <si>
    <t xml:space="preserve">Source overmatch control</t>
  </si>
  <si>
    <t xml:space="preserve">12 / 46</t>
  </si>
  <si>
    <t xml:space="preserve">Identity weapons, propulsion, guidance, power</t>
  </si>
  <si>
    <t xml:space="preserve">Isolate global control contribution</t>
  </si>
  <si>
    <t xml:space="preserve">Control + shield tempered</t>
  </si>
  <si>
    <t xml:space="preserve">Test control-shield interaction</t>
  </si>
  <si>
    <t xml:space="preserve">Control + structure tempered</t>
  </si>
  <si>
    <t xml:space="preserve">12 / 4</t>
  </si>
  <si>
    <t xml:space="preserve">Checkpoint 44 Design Decisions</t>
  </si>
  <si>
    <t xml:space="preserve">D-399</t>
  </si>
  <si>
    <t xml:space="preserve">Treat the 73.93-percent identity result as compound-overmatch evidence, not a reason to discard the direction or promote the package.</t>
  </si>
  <si>
    <t xml:space="preserve">Checkpoint 44</t>
  </si>
  <si>
    <t xml:space="preserve">D-400</t>
  </si>
  <si>
    <t xml:space="preserve">Attribute strength across seven groups with additive and leave-one-out probes.</t>
  </si>
  <si>
    <t xml:space="preserve">D-401</t>
  </si>
  <si>
    <t xml:space="preserve">Require an exact TL1 null-vector control and a 49-51 percent fixed conditional share.</t>
  </si>
  <si>
    <t xml:space="preserve">D-402</t>
  </si>
  <si>
    <t xml:space="preserve">Use complete fixed Range 2-5 attribution and selected Scripted Pursuit / Preferred Range movement evidence.</t>
  </si>
  <si>
    <t xml:space="preserve">D-403</t>
  </si>
  <si>
    <t xml:space="preserve">Preregister moderated-control, shield-tempered, and structure-tempered refinement probes.</t>
  </si>
  <si>
    <t xml:space="preserve">D-404</t>
  </si>
  <si>
    <t xml:space="preserve">Do not auto-promote the profile nearest 60 percent; require convergent evidence.</t>
  </si>
  <si>
    <t xml:space="preserve">D-405</t>
  </si>
  <si>
    <t xml:space="preserve">Retain aggressive and specialization-forward controls in the accepted 324-variant stage.</t>
  </si>
  <si>
    <t xml:space="preserve">D-406</t>
  </si>
  <si>
    <t xml:space="preserve">Report additive and leave-one-out effects separately and expose interaction asymmetry.</t>
  </si>
  <si>
    <t xml:space="preserve">D-407</t>
  </si>
  <si>
    <t xml:space="preserve">Use primary-study trial counts only for trial-bearing studies, not deterministic catalogs.</t>
  </si>
  <si>
    <t xml:space="preserve">Checkpoint 45 - TL2 Defensive Micro-Refinement Profile Matrix</t>
  </si>
  <si>
    <t xml:space="preserve">Diagnostic profiles only. Preserve family identity; review dominance and irrelevance rather than forcing equal results.</t>
  </si>
  <si>
    <t xml:space="preserve">Preferred Range</t>
  </si>
  <si>
    <t xml:space="preserve">Pursuit Combat</t>
  </si>
  <si>
    <t xml:space="preserve">Escape Control</t>
  </si>
  <si>
    <t xml:space="preserve">Design thesis</t>
  </si>
  <si>
    <t xml:space="preserve">tl2-r45-null-control</t>
  </si>
  <si>
    <t xml:space="preserve">10 / 45</t>
  </si>
  <si>
    <t xml:space="preserve">Exact TL1 combat vector under a TL2 diagnostic identifier; verifies that routing and labels create no hidden advantage.</t>
  </si>
  <si>
    <t xml:space="preserve">tl2-r45-identity-control</t>
  </si>
  <si>
    <t xml:space="preserve">Checkpoint 42 Identity Control</t>
  </si>
  <si>
    <t xml:space="preserve">retained control</t>
  </si>
  <si>
    <t xml:space="preserve">Retains the original identity-preserving package as an upper comparison control without promoting any value.</t>
  </si>
  <si>
    <t xml:space="preserve">tl2-r45-shield-tempered-control</t>
  </si>
  <si>
    <t xml:space="preserve">Checkpoint 44 Shield-Tempered Control</t>
  </si>
  <si>
    <t xml:space="preserve">Retains the best prior no-shield-increment probe so new micro-refinements can be compared to accepted attribution evidence.</t>
  </si>
  <si>
    <t xml:space="preserve">tl2-r45-structure-tempered-control</t>
  </si>
  <si>
    <t xml:space="preserve">Checkpoint 44 Structure-Tempered Control</t>
  </si>
  <si>
    <t xml:space="preserve">Retains the prior no-structure-increment probe so the cost of the TL2 shield step remains visible.</t>
  </si>
  <si>
    <t xml:space="preserve">tl2-r45-defense-neutral</t>
  </si>
  <si>
    <t xml:space="preserve">Defense-Neutral Anchor</t>
  </si>
  <si>
    <t xml:space="preserve">micro refinement probe</t>
  </si>
  <si>
    <t xml:space="preserve">Uses moderated fire control, full propulsion, power, weapons, and missile guidance while retaining TL1 Hull, Armor Integrity, and Shield Capacity.</t>
  </si>
  <si>
    <t xml:space="preserve">tl2-r45-hull-step</t>
  </si>
  <si>
    <t xml:space="preserve">Hull-Step Candidate</t>
  </si>
  <si>
    <t xml:space="preserve">13 / 4</t>
  </si>
  <si>
    <t xml:space="preserve">Adds one Hull point to the defense-neutral anchor while retaining TL1 Armor Integrity and Shield Capacity.</t>
  </si>
  <si>
    <t xml:space="preserve">tl2-r45-armor-integrity-step</t>
  </si>
  <si>
    <t xml:space="preserve">Armor-Integrity-Step Candidate</t>
  </si>
  <si>
    <t xml:space="preserve">12 / 5</t>
  </si>
  <si>
    <t xml:space="preserve">Adds one Armor Integrity point to the defense-neutral anchor while retaining TL1 Hull and Shield Capacity.</t>
  </si>
  <si>
    <t xml:space="preserve">tl2-r45-hull-step-conservative-direct-fire</t>
  </si>
  <si>
    <t xml:space="preserve">Hull Step + Conservative Direct Fire</t>
  </si>
  <si>
    <t xml:space="preserve">4 / 0 / 0 / 23 / 4</t>
  </si>
  <si>
    <t xml:space="preserve">3 / 1 / 1 / 28 / 5</t>
  </si>
  <si>
    <t xml:space="preserve">Retains the one-Hull structural step but reduces the direct-fire accuracy increment from five to three percentage points for both direct-fire families.</t>
  </si>
  <si>
    <t xml:space="preserve">tl2-r45-armor-step-conservative-direct-fire</t>
  </si>
  <si>
    <t xml:space="preserve">Armor Step + Conservative Direct Fire</t>
  </si>
  <si>
    <t xml:space="preserve">Retains the one-Armor-Integrity structural step but reduces the direct-fire accuracy increment from five to three percentage points for both direct-fire families.</t>
  </si>
  <si>
    <t xml:space="preserve">Checkpoint 45 - TL2 Defensive Micro-Refinement and Choice Viability</t>
  </si>
  <si>
    <t xml:space="preserve">Philosophy</t>
  </si>
  <si>
    <t xml:space="preserve">Reasonable feel</t>
  </si>
  <si>
    <t xml:space="preserve">Meaningful asymmetry, not exact equality</t>
  </si>
  <si>
    <t xml:space="preserve">Era-specific leaders allowed</t>
  </si>
  <si>
    <t xml:space="preserve">all review outputs</t>
  </si>
  <si>
    <t xml:space="preserve">Preserve distinct choices</t>
  </si>
  <si>
    <t xml:space="preserve">Preserve family roles</t>
  </si>
  <si>
    <t xml:space="preserve">Kinetic, Energy, Missile remain in family</t>
  </si>
  <si>
    <t xml:space="preserve">At least two meaningful differences per pair</t>
  </si>
  <si>
    <t xml:space="preserve">technology-profiles.csv and gate</t>
  </si>
  <si>
    <t xml:space="preserve">Reject convergence</t>
  </si>
  <si>
    <t xml:space="preserve">Blocking structural gate</t>
  </si>
  <si>
    <t xml:space="preserve">Defense-neutral anchor</t>
  </si>
  <si>
    <t xml:space="preserve">Hull 12; AI 4; Shield 2</t>
  </si>
  <si>
    <t xml:space="preserve">Target +12; PDS 46; full movement/power/guidance</t>
  </si>
  <si>
    <t xml:space="preserve">combat-outcome-review.csv</t>
  </si>
  <si>
    <t xml:space="preserve">Lower-bound package probe</t>
  </si>
  <si>
    <t xml:space="preserve">One-Hull step</t>
  </si>
  <si>
    <t xml:space="preserve">Hull 13; AI 4; Shield 2</t>
  </si>
  <si>
    <t xml:space="preserve">Single structural increment</t>
  </si>
  <si>
    <t xml:space="preserve">Isolate Hull feel</t>
  </si>
  <si>
    <t xml:space="preserve">One-AI step</t>
  </si>
  <si>
    <t xml:space="preserve">Hull 12; AI 5; Shield 2</t>
  </si>
  <si>
    <t xml:space="preserve">Isolate Armor Integrity feel</t>
  </si>
  <si>
    <t xml:space="preserve">Conservative direct fire</t>
  </si>
  <si>
    <t xml:space="preserve">Kinetic +3; Energy +3 accuracy over TL1</t>
  </si>
  <si>
    <t xml:space="preserve">Keep five-point relative gap and all family distinctions</t>
  </si>
  <si>
    <t xml:space="preserve">same-family-progression.csv</t>
  </si>
  <si>
    <t xml:space="preserve">Reduce offense without convergence</t>
  </si>
  <si>
    <t xml:space="preserve">Reporting</t>
  </si>
  <si>
    <t xml:space="preserve">Headline aggregate</t>
  </si>
  <si>
    <t xml:space="preserve">Pooled trial outcomes</t>
  </si>
  <si>
    <t xml:space="preserve">Always pair with decisive coverage</t>
  </si>
  <si>
    <t xml:space="preserve">Prevent low-resolution inflation</t>
  </si>
  <si>
    <t xml:space="preserve">Separate lanes</t>
  </si>
  <si>
    <t xml:space="preserve">Preferred; TL2 pursuit; TL2 escape</t>
  </si>
  <si>
    <t xml:space="preserve">Escape excluded from combat aggregate</t>
  </si>
  <si>
    <t xml:space="preserve">movement-outcome-coverage.csv</t>
  </si>
  <si>
    <t xml:space="preserve">Distinguish combat from withdrawal</t>
  </si>
  <si>
    <t xml:space="preserve">Choice</t>
  </si>
  <si>
    <t xml:space="preserve">Mutual-envelope review</t>
  </si>
  <si>
    <t xml:space="preserve">Both weapons must threaten at initial range</t>
  </si>
  <si>
    <t xml:space="preserve">&gt;75% dominance; &lt;25% irrelevance are warnings</t>
  </si>
  <si>
    <t xml:space="preserve">family-choice-viability.csv</t>
  </si>
  <si>
    <t xml:space="preserve">Detect compulsory choice</t>
  </si>
  <si>
    <t xml:space="preserve">Same-family review</t>
  </si>
  <si>
    <t xml:space="preserve">K/K, E/E, M/M independently</t>
  </si>
  <si>
    <t xml:space="preserve">&gt;80% is a warning, not automatic rejection</t>
  </si>
  <si>
    <t xml:space="preserve">Allow era trends without runaway scaling</t>
  </si>
  <si>
    <t xml:space="preserve">No automatic selection</t>
  </si>
  <si>
    <t xml:space="preserve">No exact 60% requirement</t>
  </si>
  <si>
    <t xml:space="preserve">Convergent feel, coverage, pacing, identity</t>
  </si>
  <si>
    <t xml:space="preserve">summary and review CSVs</t>
  </si>
  <si>
    <t xml:space="preserve">Preserve TL3 space</t>
  </si>
  <si>
    <t xml:space="preserve">Not promoted</t>
  </si>
  <si>
    <t xml:space="preserve">Study/catalog/reporting only</t>
  </si>
  <si>
    <t xml:space="preserve">Refine before AUX performance work</t>
  </si>
  <si>
    <t xml:space="preserve">Paired Range 2-5</t>
  </si>
  <si>
    <t xml:space="preserve">Paired ordinary movement</t>
  </si>
  <si>
    <t xml:space="preserve">Pursuit combat</t>
  </si>
  <si>
    <t xml:space="preserve">TL2 profile is pursuer</t>
  </si>
  <si>
    <t xml:space="preserve">Escape control</t>
  </si>
  <si>
    <t xml:space="preserve">TL2 profile is withdrawer</t>
  </si>
  <si>
    <t xml:space="preserve">Same-TL choice</t>
  </si>
  <si>
    <t xml:space="preserve">Selected identity grids</t>
  </si>
  <si>
    <t xml:space="preserve">New Checkpoint 45 study</t>
  </si>
  <si>
    <t xml:space="preserve">Must equal 1,188</t>
  </si>
  <si>
    <t xml:space="preserve">Accepted Checkpoint 44 corpus</t>
  </si>
  <si>
    <t xml:space="preserve">Must equal 4,302</t>
  </si>
  <si>
    <t xml:space="preserve">Reporting and Interpretation</t>
  </si>
  <si>
    <t xml:space="preserve">Signal</t>
  </si>
  <si>
    <t xml:space="preserve">Headline calculation</t>
  </si>
  <si>
    <t xml:space="preserve">Coverage rule</t>
  </si>
  <si>
    <t xml:space="preserve">Blocking?</t>
  </si>
  <si>
    <t xml:space="preserve">Acceptable asymmetry</t>
  </si>
  <si>
    <t xml:space="preserve">Unhealthy pattern</t>
  </si>
  <si>
    <t xml:space="preserve">Cross-TL package</t>
  </si>
  <si>
    <t xml:space="preserve">Pooled profile wins / pooled decisive trials</t>
  </si>
  <si>
    <t xml:space="preserve">&lt;50% insufficient; &lt;80% review</t>
  </si>
  <si>
    <t xml:space="preserve">No exact band</t>
  </si>
  <si>
    <t xml:space="preserve">Noticeable TL2 advantage</t>
  </si>
  <si>
    <t xml:space="preserve">Broad package overmatch</t>
  </si>
  <si>
    <t xml:space="preserve">Separate pooled result</t>
  </si>
  <si>
    <t xml:space="preserve">&gt;=80% ordinary combat coverage</t>
  </si>
  <si>
    <t xml:space="preserve">Coverage only</t>
  </si>
  <si>
    <t xml:space="preserve">Envelope-specific strengths</t>
  </si>
  <si>
    <t xml:space="preserve">One package wins everywhere</t>
  </si>
  <si>
    <t xml:space="preserve">TL2 Side A pursuer only</t>
  </si>
  <si>
    <t xml:space="preserve">&gt;=80% decisive coverage</t>
  </si>
  <si>
    <t xml:space="preserve">Propulsion has tactical value</t>
  </si>
  <si>
    <t xml:space="preserve">Pursuit lane never resolves</t>
  </si>
  <si>
    <t xml:space="preserve">Disengagement and resolution</t>
  </si>
  <si>
    <t xml:space="preserve">Reported separately</t>
  </si>
  <si>
    <t xml:space="preserve">Faster ship may escape</t>
  </si>
  <si>
    <t xml:space="preserve">Folded into combat percentage</t>
  </si>
  <si>
    <t xml:space="preserve">Same-family progression</t>
  </si>
  <si>
    <t xml:space="preserve">K/K, E/E, M/M separately</t>
  </si>
  <si>
    <t xml:space="preserve">&gt;=50% decisive for warning</t>
  </si>
  <si>
    <t xml:space="preserve">Era-specific family lead</t>
  </si>
  <si>
    <t xml:space="preserve">&gt;80% broad progression</t>
  </si>
  <si>
    <t xml:space="preserve">Cross-family choice</t>
  </si>
  <si>
    <t xml:space="preserve">Mutually legal fixed ranges</t>
  </si>
  <si>
    <t xml:space="preserve">Strong preferred matchup</t>
  </si>
  <si>
    <t xml:space="preserve">&gt;75% dominance or &lt;25% relevance</t>
  </si>
  <si>
    <t xml:space="preserve">Checkpoint 45 Design Decisions</t>
  </si>
  <si>
    <t xml:space="preserve">D-408</t>
  </si>
  <si>
    <t xml:space="preserve">Seek reasonable feel and meaningful choice rather than exact numerical equality.</t>
  </si>
  <si>
    <t xml:space="preserve">Checkpoint 45</t>
  </si>
  <si>
    <t xml:space="preserve">D-409</t>
  </si>
  <si>
    <t xml:space="preserve">Preserve family identity before balancing strength; do not converge characteristics to equalize results.</t>
  </si>
  <si>
    <t xml:space="preserve">D-410</t>
  </si>
  <si>
    <t xml:space="preserve">Allow era-specific Energy, Missile, or Kinetic leadership when alternatives remain credible.</t>
  </si>
  <si>
    <t xml:space="preserve">D-411</t>
  </si>
  <si>
    <t xml:space="preserve">Use family-consistent characteristics, costs, counters, limitations, and TL placement as balance knobs.</t>
  </si>
  <si>
    <t xml:space="preserve">D-412</t>
  </si>
  <si>
    <t xml:space="preserve">Temper defense first while retaining propulsion, power/logistics, guidance, and weapon roles absent contrary evidence.</t>
  </si>
  <si>
    <t xml:space="preserve">D-413</t>
  </si>
  <si>
    <t xml:space="preserve">Test separate one-Hull and one-Armor-Integrity increments.</t>
  </si>
  <si>
    <t xml:space="preserve">D-414</t>
  </si>
  <si>
    <t xml:space="preserve">Test smaller direct-fire accuracy growth while preserving Kinetic/Energy separation and identity.</t>
  </si>
  <si>
    <t xml:space="preserve">D-415</t>
  </si>
  <si>
    <t xml:space="preserve">Use pooled outcomes and decisive coverage as headline reporting.</t>
  </si>
  <si>
    <t xml:space="preserve">D-416</t>
  </si>
  <si>
    <t xml:space="preserve">Separate Preferred Range, valid pursuit combat, and escape controls.</t>
  </si>
  <si>
    <t xml:space="preserve">D-417</t>
  </si>
  <si>
    <t xml:space="preserve">Evaluate dominance only in mutually legal envelopes; retain reach stress separately.</t>
  </si>
  <si>
    <t xml:space="preserve">D-418</t>
  </si>
  <si>
    <t xml:space="preserve">Keep dominance and progression thresholds non-blocking and promote no profile automatically.</t>
  </si>
  <si>
    <t xml:space="preserve">Checkpoint 46 - TL2 Dynamic Weapon-Choice Profiles</t>
  </si>
  <si>
    <t xml:space="preserve">Two candidate-only profiles. The one-point structural distinction is isolated while weapon-family identity and range doctrines remain unchanged.</t>
  </si>
  <si>
    <t xml:space="preserve">Kinetic DAM / ACC / RNG</t>
  </si>
  <si>
    <t xml:space="preserve">Energy DAM / ACC / RNG</t>
  </si>
  <si>
    <t xml:space="preserve">Missile DAM / ACC / RNG</t>
  </si>
  <si>
    <t xml:space="preserve">Missile Guidance</t>
  </si>
  <si>
    <t xml:space="preserve">Kinetic Power</t>
  </si>
  <si>
    <t xml:space="preserve">Energy Power</t>
  </si>
  <si>
    <t xml:space="preserve">Missile Power</t>
  </si>
  <si>
    <t xml:space="preserve">micro_refinement_probe</t>
  </si>
  <si>
    <t xml:space="preserve">4 / 23 / 4</t>
  </si>
  <si>
    <t xml:space="preserve">3 / 28 / 5</t>
  </si>
  <si>
    <t xml:space="preserve">5 / 0 / 7</t>
  </si>
  <si>
    <t xml:space="preserve">dynamic-choice-confirmation-candidate-not-promoted</t>
  </si>
  <si>
    <t xml:space="preserve">Checkpoint 46 - Dynamic Weapon-Choice Confirmation</t>
  </si>
  <si>
    <t xml:space="preserve">Identity-preserving dynamic evidence. Range-defined advantages are acceptable; broad compulsory choice is the review concern.</t>
  </si>
  <si>
    <t xml:space="preserve">Leading reference</t>
  </si>
  <si>
    <t xml:space="preserve">Armor Integrity +1; conservative direct fire</t>
  </si>
  <si>
    <t xml:space="preserve">all reports</t>
  </si>
  <si>
    <t xml:space="preserve">Potential provisional TL2 anchor</t>
  </si>
  <si>
    <t xml:space="preserve">Structural control</t>
  </si>
  <si>
    <t xml:space="preserve">Hull +1; otherwise identical</t>
  </si>
  <si>
    <t xml:space="preserve">Test structural identity sensitivity</t>
  </si>
  <si>
    <t xml:space="preserve">Families</t>
  </si>
  <si>
    <t xml:space="preserve">Pair coverage</t>
  </si>
  <si>
    <t xml:space="preserve">Kinetic/Energy; Kinetic/Missile; Energy/Missile</t>
  </si>
  <si>
    <t xml:space="preserve">3 unordered pairs</t>
  </si>
  <si>
    <t xml:space="preserve">pairwise-choice-summary.csv</t>
  </si>
  <si>
    <t xml:space="preserve">Confirm meaningful choices</t>
  </si>
  <si>
    <t xml:space="preserve">Orientation</t>
  </si>
  <si>
    <t xml:space="preserve">Both side orders</t>
  </si>
  <si>
    <t xml:space="preserve">Every pair reversed</t>
  </si>
  <si>
    <t xml:space="preserve">2 orientations with paired stream</t>
  </si>
  <si>
    <t xml:space="preserve">orientation-review.csv</t>
  </si>
  <si>
    <t xml:space="preserve">Detect side/order bias</t>
  </si>
  <si>
    <t xml:space="preserve">Blocking coverage</t>
  </si>
  <si>
    <t xml:space="preserve">Dynamic</t>
  </si>
  <si>
    <t xml:space="preserve">Starting ranges</t>
  </si>
  <si>
    <t xml:space="preserve">1 through 6</t>
  </si>
  <si>
    <t xml:space="preserve">Family-specific Preferred Range</t>
  </si>
  <si>
    <t xml:space="preserve">starting-range-choice-review.csv</t>
  </si>
  <si>
    <t xml:space="preserve">Test close, middle, standoff entry</t>
  </si>
  <si>
    <t xml:space="preserve">Mutual envelope</t>
  </si>
  <si>
    <t xml:space="preserve">Ranges 2 through 4</t>
  </si>
  <si>
    <t xml:space="preserve">HoldRange2/3/4</t>
  </si>
  <si>
    <t xml:space="preserve">fixed-mutual-control.csv</t>
  </si>
  <si>
    <t xml:space="preserve">Retain close-combat diagnostic</t>
  </si>
  <si>
    <t xml:space="preserve">Headline</t>
  </si>
  <si>
    <t xml:space="preserve">Pooled outcomes + decisive coverage</t>
  </si>
  <si>
    <t xml:space="preserve">No equal-weight inflation</t>
  </si>
  <si>
    <t xml:space="preserve">all primary CSVs</t>
  </si>
  <si>
    <t xml:space="preserve">Protect interpretation</t>
  </si>
  <si>
    <t xml:space="preserve">Parity</t>
  </si>
  <si>
    <t xml:space="preserve">Not required</t>
  </si>
  <si>
    <t xml:space="preserve">Range/era advantages accepted</t>
  </si>
  <si>
    <t xml:space="preserve">family-role-expression.csv</t>
  </si>
  <si>
    <t xml:space="preserve">Preserve family uniqueness</t>
  </si>
  <si>
    <t xml:space="preserve">Non-blocking</t>
  </si>
  <si>
    <t xml:space="preserve">Warning</t>
  </si>
  <si>
    <t xml:space="preserve">Broad dominance</t>
  </si>
  <si>
    <t xml:space="preserve">&gt;75% pooled and dominant at &gt;=4 starts</t>
  </si>
  <si>
    <t xml:space="preserve">Minimum 50% decisive coverage</t>
  </si>
  <si>
    <t xml:space="preserve">Review compulsory choice</t>
  </si>
  <si>
    <t xml:space="preserve">Irrelevance</t>
  </si>
  <si>
    <t xml:space="preserve">No start with &gt;=25% share</t>
  </si>
  <si>
    <t xml:space="preserve">Review missing tactical role</t>
  </si>
  <si>
    <t xml:space="preserve">Complete evidence + judgment required</t>
  </si>
  <si>
    <t xml:space="preserve">profile-choice-overview.csv</t>
  </si>
  <si>
    <t xml:space="preserve">Protect TL3 design space</t>
  </si>
  <si>
    <t xml:space="preserve">Pairs</t>
  </si>
  <si>
    <t xml:space="preserve">Ranges / starts</t>
  </si>
  <si>
    <t xml:space="preserve">Dynamic Preferred Range</t>
  </si>
  <si>
    <t xml:space="preserve">Starting ranges 1-6</t>
  </si>
  <si>
    <t xml:space="preserve">Fixed mutual controls</t>
  </si>
  <si>
    <t xml:space="preserve">Ranges 2-4</t>
  </si>
  <si>
    <t xml:space="preserve">Checkpoint 46 primary total</t>
  </si>
  <si>
    <t xml:space="preserve">108 variants</t>
  </si>
  <si>
    <t xml:space="preserve">Retained prior trial variants</t>
  </si>
  <si>
    <t xml:space="preserve">Accepted through 45a</t>
  </si>
  <si>
    <t xml:space="preserve">Full Checkpoint 46 trial variants</t>
  </si>
  <si>
    <t xml:space="preserve">4,410 variants</t>
  </si>
  <si>
    <t xml:space="preserve">Trials at 10,000 per variant</t>
  </si>
  <si>
    <t xml:space="preserve">44.10 million trials</t>
  </si>
  <si>
    <t xml:space="preserve">Required Outputs</t>
  </si>
  <si>
    <t xml:space="preserve">Starting-range choice</t>
  </si>
  <si>
    <t xml:space="preserve">Pooled pair at each start</t>
  </si>
  <si>
    <t xml:space="preserve">Decisive coverage + share</t>
  </si>
  <si>
    <t xml:space="preserve">Range classification</t>
  </si>
  <si>
    <t xml:space="preserve">Range-defined credibility</t>
  </si>
  <si>
    <t xml:space="preserve">Required</t>
  </si>
  <si>
    <t xml:space="preserve">Pairwise summary</t>
  </si>
  <si>
    <t xml:space="preserve">All starts pooled</t>
  </si>
  <si>
    <t xml:space="preserve">Dominance / irrelevance</t>
  </si>
  <si>
    <t xml:space="preserve">Choice classification</t>
  </si>
  <si>
    <t xml:space="preserve">Identify compulsory risk</t>
  </si>
  <si>
    <t xml:space="preserve">Family role</t>
  </si>
  <si>
    <t xml:space="preserve">Close / middle / standoff / all</t>
  </si>
  <si>
    <t xml:space="preserve">Family pooled share</t>
  </si>
  <si>
    <t xml:space="preserve">Role expression</t>
  </si>
  <si>
    <t xml:space="preserve">Confirm tactical identity</t>
  </si>
  <si>
    <t xml:space="preserve">Family as Side A / Side B</t>
  </si>
  <si>
    <t xml:space="preserve">Absolute difference</t>
  </si>
  <si>
    <t xml:space="preserve">Orientation warning</t>
  </si>
  <si>
    <t xml:space="preserve">Detect order bias</t>
  </si>
  <si>
    <t xml:space="preserve">Fixed control</t>
  </si>
  <si>
    <t xml:space="preserve">Mutual-envelope share</t>
  </si>
  <si>
    <t xml:space="preserve">Close-combat diagnostic</t>
  </si>
  <si>
    <t xml:space="preserve">Retain context</t>
  </si>
  <si>
    <t xml:space="preserve">Profile overview</t>
  </si>
  <si>
    <t xml:space="preserve">Leading vs control</t>
  </si>
  <si>
    <t xml:space="preserve">Warning counts</t>
  </si>
  <si>
    <t xml:space="preserve">Candidate status</t>
  </si>
  <si>
    <t xml:space="preserve">No auto promotion</t>
  </si>
  <si>
    <t xml:space="preserve">Checkpoint 46 Design Decisions</t>
  </si>
  <si>
    <t xml:space="preserve">Checkpoint 46</t>
  </si>
  <si>
    <t xml:space="preserve">Checkpoint 47 - Opponent-Aware Range Policy</t>
  </si>
  <si>
    <t xml:space="preserve">A generic own-envelope/opponent-envelope doctrine. Requested range is derived from family identity; no weapon value changes.</t>
  </si>
  <si>
    <t xml:space="preserve">Own family</t>
  </si>
  <si>
    <t xml:space="preserve">Opponent family</t>
  </si>
  <si>
    <t xml:space="preserve">Own weapon max</t>
  </si>
  <si>
    <t xml:space="preserve">Own useful outer</t>
  </si>
  <si>
    <t xml:space="preserve">Own preferred max</t>
  </si>
  <si>
    <t xml:space="preserve">Opponent weapon max</t>
  </si>
  <si>
    <t xml:space="preserve">Requested range</t>
  </si>
  <si>
    <t xml:space="preserve">Decision basis</t>
  </si>
  <si>
    <t xml:space="preserve">Policy interpretation</t>
  </si>
  <si>
    <t xml:space="preserve">Contract status</t>
  </si>
  <si>
    <t xml:space="preserve">Seek outer established preferred band</t>
  </si>
  <si>
    <t xml:space="preserve">Seek outer useful envelope</t>
  </si>
  <si>
    <t xml:space="preserve">Policy comparison</t>
  </si>
  <si>
    <t xml:space="preserve">Policy ID</t>
  </si>
  <si>
    <t xml:space="preserve">Movement mode</t>
  </si>
  <si>
    <t xml:space="preserve">Starts</t>
  </si>
  <si>
    <t xml:space="preserve">family-preferred-control</t>
  </si>
  <si>
    <t xml:space="preserve">PreferredRange</t>
  </si>
  <si>
    <t xml:space="preserve">Retained control</t>
  </si>
  <si>
    <t xml:space="preserve">opponent-aware-range</t>
  </si>
  <si>
    <t xml:space="preserve">OpponentAwareRange</t>
  </si>
  <si>
    <t xml:space="preserve">Candidate policy</t>
  </si>
  <si>
    <t xml:space="preserve">fixed-range5-control</t>
  </si>
  <si>
    <t xml:space="preserve">HoldRange5</t>
  </si>
  <si>
    <t xml:space="preserve">Separate Kinetic/Energy control</t>
  </si>
  <si>
    <t xml:space="preserve">Checkpoint 47 - Opponent-Aware Range Control and Promotion Decision</t>
  </si>
  <si>
    <t xml:space="preserve">Direct policy comparison before a human TL2 promotion decision. Meaningful asymmetric choice is required; exact parity is not.</t>
  </si>
  <si>
    <t xml:space="preserve">No value changes</t>
  </si>
  <si>
    <t xml:space="preserve">Verify structural sensitivity</t>
  </si>
  <si>
    <t xml:space="preserve">Family-only Preferred Range</t>
  </si>
  <si>
    <t xml:space="preserve">Existing doctrine</t>
  </si>
  <si>
    <t xml:space="preserve">policy-comparison-summary.csv</t>
  </si>
  <si>
    <t xml:space="preserve">Measure policy effect</t>
  </si>
  <si>
    <t xml:space="preserve">Opponent-aware range</t>
  </si>
  <si>
    <t xml:space="preserve">Own + observed opponent envelope</t>
  </si>
  <si>
    <t xml:space="preserve">policy-decision-telemetry.csv</t>
  </si>
  <si>
    <t xml:space="preserve">Test tactical exploitation</t>
  </si>
  <si>
    <t xml:space="preserve">K/E; K/M; E/M</t>
  </si>
  <si>
    <t xml:space="preserve">Every dynamic pair reversed</t>
  </si>
  <si>
    <t xml:space="preserve">Paired random streams</t>
  </si>
  <si>
    <t xml:space="preserve">Both policies</t>
  </si>
  <si>
    <t xml:space="preserve">opponent-aware-starting-range-review.csv</t>
  </si>
  <si>
    <t xml:space="preserve">Test tactical entry conditions</t>
  </si>
  <si>
    <t xml:space="preserve">Range 5 Energy control</t>
  </si>
  <si>
    <t xml:space="preserve">Kinetic/Energy only</t>
  </si>
  <si>
    <t xml:space="preserve">fixed-range5-energy-control.csv</t>
  </si>
  <si>
    <t xml:space="preserve">Verify raw standoff opportunity</t>
  </si>
  <si>
    <t xml:space="preserve">Separate diagnostic</t>
  </si>
  <si>
    <t xml:space="preserve">Every family direction</t>
  </si>
  <si>
    <t xml:space="preserve">Range + basis</t>
  </si>
  <si>
    <t xml:space="preserve">Audit policy behavior</t>
  </si>
  <si>
    <t xml:space="preserve">Irrelevance count</t>
  </si>
  <si>
    <t xml:space="preserve">Direct pair assessment</t>
  </si>
  <si>
    <t xml:space="preserve">No display-string inference</t>
  </si>
  <si>
    <t xml:space="preserve">promotion-decision-overview.csv</t>
  </si>
  <si>
    <t xml:space="preserve">Correct summary defect</t>
  </si>
  <si>
    <t xml:space="preserve">Credible asymmetric roles</t>
  </si>
  <si>
    <t xml:space="preserve">Human evidence judgment</t>
  </si>
  <si>
    <t xml:space="preserve">Protect future TL/AUX space</t>
  </si>
  <si>
    <t xml:space="preserve">72 retained controls</t>
  </si>
  <si>
    <t xml:space="preserve">72 candidate-policy lanes</t>
  </si>
  <si>
    <t xml:space="preserve">Fixed Range 5 Kinetic/Energy</t>
  </si>
  <si>
    <t xml:space="preserve">4 separate controls</t>
  </si>
  <si>
    <t xml:space="preserve">Checkpoint 47 primary total</t>
  </si>
  <si>
    <t xml:space="preserve">148 variants</t>
  </si>
  <si>
    <t xml:space="preserve">Accepted through Checkpoint 46</t>
  </si>
  <si>
    <t xml:space="preserve">Full Checkpoint 47 trial variants</t>
  </si>
  <si>
    <t xml:space="preserve">4,558 variants</t>
  </si>
  <si>
    <t xml:space="preserve">45.58 million trials</t>
  </si>
  <si>
    <t xml:space="preserve">Checkpoint 48 - Accepted TL2 Standard Combat Profile</t>
  </si>
  <si>
    <t xml:space="preserve">Armor Step + Conservative Direct Fire is promoted as the standard TL2 combat vector. Hull Step remains a frozen structural control.</t>
  </si>
  <si>
    <t xml:space="preserve">tl2-production</t>
  </si>
  <si>
    <t xml:space="preserve">Accepted TL2 Standard Combat Profile</t>
  </si>
  <si>
    <t xml:space="preserve">accepted_player_standard</t>
  </si>
  <si>
    <t xml:space="preserve">accepted_checkpoint_48_standard</t>
  </si>
  <si>
    <t xml:space="preserve">frozen_analytical_control</t>
  </si>
  <si>
    <t xml:space="preserve">historical_control_not_standard</t>
  </si>
  <si>
    <t xml:space="preserve">Checkpoint 48 - Combat-Evaluable AUX Screening Profiles</t>
  </si>
  <si>
    <t xml:space="preserve">23 explicit profiles: 7 legal TL1, 14 legal TL2, and 2 no-AUX counterfactual controls. Values remain candidate-only.</t>
  </si>
  <si>
    <t xml:space="preserve">Family ID</t>
  </si>
  <si>
    <t xml:space="preserve">Display name</t>
  </si>
  <si>
    <t xml:space="preserve">TL</t>
  </si>
  <si>
    <t xml:space="preserve">Capacity</t>
  </si>
  <si>
    <t xml:space="preserve">Class</t>
  </si>
  <si>
    <t xml:space="preserve">Counterfactual</t>
  </si>
  <si>
    <t xml:space="preserve">PDS chance / TP / ammo</t>
  </si>
  <si>
    <t xml:space="preserve">Power effect</t>
  </si>
  <si>
    <t xml:space="preserve">Shield effect</t>
  </si>
  <si>
    <t xml:space="preserve">Ablative AP / AI</t>
  </si>
  <si>
    <t xml:space="preserve">Repair effect</t>
  </si>
  <si>
    <t xml:space="preserve">Kinetic ammo</t>
  </si>
  <si>
    <t xml:space="preserve">Missile ammo</t>
  </si>
  <si>
    <t xml:space="preserve">Screening note</t>
  </si>
  <si>
    <t xml:space="preserve">aux-r48-none-tl1</t>
  </si>
  <si>
    <t xml:space="preserve">counterfactual_none</t>
  </si>
  <si>
    <t xml:space="preserve">No AUX (Counterfactual TL1)</t>
  </si>
  <si>
    <t xml:space="preserve">counterfactual_only</t>
  </si>
  <si>
    <t xml:space="preserve">Excluded from legal aggregates</t>
  </si>
  <si>
    <t xml:space="preserve">aux-r48-none-tl2</t>
  </si>
  <si>
    <t xml:space="preserve">No AUX (Counterfactual TL2)</t>
  </si>
  <si>
    <t xml:space="preserve">aux-r48-tl1-kinetic-pds</t>
  </si>
  <si>
    <t xml:space="preserve">TL1 Kinetic Point-Defense Battery</t>
  </si>
  <si>
    <t xml:space="preserve">tactical_combat</t>
  </si>
  <si>
    <t xml:space="preserve">35 / 1 / 50</t>
  </si>
  <si>
    <t xml:space="preserve">candidate_only_not_promoted</t>
  </si>
  <si>
    <t xml:space="preserve">One-component isolation; raise TL before identity reduction if premature</t>
  </si>
  <si>
    <t xml:space="preserve">aux-r48-tl1-amm-pds</t>
  </si>
  <si>
    <t xml:space="preserve">TL1 Anti-Missile Missile Battery</t>
  </si>
  <si>
    <t xml:space="preserve">50 / 1 / 25</t>
  </si>
  <si>
    <t xml:space="preserve">aux-r48-tl1-combat-battery</t>
  </si>
  <si>
    <t xml:space="preserve">TL1 Combat Battery</t>
  </si>
  <si>
    <t xml:space="preserve">Battery +2 x3</t>
  </si>
  <si>
    <t xml:space="preserve">aux-r48-tl1-shield-battery</t>
  </si>
  <si>
    <t xml:space="preserve">TL1 Shield Battery</t>
  </si>
  <si>
    <t xml:space="preserve">Battery 3 x3</t>
  </si>
  <si>
    <t xml:space="preserve">aux-r48-tl1-ablative-armor</t>
  </si>
  <si>
    <t xml:space="preserve">TL1 Ablative Armor Layer</t>
  </si>
  <si>
    <t xml:space="preserve">0 / 2</t>
  </si>
  <si>
    <t xml:space="preserve">aux-r48-tl1-kinetic-magazine</t>
  </si>
  <si>
    <t xml:space="preserve">TL1 Kinetic Magazine Expansion</t>
  </si>
  <si>
    <t xml:space="preserve">combat_endurance</t>
  </si>
  <si>
    <t xml:space="preserve">aux-r48-tl1-missile-magazine</t>
  </si>
  <si>
    <t xml:space="preserve">TL1 Missile Magazine Expansion</t>
  </si>
  <si>
    <t xml:space="preserve">aux-r48-tl2-kinetic-pds</t>
  </si>
  <si>
    <t xml:space="preserve">TL2 Kinetic Point-Defense Battery</t>
  </si>
  <si>
    <t xml:space="preserve">38 / 1 / 60</t>
  </si>
  <si>
    <t xml:space="preserve">aux-r48-tl2-amm-pds</t>
  </si>
  <si>
    <t xml:space="preserve">TL2 Anti-Missile Missile Battery</t>
  </si>
  <si>
    <t xml:space="preserve">53 / 1 / 30</t>
  </si>
  <si>
    <t xml:space="preserve">aux-r48-tl2-combat-battery</t>
  </si>
  <si>
    <t xml:space="preserve">TL2 Combat Battery</t>
  </si>
  <si>
    <t xml:space="preserve">Battery +3 x3</t>
  </si>
  <si>
    <t xml:space="preserve">aux-r48-tl2-shield-battery</t>
  </si>
  <si>
    <t xml:space="preserve">TL2 Shield Battery</t>
  </si>
  <si>
    <t xml:space="preserve">Battery 4 x3</t>
  </si>
  <si>
    <t xml:space="preserve">aux-r48-tl2-ablative-armor</t>
  </si>
  <si>
    <t xml:space="preserve">TL2 Ablative Armor Layer</t>
  </si>
  <si>
    <t xml:space="preserve">aux-r48-tl2-kinetic-magazine</t>
  </si>
  <si>
    <t xml:space="preserve">TL2 Kinetic Magazine Expansion</t>
  </si>
  <si>
    <t xml:space="preserve">aux-r48-tl2-missile-magazine</t>
  </si>
  <si>
    <t xml:space="preserve">TL2 Missile Magazine Expansion</t>
  </si>
  <si>
    <t xml:space="preserve">aux-r48-tl2-energy-pds</t>
  </si>
  <si>
    <t xml:space="preserve">TL2 Energy Point-Defense Array</t>
  </si>
  <si>
    <t xml:space="preserve">42 / 2 / unlimited</t>
  </si>
  <si>
    <t xml:space="preserve">aux-r48-tl2-auxiliary-reactor</t>
  </si>
  <si>
    <t xml:space="preserve">TL2 Auxiliary Reactor</t>
  </si>
  <si>
    <t xml:space="preserve">Reactor +1</t>
  </si>
  <si>
    <t xml:space="preserve">aux-r48-tl2-power-capacitor</t>
  </si>
  <si>
    <t xml:space="preserve">TL2 Power Capacitor</t>
  </si>
  <si>
    <t xml:space="preserve">Cap 4 / 2</t>
  </si>
  <si>
    <t xml:space="preserve">aux-r48-tl2-shield-booster</t>
  </si>
  <si>
    <t xml:space="preserve">TL2 Shield Booster</t>
  </si>
  <si>
    <t xml:space="preserve">Capacity +2</t>
  </si>
  <si>
    <t xml:space="preserve">aux-r48-tl2-power-stabilizer</t>
  </si>
  <si>
    <t xml:space="preserve">TL2 Shield Power Stabilizer</t>
  </si>
  <si>
    <t xml:space="preserve">2 / TP cap 1</t>
  </si>
  <si>
    <t xml:space="preserve">aux-r48-tl2-evasive-maneuver-system</t>
  </si>
  <si>
    <t xml:space="preserve">TL2 Evasive Maneuver System</t>
  </si>
  <si>
    <t xml:space="preserve">aux-r48-tl2-repair-drone-bay</t>
  </si>
  <si>
    <t xml:space="preserve">TL2 Repair Drone Bay</t>
  </si>
  <si>
    <t xml:space="preserve">+10 pp; +1 kit</t>
  </si>
  <si>
    <t xml:space="preserve">Checkpoint 48 - TL2 Promotion and Auxiliary Performance Screening</t>
  </si>
  <si>
    <t xml:space="preserve">Every standard matrix ship installs one legal AUX. No-AUX evidence is isolated and cannot define ordinary balance.</t>
  </si>
  <si>
    <t xml:space="preserve">TL2</t>
  </si>
  <si>
    <t xml:space="preserve">Accepted standard</t>
  </si>
  <si>
    <t xml:space="preserve">technology-profiles.csv</t>
  </si>
  <si>
    <t xml:space="preserve">Authoritative TL2 comparison chassis</t>
  </si>
  <si>
    <t xml:space="preserve">Historical control</t>
  </si>
  <si>
    <t xml:space="preserve">Frozen</t>
  </si>
  <si>
    <t xml:space="preserve">Prior reports</t>
  </si>
  <si>
    <t xml:space="preserve">Preserve structural sensitivity evidence</t>
  </si>
  <si>
    <t xml:space="preserve">TL1 screening capacity</t>
  </si>
  <si>
    <t xml:space="preserve">1 AUX Capacity</t>
  </si>
  <si>
    <t xml:space="preserve">One installed component</t>
  </si>
  <si>
    <t xml:space="preserve">auxiliary-profiles.csv</t>
  </si>
  <si>
    <t xml:space="preserve">Legal starting loadouts</t>
  </si>
  <si>
    <t xml:space="preserve">Locked context</t>
  </si>
  <si>
    <t xml:space="preserve">TL2 screening capacity</t>
  </si>
  <si>
    <t xml:space="preserve">2 AUX Capacity</t>
  </si>
  <si>
    <t xml:space="preserve">One installed component in CP48</t>
  </si>
  <si>
    <t xml:space="preserve">Test capacity-2 reactor without stacking</t>
  </si>
  <si>
    <t xml:space="preserve">Screening context</t>
  </si>
  <si>
    <t xml:space="preserve">Matrix</t>
  </si>
  <si>
    <t xml:space="preserve">Standard configuration</t>
  </si>
  <si>
    <t xml:space="preserve">Exactly one legal AUX</t>
  </si>
  <si>
    <t xml:space="preserve">No empty slot</t>
  </si>
  <si>
    <t xml:space="preserve">matrix-coverage.csv</t>
  </si>
  <si>
    <t xml:space="preserve">Compare actual choices</t>
  </si>
  <si>
    <t xml:space="preserve">TL1v1; TL2v2; TL1v2</t>
  </si>
  <si>
    <t xml:space="preserve">All ordered legal pairings</t>
  </si>
  <si>
    <t xml:space="preserve">pairwise-auxiliary-summary.csv</t>
  </si>
  <si>
    <t xml:space="preserve">Capture current effect space</t>
  </si>
  <si>
    <t xml:space="preserve">Controlled contexts</t>
  </si>
  <si>
    <t xml:space="preserve">K/K; E/E; M/M</t>
  </si>
  <si>
    <t xml:space="preserve">Same-family only</t>
  </si>
  <si>
    <t xml:space="preserve">auxiliary-choice-overview.csv</t>
  </si>
  <si>
    <t xml:space="preserve">Separate AUX effect from family asymmetry</t>
  </si>
  <si>
    <t xml:space="preserve">Same-AUX mirrors</t>
  </si>
  <si>
    <t xml:space="preserve">Every legal profile</t>
  </si>
  <si>
    <t xml:space="preserve">Side neutrality</t>
  </si>
  <si>
    <t xml:space="preserve">same-aux-mirror-review.csv</t>
  </si>
  <si>
    <t xml:space="preserve">Audit variance</t>
  </si>
  <si>
    <t xml:space="preserve">Blocking evidence</t>
  </si>
  <si>
    <t xml:space="preserve">No-AUX baseline</t>
  </si>
  <si>
    <t xml:space="preserve">Counterfactual only</t>
  </si>
  <si>
    <t xml:space="preserve">no-aux-diagnostics.csv</t>
  </si>
  <si>
    <t xml:space="preserve">Estimate absolute contribution</t>
  </si>
  <si>
    <t xml:space="preserve">Nonstandard</t>
  </si>
  <si>
    <t xml:space="preserve">Deferred families</t>
  </si>
  <si>
    <t xml:space="preserve">Strategic, sensor, comms, hangar, incomplete EW</t>
  </si>
  <si>
    <t xml:space="preserve">Do not score as zero</t>
  </si>
  <si>
    <t xml:space="preserve">auxiliary-entry-floor-review.csv</t>
  </si>
  <si>
    <t xml:space="preserve">Avoid false irrelevance</t>
  </si>
  <si>
    <t xml:space="preserve">Dominance and irrelevance are signals</t>
  </si>
  <si>
    <t xml:space="preserve">all AUX reports</t>
  </si>
  <si>
    <t xml:space="preserve">Preserve identity</t>
  </si>
  <si>
    <t xml:space="preserve">Premature capability</t>
  </si>
  <si>
    <t xml:space="preserve">Raise starting TL first</t>
  </si>
  <si>
    <t xml:space="preserve">Then review costs/counters</t>
  </si>
  <si>
    <t xml:space="preserve">Protect component identity</t>
  </si>
  <si>
    <t xml:space="preserve">Locked rule</t>
  </si>
  <si>
    <t xml:space="preserve">Automatic AUX promotion</t>
  </si>
  <si>
    <t xml:space="preserve">Human judgment after evidence</t>
  </si>
  <si>
    <t xml:space="preserve">Protect future design space</t>
  </si>
  <si>
    <t xml:space="preserve">TL1 profiles</t>
  </si>
  <si>
    <t xml:space="preserve">TL2 profiles</t>
  </si>
  <si>
    <t xml:space="preserve">Weapon contexts</t>
  </si>
  <si>
    <t xml:space="preserve">TL1 versus TL1 legal</t>
  </si>
  <si>
    <t xml:space="preserve">147 ordered variants</t>
  </si>
  <si>
    <t xml:space="preserve">TL2 versus TL2 legal</t>
  </si>
  <si>
    <t xml:space="preserve">588 ordered variants</t>
  </si>
  <si>
    <t xml:space="preserve">TL1 versus TL2 legal</t>
  </si>
  <si>
    <t xml:space="preserve">588 both orientations</t>
  </si>
  <si>
    <t xml:space="preserve">Legal one-AUX total</t>
  </si>
  <si>
    <t xml:space="preserve">1,323 standard variants</t>
  </si>
  <si>
    <t xml:space="preserve">AUX versus no-AUX diagnostics</t>
  </si>
  <si>
    <t xml:space="preserve">126 counterfactual comparisons</t>
  </si>
  <si>
    <t xml:space="preserve">No-AUX mirrors</t>
  </si>
  <si>
    <t xml:space="preserve">6 counterfactual mirrors</t>
  </si>
  <si>
    <t xml:space="preserve">Counterfactual diagnostic total</t>
  </si>
  <si>
    <t xml:space="preserve">132 excluded variants</t>
  </si>
  <si>
    <t xml:space="preserve">Checkpoint 48 primary total</t>
  </si>
  <si>
    <t xml:space="preserve">1,455 variants</t>
  </si>
  <si>
    <t xml:space="preserve">Accepted through Checkpoint 47</t>
  </si>
  <si>
    <t xml:space="preserve">Full Checkpoint 48 trial variants</t>
  </si>
  <si>
    <t xml:space="preserve">6,013 variants</t>
  </si>
  <si>
    <t xml:space="preserve">60.13 million trials</t>
  </si>
  <si>
    <t xml:space="preserve">Initial TL1-TL9 Sub-family Architecture</t>
  </si>
  <si>
    <t xml:space="preserve">Milestones are proposals, not automatic availability or final numbers. A dash means the prior implementation continues without a planned new milestone.</t>
  </si>
  <si>
    <t xml:space="preserve">Family</t>
  </si>
  <si>
    <t xml:space="preserve">Sub-family</t>
  </si>
  <si>
    <t xml:space="preserve">Entry TL</t>
  </si>
  <si>
    <t xml:space="preserve">TL1</t>
  </si>
  <si>
    <t xml:space="preserve">TL3</t>
  </si>
  <si>
    <t xml:space="preserve">TL4</t>
  </si>
  <si>
    <t xml:space="preserve">TL5</t>
  </si>
  <si>
    <t xml:space="preserve">TL6</t>
  </si>
  <si>
    <t xml:space="preserve">TL7</t>
  </si>
  <si>
    <t xml:space="preserve">TL8</t>
  </si>
  <si>
    <t xml:space="preserve">TL9</t>
  </si>
  <si>
    <t xml:space="preserve">pds</t>
  </si>
  <si>
    <t xml:space="preserve">Entry: modest accuracy; ammo-fed</t>
  </si>
  <si>
    <t xml:space="preserve">Accuracy refinement</t>
  </si>
  <si>
    <t xml:space="preserve">Ammunition efficiency</t>
  </si>
  <si>
    <t xml:space="preserve">Reaction-capacity review</t>
  </si>
  <si>
    <t xml:space="preserve">Evasive compensation</t>
  </si>
  <si>
    <t xml:space="preserve">Accuracy/reliability</t>
  </si>
  <si>
    <t xml:space="preserve">Ammo/power efficiency</t>
  </si>
  <si>
    <t xml:space="preserve">Pinnacle conventional PDS</t>
  </si>
  <si>
    <t xml:space="preserve">Entry: modest powered, ammunition-free defense</t>
  </si>
  <si>
    <t xml:space="preserve">Power efficiency</t>
  </si>
  <si>
    <t xml:space="preserve">Pinnacle energy PDS</t>
  </si>
  <si>
    <t xml:space="preserve">Entry: 25 rounds; modest finite-interceptor defense</t>
  </si>
  <si>
    <t xml:space="preserve">25 rounds; seeker/reliability refinement</t>
  </si>
  <si>
    <t xml:space="preserve">Salvo/ammunition efficiency</t>
  </si>
  <si>
    <t xml:space="preserve">Seeker accuracy</t>
  </si>
  <si>
    <t xml:space="preserve">Salvo/ammo efficiency</t>
  </si>
  <si>
    <t xml:space="preserve">Counter-countermeasures</t>
  </si>
  <si>
    <t xml:space="preserve">Reliability</t>
  </si>
  <si>
    <t xml:space="preserve">Pinnacle interceptor PDS</t>
  </si>
  <si>
    <t xml:space="preserve">power_support</t>
  </si>
  <si>
    <t xml:space="preserve">Entry: core continuity only</t>
  </si>
  <si>
    <t xml:space="preserve">Endurance/reliability</t>
  </si>
  <si>
    <t xml:space="preserve">Isolation improvement</t>
  </si>
  <si>
    <t xml:space="preserve">Resilience refinement</t>
  </si>
  <si>
    <t xml:space="preserve">Pinnacle continuity</t>
  </si>
  <si>
    <t xml:space="preserve">Entry: +1 TP; 3 charges; max 1/turn; no encounter cap</t>
  </si>
  <si>
    <t xml:space="preserve">Charge-density review</t>
  </si>
  <si>
    <t xml:space="preserve">Output/uses trade study</t>
  </si>
  <si>
    <t xml:space="preserve">Storage efficiency</t>
  </si>
  <si>
    <t xml:space="preserve">Pinnacle finite burst</t>
  </si>
  <si>
    <t xml:space="preserve">Not available</t>
  </si>
  <si>
    <t xml:space="preserve">Entry: charge then discharge</t>
  </si>
  <si>
    <t xml:space="preserve">Charge efficiency</t>
  </si>
  <si>
    <t xml:space="preserve">Stored-power review</t>
  </si>
  <si>
    <t xml:space="preserve">Timing/reliability</t>
  </si>
  <si>
    <t xml:space="preserve">Pinnacle capacitor</t>
  </si>
  <si>
    <t xml:space="preserve">Entry: renewable output; cap 2</t>
  </si>
  <si>
    <t xml:space="preserve">Containment/reliability</t>
  </si>
  <si>
    <t xml:space="preserve">Output efficiency</t>
  </si>
  <si>
    <t xml:space="preserve">Degraded-output refinement</t>
  </si>
  <si>
    <t xml:space="preserve">Containment/output review</t>
  </si>
  <si>
    <t xml:space="preserve">Pinnacle auxiliary generation</t>
  </si>
  <si>
    <t xml:space="preserve">shield_support</t>
  </si>
  <si>
    <t xml:space="preserve">Entry: finite shield restoration</t>
  </si>
  <si>
    <t xml:space="preserve">Restoration efficiency</t>
  </si>
  <si>
    <t xml:space="preserve">Pinnacle shield reserve</t>
  </si>
  <si>
    <t xml:space="preserve">Entry: bounded capacity boost</t>
  </si>
  <si>
    <t xml:space="preserve">Overcharge reliability</t>
  </si>
  <si>
    <t xml:space="preserve">Capacity efficiency</t>
  </si>
  <si>
    <t xml:space="preserve">Stress control</t>
  </si>
  <si>
    <t xml:space="preserve">Pinnacle shield boost</t>
  </si>
  <si>
    <t xml:space="preserve">Entry: recharge efficiency</t>
  </si>
  <si>
    <t xml:space="preserve">Overload stability</t>
  </si>
  <si>
    <t xml:space="preserve">Pinnacle stabilization</t>
  </si>
  <si>
    <t xml:space="preserve">Entry: bounded shield hardening</t>
  </si>
  <si>
    <t xml:space="preserve">Protection refinement</t>
  </si>
  <si>
    <t xml:space="preserve">Pinnacle hardening</t>
  </si>
  <si>
    <t xml:space="preserve">armor_support</t>
  </si>
  <si>
    <t xml:space="preserve">Entry: expendable outer layer; leading AP0 / AI2 candidate</t>
  </si>
  <si>
    <t xml:space="preserve">Material efficiency</t>
  </si>
  <si>
    <t xml:space="preserve">AP/AI efficiency</t>
  </si>
  <si>
    <t xml:space="preserve">Pinnacle ablative layer</t>
  </si>
  <si>
    <t xml:space="preserve">Entry: powered armor bonus</t>
  </si>
  <si>
    <t xml:space="preserve">Pinnacle energized armor</t>
  </si>
  <si>
    <t xml:space="preserve">maneuver_support</t>
  </si>
  <si>
    <t xml:space="preserve">Entry: conventional EvM support</t>
  </si>
  <si>
    <t xml:space="preserve">Compensation support</t>
  </si>
  <si>
    <t xml:space="preserve">Fuel/power efficiency</t>
  </si>
  <si>
    <t xml:space="preserve">Compensation efficiency</t>
  </si>
  <si>
    <t xml:space="preserve">Pinnacle maneuver support</t>
  </si>
  <si>
    <t xml:space="preserve">sensor_ew_support</t>
  </si>
  <si>
    <t xml:space="preserve">Entry: active range/reacquisition</t>
  </si>
  <si>
    <t xml:space="preserve">Discrimination</t>
  </si>
  <si>
    <t xml:space="preserve">Range refinement</t>
  </si>
  <si>
    <t xml:space="preserve">Reacquisition</t>
  </si>
  <si>
    <t xml:space="preserve">ECCM support</t>
  </si>
  <si>
    <t xml:space="preserve">Precision</t>
  </si>
  <si>
    <t xml:space="preserve">Efficiency</t>
  </si>
  <si>
    <t xml:space="preserve">Pinnacle active sensing</t>
  </si>
  <si>
    <t xml:space="preserve">Entry: modest conventional ECM</t>
  </si>
  <si>
    <t xml:space="preserve">Strength refinement</t>
  </si>
  <si>
    <t xml:space="preserve">Screen efficiency</t>
  </si>
  <si>
    <t xml:space="preserve">Strength/reliability</t>
  </si>
  <si>
    <t xml:space="preserve">Network integration</t>
  </si>
  <si>
    <t xml:space="preserve">Pinnacle ECM</t>
  </si>
  <si>
    <t xml:space="preserve">Entry: modest conventional ECCM</t>
  </si>
  <si>
    <t xml:space="preserve">Pinnacle ECCM</t>
  </si>
  <si>
    <t xml:space="preserve">Entry: tactical relay</t>
  </si>
  <si>
    <t xml:space="preserve">Reach</t>
  </si>
  <si>
    <t xml:space="preserve">Relay efficiency</t>
  </si>
  <si>
    <t xml:space="preserve">Latency/reliability</t>
  </si>
  <si>
    <t xml:space="preserve">Network resilience</t>
  </si>
  <si>
    <t xml:space="preserve">Pinnacle relay</t>
  </si>
  <si>
    <t xml:space="preserve">Entry: bounded tractor control</t>
  </si>
  <si>
    <t xml:space="preserve">Strength review</t>
  </si>
  <si>
    <t xml:space="preserve">Control precision</t>
  </si>
  <si>
    <t xml:space="preserve">Pinnacle tractor control</t>
  </si>
  <si>
    <t xml:space="preserve">repair_support</t>
  </si>
  <si>
    <t xml:space="preserve">standard_human_damage_control</t>
  </si>
  <si>
    <t xml:space="preserve">Human Damage-Control Crews</t>
  </si>
  <si>
    <t xml:space="preserve">dedicated_core_integration</t>
  </si>
  <si>
    <t xml:space="preserve">Entry: human crews</t>
  </si>
  <si>
    <t xml:space="preserve">Tools/procedures</t>
  </si>
  <si>
    <t xml:space="preserve">Access/materials</t>
  </si>
  <si>
    <t xml:space="preserve">Retained alongside robotics</t>
  </si>
  <si>
    <t xml:space="preserve">Entry: robotic repair assistance</t>
  </si>
  <si>
    <t xml:space="preserve">Robotics efficiency</t>
  </si>
  <si>
    <t xml:space="preserve">Autonomous diagnostics/fabrication</t>
  </si>
  <si>
    <t xml:space="preserve">Superseded or paired with self-healing</t>
  </si>
  <si>
    <t xml:space="preserve">aux_self_healing_repair</t>
  </si>
  <si>
    <t xml:space="preserve">Self-Healing Repair System</t>
  </si>
  <si>
    <t xml:space="preserve">Entry: bounded self-healing</t>
  </si>
  <si>
    <t xml:space="preserve">Efficiency/reliability</t>
  </si>
  <si>
    <t xml:space="preserve">Pinnacle self-healing</t>
  </si>
  <si>
    <t xml:space="preserve">utility_support</t>
  </si>
  <si>
    <t xml:space="preserve">Entry: additional craft capacity</t>
  </si>
  <si>
    <t xml:space="preserve">Launch/recovery efficiency</t>
  </si>
  <si>
    <t xml:space="preserve">Capacity/integration</t>
  </si>
  <si>
    <t xml:space="preserve">Pinnacle hangar support</t>
  </si>
  <si>
    <t xml:space="preserve">Entry: specialist laboratory</t>
  </si>
  <si>
    <t xml:space="preserve">Throughput/analysis</t>
  </si>
  <si>
    <t xml:space="preserve">Advanced analysis</t>
  </si>
  <si>
    <t xml:space="preserve">Pinnacle laboratory</t>
  </si>
  <si>
    <t xml:space="preserve">Entry: specialist mining</t>
  </si>
  <si>
    <t xml:space="preserve">Throughput</t>
  </si>
  <si>
    <t xml:space="preserve">Advanced extraction</t>
  </si>
  <si>
    <t xml:space="preserve">Pinnacle mining</t>
  </si>
  <si>
    <t xml:space="preserve">Entry: bounded fabrication</t>
  </si>
  <si>
    <t xml:space="preserve">Process control</t>
  </si>
  <si>
    <t xml:space="preserve">Advanced conversion</t>
  </si>
  <si>
    <t xml:space="preserve">Pinnacle fabrication</t>
  </si>
  <si>
    <t xml:space="preserve">Entry: cargo expansion</t>
  </si>
  <si>
    <t xml:space="preserve">Integration efficiency</t>
  </si>
  <si>
    <t xml:space="preserve">Advanced storage</t>
  </si>
  <si>
    <t xml:space="preserve">Pinnacle cargo support</t>
  </si>
  <si>
    <t xml:space="preserve">Entry: extra Kinetic reserve</t>
  </si>
  <si>
    <t xml:space="preserve">Protection/capacity</t>
  </si>
  <si>
    <t xml:space="preserve">Reload efficiency</t>
  </si>
  <si>
    <t xml:space="preserve">Pinnacle Kinetic stores</t>
  </si>
  <si>
    <t xml:space="preserve">Entry: extra Missile reserve</t>
  </si>
  <si>
    <t xml:space="preserve">Pinnacle Missile stores</t>
  </si>
  <si>
    <t xml:space="preserve">Sub-family Definitions and Tuning Boundaries</t>
  </si>
  <si>
    <t xml:space="preserve">Family rules apply first. Names and flavor never create unapproved target classes, bonuses, weapons, concealment, or other mechanics.</t>
  </si>
  <si>
    <t xml:space="preserve">Strengths</t>
  </si>
  <si>
    <t xml:space="preserve">Weaknesses</t>
  </si>
  <si>
    <t xml:space="preserve">Approved tuning knobs</t>
  </si>
  <si>
    <t xml:space="preserve">Conventional ammunition-fed close-range defense.</t>
  </si>
  <si>
    <t xml:space="preserve">broad PDS target eligibility; conventional installation; reaction-capacity growth</t>
  </si>
  <si>
    <t xml:space="preserve">finite ammunition; accuracy and ammunition burden</t>
  </si>
  <si>
    <t xml:space="preserve">accuracy; reaction capacity; ammunition efficiency; Tactical Power readiness; evasive compensation; reliability</t>
  </si>
  <si>
    <t xml:space="preserve">accepted_entry_floor_provisional_characteristics</t>
  </si>
  <si>
    <t xml:space="preserve">Power-intensive, ammunition-free close-range defense.</t>
  </si>
  <si>
    <t xml:space="preserve">no conventional ammunition; accuracy potential</t>
  </si>
  <si>
    <t xml:space="preserve">Tactical Power demand; sustained readiness competition</t>
  </si>
  <si>
    <t xml:space="preserve">accuracy; reaction capacity; Tactical Power cost; evasive compensation; reliability</t>
  </si>
  <si>
    <t xml:space="preserve">Finite-ammunition interceptor PDS with strong missile-defense specialization while retaining the common PDS target-eligibility contract.</t>
  </si>
  <si>
    <t xml:space="preserve">high missile-interception potential; independent interceptor package</t>
  </si>
  <si>
    <t xml:space="preserve">finite ammunition; specialized opportunity cost</t>
  </si>
  <si>
    <t xml:space="preserve">accuracy; reaction capacity; interceptor ammunition; Tactical Power readiness; reliability; target-specific modifiers only if explicitly approved</t>
  </si>
  <si>
    <t xml:space="preserve">Core-power continuity without ordinary Tactical Power output.</t>
  </si>
  <si>
    <t xml:space="preserve">continuity; low direct combat leverage</t>
  </si>
  <si>
    <t xml:space="preserve">does not provide ordinary Tactical Power</t>
  </si>
  <si>
    <t xml:space="preserve">continuity duration; reliability; capacity cost</t>
  </si>
  <si>
    <t xml:space="preserve">provisional_architecture</t>
  </si>
  <si>
    <t xml:space="preserve">Finite emergency Tactical Power injection; three +1 TP charges, at most one discharge per tactical turn, with no per-encounter cap.</t>
  </si>
  <si>
    <t xml:space="preserve">flexible short burst; simple emergency use</t>
  </si>
  <si>
    <t xml:space="preserve">finite charges; does not replace reactor output</t>
  </si>
  <si>
    <t xml:space="preserve">power per use; number of uses; once-per-turn limit; resupply; capacity cost; reliability</t>
  </si>
  <si>
    <t xml:space="preserve">Charge-then-discharge stored power assigned to a legal operation.</t>
  </si>
  <si>
    <t xml:space="preserve">operation-specific timing; planned burst</t>
  </si>
  <si>
    <t xml:space="preserve">charging time; assignment limits</t>
  </si>
  <si>
    <t xml:space="preserve">charge rate; stored power; eligible operation; discharge timing; reliability</t>
  </si>
  <si>
    <t xml:space="preserve">Renewable Tactical Power generation with high integration and capacity cost.</t>
  </si>
  <si>
    <t xml:space="preserve">capacity 2 candidate; damage and containment risk; threshold-crossing risk</t>
  </si>
  <si>
    <t xml:space="preserve">output; capacity cost; degraded output; cooldown; reliability; support requirements</t>
  </si>
  <si>
    <t xml:space="preserve">Finite emergency shield restoration.</t>
  </si>
  <si>
    <t xml:space="preserve">immediate bounded restoration</t>
  </si>
  <si>
    <t xml:space="preserve">finite charges; does not improve normal recharge</t>
  </si>
  <si>
    <t xml:space="preserve">restoration amount; charges; activation timing; capacity cost; reliability</t>
  </si>
  <si>
    <t xml:space="preserve">Increases maximum shield capacity; optional overcharge remains stress-limited.</t>
  </si>
  <si>
    <t xml:space="preserve">capacity increase</t>
  </si>
  <si>
    <t xml:space="preserve">stress and power if overcharged; lost when disabled</t>
  </si>
  <si>
    <t xml:space="preserve">capacity bonus; overcharge amount; power cost; stress chance; reliability</t>
  </si>
  <si>
    <t xml:space="preserve">Improves shield recharge efficiency per Tactical Power.</t>
  </si>
  <si>
    <t xml:space="preserve">efficient recharge</t>
  </si>
  <si>
    <t xml:space="preserve">requires Tactical Power and an operating shield generator</t>
  </si>
  <si>
    <t xml:space="preserve">recharge efficiency; power requirement; reliability</t>
  </si>
  <si>
    <t xml:space="preserve">Provides bounded Shield Protection or reduces shield-penetration effectiveness.</t>
  </si>
  <si>
    <t xml:space="preserve">flat protection</t>
  </si>
  <si>
    <t xml:space="preserve">sustained power; high balance risk against weak attacks</t>
  </si>
  <si>
    <t xml:space="preserve">Shield Protection; SPEN interaction; Tactical Power cost; capacity cost; reliability</t>
  </si>
  <si>
    <t xml:space="preserve">Expendable outer armor layer resolving before primary armor; begins at TL2 to keep base-TL AUX choices compact.</t>
  </si>
  <si>
    <t xml:space="preserve">passive outer protection</t>
  </si>
  <si>
    <t xml:space="preserve">normally nonrepairable in combat; consumed by damage</t>
  </si>
  <si>
    <t xml:space="preserve">Armor Protection; Armor Integrity; capacity cost; mass or maneuver tradeoff</t>
  </si>
  <si>
    <t xml:space="preserve">Consumes sustained Tactical Power to add an armor-protection bonus while passive armor remains intact when unpowered.</t>
  </si>
  <si>
    <t xml:space="preserve">powered protection</t>
  </si>
  <si>
    <t xml:space="preserve">sustained power; brownout sensitivity</t>
  </si>
  <si>
    <t xml:space="preserve">protection bonus; Tactical Power cost; reliability; capacity cost</t>
  </si>
  <si>
    <t xml:space="preserve">Supports the agreed full-turn evasive posture without changing movement allowance.</t>
  </si>
  <si>
    <t xml:space="preserve">defensive posture support</t>
  </si>
  <si>
    <t xml:space="preserve">own-fire penalty; increased fuel cost; full-turn commitment</t>
  </si>
  <si>
    <t xml:space="preserve">defense bonus; own-fire penalty; fuel multiplier; stationary cost; evasive compensation; reliability</t>
  </si>
  <si>
    <t xml:space="preserve">Improves active-search range and local reacquisition support.</t>
  </si>
  <si>
    <t xml:space="preserve">active search; reacquisition</t>
  </si>
  <si>
    <t xml:space="preserve">emissions; Tactical Power when active</t>
  </si>
  <si>
    <t xml:space="preserve">active range; reacquisition modifier; Tactical Power cost; reliability</t>
  </si>
  <si>
    <t xml:space="preserve">Degrades opposing track quality and participates in the agreed cooperative ECM screen.</t>
  </si>
  <si>
    <t xml:space="preserve">track-quality pressure</t>
  </si>
  <si>
    <t xml:space="preserve">sustained Tactical Power; observable emissions; ECCM counterplay</t>
  </si>
  <si>
    <t xml:space="preserve">ECM strength; Tactical Power cost; cooperative-screen contribution; reliability</t>
  </si>
  <si>
    <t xml:space="preserve">Improves powered discrimination against ECM without revealing hidden enemy values.</t>
  </si>
  <si>
    <t xml:space="preserve">ECM counterplay</t>
  </si>
  <si>
    <t xml:space="preserve">sustained Tactical Power; situational value</t>
  </si>
  <si>
    <t xml:space="preserve">ECCM strength; Tactical Power cost; reliability</t>
  </si>
  <si>
    <t xml:space="preserve">Supports datalink reach, coordination, and relay functions under line-of-sight and observer-safe information rules.</t>
  </si>
  <si>
    <t xml:space="preserve">datalink support; coordination</t>
  </si>
  <si>
    <t xml:space="preserve">network stacking risk; line-of-sight and latency constraints</t>
  </si>
  <si>
    <t xml:space="preserve">relay reach; latency; power cost; relay chaining; reliability</t>
  </si>
  <si>
    <t xml:space="preserve">Sustained high-power movement denial and hold effects under explicit conflict and cap rules.</t>
  </si>
  <si>
    <t xml:space="preserve">movement control</t>
  </si>
  <si>
    <t xml:space="preserve">high Tactical Power; capacity 2 candidate; control and stacking risk</t>
  </si>
  <si>
    <t xml:space="preserve">hold strength; Tactical Power cost; range; capacity cost; conflict rules; reliability</t>
  </si>
  <si>
    <t xml:space="preserve">Human crews perform in-combat repair using Damage Control Capacity, supplies, tools, access, and procedures.</t>
  </si>
  <si>
    <t xml:space="preserve">baseline repair method</t>
  </si>
  <si>
    <t xml:space="preserve">crew time; supplies; uncertain repair rolls</t>
  </si>
  <si>
    <t xml:space="preserve">Damage Control Capacity; assistance; tools and access; supply efficiency; crew quality</t>
  </si>
  <si>
    <t xml:space="preserve">Robotic repair assistance and autonomous diagnostics augment, rather than replace, Damage Control allocation.</t>
  </si>
  <si>
    <t xml:space="preserve">repair assistance; hazardous-access work</t>
  </si>
  <si>
    <t xml:space="preserve">power or supplies; assistance cap; no free extra repair step</t>
  </si>
  <si>
    <t xml:space="preserve">repair modifier; supply efficiency; assistance cap; Tactical Power; reliability</t>
  </si>
  <si>
    <t xml:space="preserve">Candidate nanotechnological, adaptive-material, biological, or comparable self-healing support; exact implementation remains unresolved.</t>
  </si>
  <si>
    <t xml:space="preserve">late-era autonomous recovery potential</t>
  </si>
  <si>
    <t xml:space="preserve">power, material, reliability, or rate limits to be defined</t>
  </si>
  <si>
    <t xml:space="preserve">repair rate; eligible damage; power; materials; reliability; capacity cost</t>
  </si>
  <si>
    <t xml:space="preserve">concept_proposal</t>
  </si>
  <si>
    <t xml:space="preserve">Adds shuttle or small-craft capacity under explicit launch, recovery, replacement, and boarding rules.</t>
  </si>
  <si>
    <t xml:space="preserve">additional craft capacity</t>
  </si>
  <si>
    <t xml:space="preserve">capacity 2 candidate; force-multiplication risk</t>
  </si>
  <si>
    <t xml:space="preserve">craft capacity; launch/recovery tempo; capacity cost; support requirements</t>
  </si>
  <si>
    <t xml:space="preserve">Research, analysis, and discovery support with bounded strategic returns.</t>
  </si>
  <si>
    <t xml:space="preserve">research support</t>
  </si>
  <si>
    <t xml:space="preserve">indirect combat value; diminishing returns</t>
  </si>
  <si>
    <t xml:space="preserve">task bonus; throughput; time; power; diminishing returns</t>
  </si>
  <si>
    <t xml:space="preserve">Resource extraction constrained by site, time, cargo, and throughput.</t>
  </si>
  <si>
    <t xml:space="preserve">resource generation</t>
  </si>
  <si>
    <t xml:space="preserve">time exposure; site and cargo limits</t>
  </si>
  <si>
    <t xml:space="preserve">throughput; power; time; site cap; cargo interaction</t>
  </si>
  <si>
    <t xml:space="preserve">Converts compatible cargo or salvage into supplies using time, power, recipes, and material input.</t>
  </si>
  <si>
    <t xml:space="preserve">resource conversion</t>
  </si>
  <si>
    <t xml:space="preserve">capacity 2 candidate; anti-loop constraints; time and input cost</t>
  </si>
  <si>
    <t xml:space="preserve">recipe efficiency; throughput; power; time; material compatibility</t>
  </si>
  <si>
    <t xml:space="preserve">Adds general cargo capacity within hull and mass limits.</t>
  </si>
  <si>
    <t xml:space="preserve">flexible logistics</t>
  </si>
  <si>
    <t xml:space="preserve">low direct combat value; possible maneuver or signature tradeoff</t>
  </si>
  <si>
    <t xml:space="preserve">cargo capacity; mass or maneuver cost; capacity cost</t>
  </si>
  <si>
    <t xml:space="preserve">Adds Kinetic ammunition reserve while loaded Ready Packages remain with their weapons.</t>
  </si>
  <si>
    <t xml:space="preserve">Kinetic endurance</t>
  </si>
  <si>
    <t xml:space="preserve">damageable finite store; situational in short engagements</t>
  </si>
  <si>
    <t xml:space="preserve">reserve capacity; protection; reload efficiency; capacity cost</t>
  </si>
  <si>
    <t xml:space="preserve">Adds Missile Flight reserve while loaded Ready Packages remain with their launchers.</t>
  </si>
  <si>
    <t xml:space="preserve">Missile endurance</t>
  </si>
  <si>
    <t xml:space="preserve">Common Family Rules</t>
  </si>
  <si>
    <t xml:space="preserve">Every sub-family inherits these rules unless a later explicit design decision creates a named exception.</t>
  </si>
  <si>
    <t xml:space="preserve">Rule number</t>
  </si>
  <si>
    <t xml:space="preserve">Common family rule</t>
  </si>
  <si>
    <t xml:space="preserve">All PDS sub-families may engage missile flights, boarding craft, and any other close-range terminal threat explicitly approved by the rules.</t>
  </si>
  <si>
    <t xml:space="preserve">Standard PDS cannot attack enemy ships.</t>
  </si>
  <si>
    <t xml:space="preserve">PDS resolves before the eligible terminal threat resolves.</t>
  </si>
  <si>
    <t xml:space="preserve">Sub-families differ through approved characteristics such as accuracy, reaction capacity, Tactical Power, ammunition, reliability, and evasive compensation; target eligibility is not silently changed.</t>
  </si>
  <si>
    <t xml:space="preserve">AUX power systems supplement but do not replace the best standard same-TL reactor.</t>
  </si>
  <si>
    <t xml:space="preserve">Finite storage, operation-specific storage, renewable generation, and core-power continuity remain distinct identities.</t>
  </si>
  <si>
    <t xml:space="preserve">No AUX power system grants unbounded or free Tactical Power.</t>
  </si>
  <si>
    <t xml:space="preserve">Shield AUX systems modify one bounded aspect of the installed standard shield system.</t>
  </si>
  <si>
    <t xml:space="preserve">Capacity, recharge efficiency, finite restoration, and Shield Protection remain distinct roles.</t>
  </si>
  <si>
    <t xml:space="preserve">A same-TL shield AUX must not make the standard shield generator appear incomplete.</t>
  </si>
  <si>
    <t xml:space="preserve">Armor AUX systems preserve the distinction between a passive expendable outer layer and a powered protection enhancement.</t>
  </si>
  <si>
    <t xml:space="preserve">AUX armor does not replace the standard same-TL armor installation.</t>
  </si>
  <si>
    <t xml:space="preserve">Evasive Maneuvering retains the agreed full-turn posture, defensive benefit, own-fire penalty, and increased fuel cost unless a later explicit decision revises them.</t>
  </si>
  <si>
    <t xml:space="preserve">Later progress should normally improve efficiency or compensation rather than increase every characteristic at every TL.</t>
  </si>
  <si>
    <t xml:space="preserve">Active sensors, ECM, ECCM, and communications relays remain distinct functions within the sensing and information family.</t>
  </si>
  <si>
    <t xml:space="preserve">No sensor or EW AUX receives an unapproved weapon, concealment, or direct-damage capability.</t>
  </si>
  <si>
    <t xml:space="preserve">Production behavior must use legitimately known, estimated, or observed enemy capabilities; ideal calibration may use complete information only when labeled.</t>
  </si>
  <si>
    <t xml:space="preserve">TL1-TL3 damage control is performed primarily by human crews using progressively better tools, procedures, access, and materials.</t>
  </si>
  <si>
    <t xml:space="preserve">TL4-TL6 may introduce robotic repair and autonomous diagnostics.</t>
  </si>
  <si>
    <t xml:space="preserve">TL7-TL9 may introduce nanotechnological, adaptive-material, biological, or other self-healing systems, subject to explicit later mechanics.</t>
  </si>
  <si>
    <t xml:space="preserve">No repair AUX creates free supplies or extra repair steps unless explicitly approved.</t>
  </si>
  <si>
    <t xml:space="preserve">Strategic and utility AUX systems are evaluated in scenarios where their intended role can occur.</t>
  </si>
  <si>
    <t xml:space="preserve">A low combat score does not imply irrelevance for a laboratory, mining, cargo, fabrication, hangar, or endurance component.</t>
  </si>
  <si>
    <t xml:space="preserve">Checkpoint 53 AUX Entry-TL Review</t>
  </si>
  <si>
    <t xml:space="preserve">All three PDS sub-families remain TL1. Ablative Armor moves to TL2 to keep the base-tier AUX vocabulary compact; Checkpoint 52 runtime evidence remains frozen.</t>
  </si>
  <si>
    <t xml:space="preserve">Component ID</t>
  </si>
  <si>
    <t xml:space="preserve">Previous floor</t>
  </si>
  <si>
    <t xml:space="preserve">Proposed floor</t>
  </si>
  <si>
    <t xml:space="preserve">Change</t>
  </si>
  <si>
    <t xml:space="preserve">Rationale</t>
  </si>
  <si>
    <t xml:space="preserve">unchanged</t>
  </si>
  <si>
    <t xml:space="preserve">Conventional gun-based close-in defense exists at TL1; its early accuracy and reaction performance remain deliberately modest.</t>
  </si>
  <si>
    <t xml:space="preserve">moved_earlier</t>
  </si>
  <si>
    <t xml:space="preserve">Interceptor missiles are recognizable current technology; TL1 availability is restored while early hit probability and ammunition efficiency are intentionally constrained.</t>
  </si>
  <si>
    <t xml:space="preserve">Directed-energy point defense exists in recognizable real-world precursor form; TL1 availability does not imply high effectiveness or low power demand.</t>
  </si>
  <si>
    <t xml:space="preserve">moved_later</t>
  </si>
  <si>
    <t xml:space="preserve">Renewable Tactical Power is too consequential for the earliest tiers.</t>
  </si>
  <si>
    <t xml:space="preserve">Current entry floor remains a reasonable initial architecture proposal; exact characteristics remain provisional.</t>
  </si>
  <si>
    <t xml:space="preserve">checkpoint_53_primary_candidate</t>
  </si>
  <si>
    <t xml:space="preserve">3 x +1 TP finite charges; max 1 discharge/turn; no encounter cap.</t>
  </si>
  <si>
    <t xml:space="preserve">TL1 standard shields should not require a strong emergency-restoration AUX.</t>
  </si>
  <si>
    <t xml:space="preserve">Capacity growth belongs after the TL2 standard shield package is established.</t>
  </si>
  <si>
    <t xml:space="preserve">Recharge-efficiency manipulation is deferred with other shield-support systems.</t>
  </si>
  <si>
    <t xml:space="preserve">Flat protection is a future-SF capability with high weak-attack suppression risk.</t>
  </si>
  <si>
    <t xml:space="preserve">checkpoint_53_entry_floor_candidate</t>
  </si>
  <si>
    <t xml:space="preserve">TL1 remains compact; TL2 receives separately tuned Ablative entry candidates.</t>
  </si>
  <si>
    <t xml:space="preserve">Conventional maneuver-control support is realistic TL1 technology; its effect remains modest and tradeoff-bound.</t>
  </si>
  <si>
    <t xml:space="preserve">Conventional ECM exists at TL1 in a modest form.</t>
  </si>
  <si>
    <t xml:space="preserve">A TL1 ECM counter must exist in the same early technology environment.</t>
  </si>
  <si>
    <t xml:space="preserve">Direct movement denial is deferred to the future-SF era.</t>
  </si>
  <si>
    <t xml:space="preserve">TL1-TL3 repair remains human-crewed; robotic repair begins at TL4.</t>
  </si>
  <si>
    <t xml:space="preserve">Broad resource conversion is deferred to peak conventional engineering.</t>
  </si>
  <si>
    <t xml:space="preserve">new_concept_lineage</t>
  </si>
  <si>
    <t xml:space="preserve">Represents the proposed TL7-TL9 nanotechnological, adaptive-material, biological, or comparable self-healing era; exact mechanics are unresolved.</t>
  </si>
  <si>
    <t xml:space="preserve">Checkpoint 48 Historical Scenario-to-Architecture Bridge</t>
  </si>
  <si>
    <t xml:space="preserve">Historical Checkpoint 48 scenario estimates remain byte-identical regression evidence. Checkpoint 51 current runtime mappings are documented separately and do not rewrite these rows.</t>
  </si>
  <si>
    <t xml:space="preserve">Scenario profile</t>
  </si>
  <si>
    <t xml:space="preserve">Architecture sub-family</t>
  </si>
  <si>
    <t xml:space="preserve">Bridge status</t>
  </si>
  <si>
    <t xml:space="preserve">Runtime effect</t>
  </si>
  <si>
    <t xml:space="preserve">retained_checkpoint_48_estimate</t>
  </si>
  <si>
    <t xml:space="preserve">Retained Checkpoint 48 estimate; not rewritten</t>
  </si>
  <si>
    <t xml:space="preserve">Checkpoint 49 - Initial TL1-TL9 Technology Architecture</t>
  </si>
  <si>
    <t xml:space="preserve">Design-first checkpoint: preserve prior scenarios, validate the new architecture, and defer table-driven runtime generation.</t>
  </si>
  <si>
    <t xml:space="preserve">Hierarchy</t>
  </si>
  <si>
    <t xml:space="preserve">Family -&gt; Sub-family -&gt; TL implementation</t>
  </si>
  <si>
    <t xml:space="preserve">Prevents category drift and identity convergence</t>
  </si>
  <si>
    <t xml:space="preserve">Era bands</t>
  </si>
  <si>
    <t xml:space="preserve">TL1-3 realistic SF; TL4-6 future SF; TL7-9 science fantasy</t>
  </si>
  <si>
    <t xml:space="preserve">Controls capability tone and entry floors</t>
  </si>
  <si>
    <t xml:space="preserve">Standard families</t>
  </si>
  <si>
    <t xml:space="preserve">Retained 99-component standard spine</t>
  </si>
  <si>
    <t xml:space="preserve">Validated</t>
  </si>
  <si>
    <t xml:space="preserve">Sub-families</t>
  </si>
  <si>
    <t xml:space="preserve">Charted lines</t>
  </si>
  <si>
    <t xml:space="preserve">Complete milestone map through TL9</t>
  </si>
  <si>
    <t xml:space="preserve">AUX</t>
  </si>
  <si>
    <t xml:space="preserve">Prior concepts reviewed</t>
  </si>
  <si>
    <t xml:space="preserve">Every existing AUX concept receives an explicit proposed floor</t>
  </si>
  <si>
    <t xml:space="preserve">New late repair proposal</t>
  </si>
  <si>
    <t xml:space="preserve">Self-healing repair lineage at TL7+</t>
  </si>
  <si>
    <t xml:space="preserve">Concept proposal</t>
  </si>
  <si>
    <t xml:space="preserve">+1 Tactical Power; 3 uses</t>
  </si>
  <si>
    <t xml:space="preserve">Initial modest same-TL estimate</t>
  </si>
  <si>
    <t xml:space="preserve">First proposed at TL3</t>
  </si>
  <si>
    <t xml:space="preserve">Removed from TL1</t>
  </si>
  <si>
    <t xml:space="preserve">EvM / ECM / ECCM</t>
  </si>
  <si>
    <t xml:space="preserve">First proposed at TL1</t>
  </si>
  <si>
    <t xml:space="preserve">Conventional modest early systems</t>
  </si>
  <si>
    <t xml:space="preserve">AMM / shield support / auxiliary reactor</t>
  </si>
  <si>
    <t xml:space="preserve">Preserve identity while delaying high leverage</t>
  </si>
  <si>
    <t xml:space="preserve">Repair Drone / Tractor</t>
  </si>
  <si>
    <t xml:space="preserve">First proposed at TL4</t>
  </si>
  <si>
    <t xml:space="preserve">Robotic repair and movement control begin in future-SF era</t>
  </si>
  <si>
    <t xml:space="preserve">Common target family</t>
  </si>
  <si>
    <t xml:space="preserve">Missile flights, boarding craft, approved terminal threats</t>
  </si>
  <si>
    <t xml:space="preserve">All PDS sub-families share target eligibility</t>
  </si>
  <si>
    <t xml:space="preserve">Safety</t>
  </si>
  <si>
    <t xml:space="preserve">No invented mechanics</t>
  </si>
  <si>
    <t xml:space="preserve">Names and flavor create no mechanics</t>
  </si>
  <si>
    <t xml:space="preserve">Unknown details remain unresolved</t>
  </si>
  <si>
    <t xml:space="preserve">Scenarios</t>
  </si>
  <si>
    <t xml:space="preserve">Checkpoint 48 preservation</t>
  </si>
  <si>
    <t xml:space="preserve">53 scenario files SHA-256 locked</t>
  </si>
  <si>
    <t xml:space="preserve">Previous scenarios remain byte-identical</t>
  </si>
  <si>
    <t xml:space="preserve">Table-driven generation</t>
  </si>
  <si>
    <t xml:space="preserve">Bridge only; no hidden value changes</t>
  </si>
  <si>
    <t xml:space="preserve">Explicitly deferred</t>
  </si>
  <si>
    <t xml:space="preserve">Trials</t>
  </si>
  <si>
    <t xml:space="preserve">Runs the complete Checkpoint 48 scenario corpus</t>
  </si>
  <si>
    <t xml:space="preserve">Preserved</t>
  </si>
  <si>
    <t xml:space="preserve">60.13 million trials at 10,000 per variant</t>
  </si>
  <si>
    <t xml:space="preserve">Checkpoint 50 - Cruiser Installation Capacity Review</t>
  </si>
  <si>
    <t xml:space="preserve">Design-first capacity pass: distinguish historical screening allowances from normal player-hull progression and validate representative legal builds.</t>
  </si>
  <si>
    <t xml:space="preserve">Standard Hull</t>
  </si>
  <si>
    <t xml:space="preserve">AUX Capacity</t>
  </si>
  <si>
    <t xml:space="preserve">Capacity / design signal</t>
  </si>
  <si>
    <t xml:space="preserve">Starting specialization: one primary battery and one AUX choice.</t>
  </si>
  <si>
    <t xml:space="preserve">More technology choices; no installation-capacity growth.</t>
  </si>
  <si>
    <t xml:space="preserve">First major refit: second Weapon Bay and second AUX Capacity.</t>
  </si>
  <si>
    <t xml:space="preserve">New future-SF modules compete inside the same 2 AUX.</t>
  </si>
  <si>
    <t xml:space="preserve">Third AUX Capacity permits the first 2+1 combination.</t>
  </si>
  <si>
    <t xml:space="preserve">Third Weapon Bay; AUX holds at 3.</t>
  </si>
  <si>
    <t xml:space="preserve">Late-game refinement without automatic capacity inflation.</t>
  </si>
  <si>
    <t xml:space="preserve">Fourth AUX Capacity permits two capacity-2 systems.</t>
  </si>
  <si>
    <t xml:space="preserve">Fourth Weapon Bay; cruiser remains cruiser-scale.</t>
  </si>
  <si>
    <t xml:space="preserve">Historical boundary</t>
  </si>
  <si>
    <t xml:space="preserve">Checkpoint 48 TL2 screening</t>
  </si>
  <si>
    <t xml:space="preserve">1 Weapon Bay</t>
  </si>
  <si>
    <t xml:space="preserve">2 AUX screening capacity</t>
  </si>
  <si>
    <t xml:space="preserve">Diagnostic allowance only; not a normal TL2 hull promotion.</t>
  </si>
  <si>
    <t xml:space="preserve">Shuttle</t>
  </si>
  <si>
    <t xml:space="preserve">Exact second berth TL</t>
  </si>
  <si>
    <t xml:space="preserve">Late goal: 2</t>
  </si>
  <si>
    <t xml:space="preserve">Do not bind shuttle growth to this capacity pass.</t>
  </si>
  <si>
    <t xml:space="preserve">0 new scenario values</t>
  </si>
  <si>
    <t xml:space="preserve">All Checkpoint 49 runtime scenarios remain unchanged.</t>
  </si>
  <si>
    <t xml:space="preserve">Checkpoint 50 Representative Cruiser Capacity Fixtures</t>
  </si>
  <si>
    <t xml:space="preserve">Capacity-legality examples only. These are not promoted production loadouts and do not assign new combat values.</t>
  </si>
  <si>
    <t xml:space="preserve">Weapon Bays Used / Available</t>
  </si>
  <si>
    <t xml:space="preserve">AUX Used / Available</t>
  </si>
  <si>
    <t xml:space="preserve">AUX modules</t>
  </si>
  <si>
    <t xml:space="preserve">Capacity signal</t>
  </si>
  <si>
    <t xml:space="preserve">tl1-defense</t>
  </si>
  <si>
    <t xml:space="preserve">Defense specialist</t>
  </si>
  <si>
    <t xml:space="preserve">1 / 1</t>
  </si>
  <si>
    <t xml:space="preserve">One AUX slot forces a clear defensive specialization.</t>
  </si>
  <si>
    <t xml:space="preserve">legal_capacity_fixture</t>
  </si>
  <si>
    <t xml:space="preserve">tl1-explorer</t>
  </si>
  <si>
    <t xml:space="preserve">Explorer</t>
  </si>
  <si>
    <t xml:space="preserve">One AUX slot forces a sensor-versus-combat tradeoff.</t>
  </si>
  <si>
    <t xml:space="preserve">tl2-power</t>
  </si>
  <si>
    <t xml:space="preserve">Power planner</t>
  </si>
  <si>
    <t xml:space="preserve">TL2 gains more component choice but not more normal-hull AUX capacity.</t>
  </si>
  <si>
    <t xml:space="preserve">tl2-ew</t>
  </si>
  <si>
    <t xml:space="preserve">EW specialist</t>
  </si>
  <si>
    <t xml:space="preserve">A single-slot TL2 hull cannot stack ECM with another AUX without a later Hull milestone.</t>
  </si>
  <si>
    <t xml:space="preserve">tl3-defense</t>
  </si>
  <si>
    <t xml:space="preserve">2 / 2</t>
  </si>
  <si>
    <t xml:space="preserve">Anti-Missile Missile Battery; Shield Battery</t>
  </si>
  <si>
    <t xml:space="preserve">Two 1-capacity modules become legal at the first major integration milestone.</t>
  </si>
  <si>
    <t xml:space="preserve">tl3-power</t>
  </si>
  <si>
    <t xml:space="preserve">Power support</t>
  </si>
  <si>
    <t xml:space="preserve">A capacity-2 Auxiliary Reactor occupies the whole TL3 AUX allowance.</t>
  </si>
  <si>
    <t xml:space="preserve">tl4-repair</t>
  </si>
  <si>
    <t xml:space="preserve">Repair defense</t>
  </si>
  <si>
    <t xml:space="preserve">Shield Hardener; Repair Drone Bay</t>
  </si>
  <si>
    <t xml:space="preserve">New future-SF modules expand choice without a free capacity increase.</t>
  </si>
  <si>
    <t xml:space="preserve">tl4-control</t>
  </si>
  <si>
    <t xml:space="preserve">Movement control</t>
  </si>
  <si>
    <t xml:space="preserve">A capacity-2 Tractor Projector remains a full AUX commitment at TL4.</t>
  </si>
  <si>
    <t xml:space="preserve">tl5-power-ew</t>
  </si>
  <si>
    <t xml:space="preserve">Power and EW</t>
  </si>
  <si>
    <t xml:space="preserve">3 / 3</t>
  </si>
  <si>
    <t xml:space="preserve">Auxiliary Reactor; Electronic Countermeasures Suite</t>
  </si>
  <si>
    <t xml:space="preserve">Three AUX capacity permits a 2+1 combination for the first time.</t>
  </si>
  <si>
    <t xml:space="preserve">tl5-expedition</t>
  </si>
  <si>
    <t xml:space="preserve">Expedition support</t>
  </si>
  <si>
    <t xml:space="preserve">Auxiliary Hangar Bay; Laboratory Module</t>
  </si>
  <si>
    <t xml:space="preserve">A two-capacity hangar can coexist with one specialist module.</t>
  </si>
  <si>
    <t xml:space="preserve">tl6-combat</t>
  </si>
  <si>
    <t xml:space="preserve">Mixed combat support</t>
  </si>
  <si>
    <t xml:space="preserve">Shield Booster; Energy Point-Defense Array; Combat Battery</t>
  </si>
  <si>
    <t xml:space="preserve">Three one-capacity combat supports compete with the newly expanded weapon suite.</t>
  </si>
  <si>
    <t xml:space="preserve">tl6-logistics</t>
  </si>
  <si>
    <t xml:space="preserve">Logistics cruiser</t>
  </si>
  <si>
    <t xml:space="preserve">Fabrication Module; Cargo Expansion Module</t>
  </si>
  <si>
    <t xml:space="preserve">A 2+1 utility combination remains bounded at three AUX capacity.</t>
  </si>
  <si>
    <t xml:space="preserve">tl7-resilience</t>
  </si>
  <si>
    <t xml:space="preserve">Resilience support</t>
  </si>
  <si>
    <t xml:space="preserve">Auxiliary Reactor; Repair Drone Bay</t>
  </si>
  <si>
    <t xml:space="preserve">Self-healing remains excluded until its capacity cost and mechanics are defined.</t>
  </si>
  <si>
    <t xml:space="preserve">tl7-ew</t>
  </si>
  <si>
    <t xml:space="preserve">Information warfare</t>
  </si>
  <si>
    <t xml:space="preserve">Active Sensor Array; Electronic Countermeasures Suite; Electronic Counter-Countermeasures Suite</t>
  </si>
  <si>
    <t xml:space="preserve">Three related one-capacity modules can form a specialized late-game information build.</t>
  </si>
  <si>
    <t xml:space="preserve">tl8-heavy-support</t>
  </si>
  <si>
    <t xml:space="preserve">Heavy support</t>
  </si>
  <si>
    <t xml:space="preserve">4 / 4</t>
  </si>
  <si>
    <t xml:space="preserve">Tractor Projector; Auxiliary Reactor</t>
  </si>
  <si>
    <t xml:space="preserve">Four AUX capacity permits two capacity-2 systems but consumes the full allowance.</t>
  </si>
  <si>
    <t xml:space="preserve">tl8-expedition</t>
  </si>
  <si>
    <t xml:space="preserve">Deep expedition</t>
  </si>
  <si>
    <t xml:space="preserve">Auxiliary Hangar Bay; Fabrication Module</t>
  </si>
  <si>
    <t xml:space="preserve">Two large utility modules fit only after the TL8 AUX milestone.</t>
  </si>
  <si>
    <t xml:space="preserve">tl9-balanced</t>
  </si>
  <si>
    <t xml:space="preserve">Balanced pinnacle</t>
  </si>
  <si>
    <t xml:space="preserve">Shield Hardener; Shield Power Stabilizer; Repair Drone Bay; Combat Battery</t>
  </si>
  <si>
    <t xml:space="preserve">Four one-capacity systems give breadth without unbounded stacking.</t>
  </si>
  <si>
    <t xml:space="preserve">tl9-heavy-support</t>
  </si>
  <si>
    <t xml:space="preserve">Heavy pinnacle support</t>
  </si>
  <si>
    <t xml:space="preserve">Two capacity-2 systems still consume the full TL9 AUX allowance.</t>
  </si>
  <si>
    <t xml:space="preserve">Checkpoint 51 - TL1/TL2 PDS Candidate Characteristics</t>
  </si>
  <si>
    <t xml:space="preserve">All three sub-families enter at TL1. Reaction Capacity is intentionally held at 1 so early accuracy, power, and ammunition tradeoffs can be reviewed without conflating another variable.</t>
  </si>
  <si>
    <t xml:space="preserve">PDS sub-family</t>
  </si>
  <si>
    <t xml:space="preserve">Base chance</t>
  </si>
  <si>
    <t xml:space="preserve">Ship targeting</t>
  </si>
  <si>
    <t xml:space="preserve">Effective candidate</t>
  </si>
  <si>
    <t xml:space="preserve">Reaction capacity</t>
  </si>
  <si>
    <t xml:space="preserve">TP readiness</t>
  </si>
  <si>
    <t xml:space="preserve">Candidate role / note</t>
  </si>
  <si>
    <t xml:space="preserve">Baseline gun CIWS: cheapest readiness and deep ammunition, lowest candidate accuracy.</t>
  </si>
  <si>
    <t xml:space="preserve">Early directed-energy defense: no conventional ammunition, higher readiness power, modest accuracy.</t>
  </si>
  <si>
    <t xml:space="preserve">Early interceptor battery: best candidate accuracy, scarce ammunition, still deliberately modest.</t>
  </si>
  <si>
    <t xml:space="preserve">Accuracy and ammunition efficiency improve; Reaction Capacity remains one.</t>
  </si>
  <si>
    <t xml:space="preserve">Accuracy improves while high readiness power remains the principal tradeoff.</t>
  </si>
  <si>
    <t xml:space="preserve">Seeker/reliability and ammunition improve; Reaction Capacity remains one.</t>
  </si>
  <si>
    <t xml:space="preserve">Checkpoint 52 - Table-Backed TL1/TL2 Standard Runtime Profiles</t>
  </si>
  <si>
    <t xml:space="preserve">TL1 remains a hard frozen-equivalence profile and TL2 remains the accepted standard package. Checkpoint 52 changes AUX resource state mechanics, not these standard ship values.</t>
  </si>
  <si>
    <t xml:space="preserve">Reactor TP</t>
  </si>
  <si>
    <t xml:space="preserve">Targeting</t>
  </si>
  <si>
    <t xml:space="preserve">STL move</t>
  </si>
  <si>
    <t xml:space="preserve">Missile move</t>
  </si>
  <si>
    <t xml:space="preserve">Kinetic ACC</t>
  </si>
  <si>
    <t xml:space="preserve">Energy ACC</t>
  </si>
  <si>
    <t xml:space="preserve">Missile guidance</t>
  </si>
  <si>
    <t xml:space="preserve">Source</t>
  </si>
  <si>
    <t xml:space="preserve">tl1-production</t>
  </si>
  <si>
    <t xml:space="preserve">docs/design/player_technology/tl1_core_combat_numerical_baseline_v0_1.csv</t>
  </si>
  <si>
    <t xml:space="preserve">src/StarCluster.ScenarioRunner/Scenarios/AuxiliaryTechnology/tl2-accepted-standard-combat-profile-v0_1.json</t>
  </si>
  <si>
    <t xml:space="preserve">Checkpoint 51 - Architecture-Legal TL1/TL2 Combat AUX Inventory</t>
  </si>
  <si>
    <t xml:space="preserve">Only legal early AUX with an implemented combat effect enter the matrix. Other architecture-legal early systems are omitted rather than assigned an artificial zero combat value. No-AUX remains diagnostic only.</t>
  </si>
  <si>
    <t xml:space="preserve">Runtime profile</t>
  </si>
  <si>
    <t xml:space="preserve">Valuation class</t>
  </si>
  <si>
    <t xml:space="preserve">Implemented effect</t>
  </si>
  <si>
    <t xml:space="preserve">Matrix status</t>
  </si>
  <si>
    <t xml:space="preserve">aux-r51-tl1-kinetic-pds</t>
  </si>
  <si>
    <t xml:space="preserve">PDS base 10</t>
  </si>
  <si>
    <t xml:space="preserve">legal one-slot candidate</t>
  </si>
  <si>
    <t xml:space="preserve">aux-r51-tl1-energy-pds</t>
  </si>
  <si>
    <t xml:space="preserve">TL1 Energy Point-Defense Array</t>
  </si>
  <si>
    <t xml:space="preserve">PDS base 12</t>
  </si>
  <si>
    <t xml:space="preserve">aux-r51-tl1-amm-pds</t>
  </si>
  <si>
    <t xml:space="preserve">PDS base 15</t>
  </si>
  <si>
    <t xml:space="preserve">aux-r51-tl2-kinetic-pds</t>
  </si>
  <si>
    <t xml:space="preserve">PDS base 13</t>
  </si>
  <si>
    <t xml:space="preserve">aux-r51-tl2-energy-pds</t>
  </si>
  <si>
    <t xml:space="preserve">PDS base 16</t>
  </si>
  <si>
    <t xml:space="preserve">aux-r51-tl2-amm-pds</t>
  </si>
  <si>
    <t xml:space="preserve">PDS base 20</t>
  </si>
  <si>
    <t xml:space="preserve">aux-r51-tl1-combat-battery</t>
  </si>
  <si>
    <t xml:space="preserve">battery 2</t>
  </si>
  <si>
    <t xml:space="preserve">aux-r51-tl1-ablative-armor</t>
  </si>
  <si>
    <t xml:space="preserve">ablative AI 2</t>
  </si>
  <si>
    <t xml:space="preserve">aux-r51-tl1-evasive-maneuver-system</t>
  </si>
  <si>
    <t xml:space="preserve">TL1 Evasive Maneuver System</t>
  </si>
  <si>
    <t xml:space="preserve">evasive maneuver support</t>
  </si>
  <si>
    <t xml:space="preserve">aux-r51-tl1-kinetic-magazine</t>
  </si>
  <si>
    <t xml:space="preserve">kinetic ammo 50</t>
  </si>
  <si>
    <t xml:space="preserve">aux-r51-tl1-missile-magazine</t>
  </si>
  <si>
    <t xml:space="preserve">missile ammo 12</t>
  </si>
  <si>
    <t xml:space="preserve">aux-r51-tl2-combat-battery</t>
  </si>
  <si>
    <t xml:space="preserve">battery 3</t>
  </si>
  <si>
    <t xml:space="preserve">aux-r51-tl2-ablative-armor</t>
  </si>
  <si>
    <t xml:space="preserve">aux-r51-tl2-evasive-maneuver-system</t>
  </si>
  <si>
    <t xml:space="preserve">aux-r51-tl2-kinetic-magazine</t>
  </si>
  <si>
    <t xml:space="preserve">kinetic ammo 75</t>
  </si>
  <si>
    <t xml:space="preserve">aux-r51-tl2-missile-magazine</t>
  </si>
  <si>
    <t xml:space="preserve">missile ammo 15</t>
  </si>
  <si>
    <t xml:space="preserve">aux-r51-tl2-power-capacitor</t>
  </si>
  <si>
    <t xml:space="preserve">capacitor 4</t>
  </si>
  <si>
    <t xml:space="preserve">Checkpoint 52 - Stateful Architecture-Legal TL1/TL2 Combat AUX Inventory</t>
  </si>
  <si>
    <t xml:space="preserve">The legal one-slot inventory is unchanged from Checkpoint 51, but power-support components now use their intended stateful mechanics. No-AUX remains diagnostic only; endurance components are also examined in repeated-engagement stress tests.</t>
  </si>
  <si>
    <t xml:space="preserve">aux-r52-tl1-ablative-armor</t>
  </si>
  <si>
    <t xml:space="preserve">ablative AP 0; AI 2</t>
  </si>
  <si>
    <t xml:space="preserve">aux-r52-tl1-amm-pds</t>
  </si>
  <si>
    <t xml:space="preserve">PDS base 15; 1 TP; ammo 25</t>
  </si>
  <si>
    <t xml:space="preserve">aux-r52-tl1-combat-battery</t>
  </si>
  <si>
    <t xml:space="preserve">+1 TP x 3 finite charges</t>
  </si>
  <si>
    <t xml:space="preserve">aux-r52-tl1-energy-pds</t>
  </si>
  <si>
    <t xml:space="preserve">PDS base 12; 2 TP; ammo unlimited</t>
  </si>
  <si>
    <t xml:space="preserve">aux-r52-tl1-evasive-maneuver-system</t>
  </si>
  <si>
    <t xml:space="preserve">enables evasive-maneuver support</t>
  </si>
  <si>
    <t xml:space="preserve">aux-r52-tl1-kinetic-magazine</t>
  </si>
  <si>
    <t xml:space="preserve">+50 kinetic reserve</t>
  </si>
  <si>
    <t xml:space="preserve">aux-r52-tl1-kinetic-pds</t>
  </si>
  <si>
    <t xml:space="preserve">PDS base 10; 1 TP; ammo 50</t>
  </si>
  <si>
    <t xml:space="preserve">aux-r52-tl1-missile-magazine</t>
  </si>
  <si>
    <t xml:space="preserve">+12 missile reserve</t>
  </si>
  <si>
    <t xml:space="preserve">aux-r52-tl2-ablative-armor</t>
  </si>
  <si>
    <t xml:space="preserve">ablative AP 1; AI 2</t>
  </si>
  <si>
    <t xml:space="preserve">aux-r52-tl2-amm-pds</t>
  </si>
  <si>
    <t xml:space="preserve">PDS base 20; 1 TP; ammo 30</t>
  </si>
  <si>
    <t xml:space="preserve">aux-r52-tl2-combat-battery</t>
  </si>
  <si>
    <t xml:space="preserve">aux-r52-tl2-energy-pds</t>
  </si>
  <si>
    <t xml:space="preserve">PDS base 16; 2 TP; ammo unlimited</t>
  </si>
  <si>
    <t xml:space="preserve">aux-r52-tl2-evasive-maneuver-system</t>
  </si>
  <si>
    <t xml:space="preserve">aux-r52-tl2-kinetic-magazine</t>
  </si>
  <si>
    <t xml:space="preserve">+75 kinetic reserve</t>
  </si>
  <si>
    <t xml:space="preserve">aux-r52-tl2-kinetic-pds</t>
  </si>
  <si>
    <t xml:space="preserve">PDS base 13; 1 TP; ammo 60</t>
  </si>
  <si>
    <t xml:space="preserve">aux-r52-tl2-missile-magazine</t>
  </si>
  <si>
    <t xml:space="preserve">+15 missile reserve</t>
  </si>
  <si>
    <t xml:space="preserve">aux-r52-tl2-power-capacitor</t>
  </si>
  <si>
    <t xml:space="preserve">store 1; +1 discharge; 1 TP recharge</t>
  </si>
  <si>
    <t xml:space="preserve">aux-r52-none-tl1</t>
  </si>
  <si>
    <t xml:space="preserve">TL1 No AUX Diagnostic</t>
  </si>
  <si>
    <t xml:space="preserve">none (diagnostic)</t>
  </si>
  <si>
    <t xml:space="preserve">diagnostic only</t>
  </si>
  <si>
    <t xml:space="preserve">aux-r52-none-tl2</t>
  </si>
  <si>
    <t xml:space="preserve">TL2 No AUX Diagnostic</t>
  </si>
  <si>
    <t xml:space="preserve">Checkpoint 52 - Stateful Power and Endurance Resource Contracts</t>
  </si>
  <si>
    <t xml:space="preserve">These are provisional executable contracts for the next evidence pass. Finite resources persist across encounters; reusable stored power must be recharged on a later turn; tactical shield recharge is a core ship action.</t>
  </si>
  <si>
    <t xml:space="preserve">System</t>
  </si>
  <si>
    <t xml:space="preserve">Primary candidate</t>
  </si>
  <si>
    <t xml:space="preserve">Per-use effect</t>
  </si>
  <si>
    <t xml:space="preserve">State</t>
  </si>
  <si>
    <t xml:space="preserve">Recharge / replenishment</t>
  </si>
  <si>
    <t xml:space="preserve">Fallback / stress candidates</t>
  </si>
  <si>
    <t xml:space="preserve">Single-duel role</t>
  </si>
  <si>
    <t xml:space="preserve">Campaign / endurance role</t>
  </si>
  <si>
    <t xml:space="preserve">3 charges</t>
  </si>
  <si>
    <t xml:space="preserve">+1 TP; max 1/turn</t>
  </si>
  <si>
    <t xml:space="preserve">finite charges</t>
  </si>
  <si>
    <t xml:space="preserve">strategic replenishment; no ordinary combat refresh</t>
  </si>
  <si>
    <t xml:space="preserve">2 charges before any TL2 move</t>
  </si>
  <si>
    <t xml:space="preserve">emergency burst power</t>
  </si>
  <si>
    <t xml:space="preserve">spend scarce campaign reserve only when needed</t>
  </si>
  <si>
    <t xml:space="preserve">1 stored TP</t>
  </si>
  <si>
    <t xml:space="preserve">+1 TP discharge</t>
  </si>
  <si>
    <t xml:space="preserve">charged / empty</t>
  </si>
  <si>
    <t xml:space="preserve">spend 1 TP on a later turn; no same-turn charge+discharge</t>
  </si>
  <si>
    <t xml:space="preserve">rule retune only if evidence warrants</t>
  </si>
  <si>
    <t xml:space="preserve">shift power into a high-demand turn</t>
  </si>
  <si>
    <t xml:space="preserve">reusable; trades quiet-turn TP for later tempo</t>
  </si>
  <si>
    <t xml:space="preserve">25 TL1 / 30 TL2 rounds</t>
  </si>
  <si>
    <t xml:space="preserve">1 TP readiness; CP51 accuracy retained</t>
  </si>
  <si>
    <t xml:space="preserve">finite interceptor ammo</t>
  </si>
  <si>
    <t xml:space="preserve">reload strategically; not forced after each fight</t>
  </si>
  <si>
    <t xml:space="preserve">15 / 20 / 25 / 30 rounds</t>
  </si>
  <si>
    <t xml:space="preserve">best current specialized missile-defense accuracy</t>
  </si>
  <si>
    <t xml:space="preserve">ammo scarcity should emerge over multiple combats</t>
  </si>
  <si>
    <t xml:space="preserve">+50 packages</t>
  </si>
  <si>
    <t xml:space="preserve">increases reserve only</t>
  </si>
  <si>
    <t xml:space="preserve">finite weapon ammo</t>
  </si>
  <si>
    <t xml:space="preserve">strategic reload/resupply</t>
  </si>
  <si>
    <t xml:space="preserve">stress repeated 12 / 20 / 30 package fights</t>
  </si>
  <si>
    <t xml:space="preserve">may be nearly neutral in one duel</t>
  </si>
  <si>
    <t xml:space="preserve">extends number/intensity of fights before resupply</t>
  </si>
  <si>
    <t xml:space="preserve">+12 TL1 / +15 TL2</t>
  </si>
  <si>
    <t xml:space="preserve">finite missile ammo</t>
  </si>
  <si>
    <t xml:space="preserve">stress repeated 4 / 6 / 8 / 10 launch fights</t>
  </si>
  <si>
    <t xml:space="preserve">extends missile-heavy campaign endurance</t>
  </si>
  <si>
    <t xml:space="preserve">Tactical Shield Recharge</t>
  </si>
  <si>
    <t xml:space="preserve">core</t>
  </si>
  <si>
    <t xml:space="preserve">not an AUX component</t>
  </si>
  <si>
    <t xml:space="preserve">spend ordinary TP per shield profile</t>
  </si>
  <si>
    <t xml:space="preserve">ship action</t>
  </si>
  <si>
    <t xml:space="preserve">available whenever functional shield + TP permit</t>
  </si>
  <si>
    <t xml:space="preserve">Shield Stabilizer may modify rate/cap later</t>
  </si>
  <si>
    <t xml:space="preserve">defensive TP choice</t>
  </si>
  <si>
    <t xml:space="preserve">must not be unlocked by Battery/Capacitor selection</t>
  </si>
  <si>
    <t xml:space="preserve">Checkpoint 52 - Multi-Encounter Resource Endurance Stress Grid</t>
  </si>
  <si>
    <t xml:space="preserve">Deterministic resource accounting complements the 975-variant combat matrix. The goal is to expose campaign/endurance tradeoffs without requiring endurance components to dominate or deplete in one duel.</t>
  </si>
  <si>
    <t xml:space="preserve">Resource</t>
  </si>
  <si>
    <t xml:space="preserve">Candidate / reserve</t>
  </si>
  <si>
    <t xml:space="preserve">Demand per encounter</t>
  </si>
  <si>
    <t xml:space="preserve">Encounter counts</t>
  </si>
  <si>
    <t xml:space="preserve">Primary evidence question</t>
  </si>
  <si>
    <t xml:space="preserve">Expected interpretation</t>
  </si>
  <si>
    <t xml:space="preserve">Notes</t>
  </si>
  <si>
    <t xml:space="preserve">2, 3 charges</t>
  </si>
  <si>
    <t xml:space="preserve">1, 2, 3 surge uses</t>
  </si>
  <si>
    <t xml:space="preserve">1, 2, 3, 4</t>
  </si>
  <si>
    <t xml:space="preserve">How many urgent +1 TP turns are supported before depletion?</t>
  </si>
  <si>
    <t xml:space="preserve">3-charge candidate is primary; 2-charge is first fallback if combat evidence remains compulsory</t>
  </si>
  <si>
    <t xml:space="preserve">No automatic refill between encounters in endurance study.</t>
  </si>
  <si>
    <t xml:space="preserve">1 stored / 1 charge / 1 discharge</t>
  </si>
  <si>
    <t xml:space="preserve">alternating, back-to-back, recharge-first turn patterns</t>
  </si>
  <si>
    <t xml:space="preserve">turn sequence</t>
  </si>
  <si>
    <t xml:space="preserve">Does +1 burst require a genuine later 1 TP recharge and fail back-to-back without it?</t>
  </si>
  <si>
    <t xml:space="preserve">Reusable tempo-shifter; no net free repeat power</t>
  </si>
  <si>
    <t xml:space="preserve">Yes (mechanics)</t>
  </si>
  <si>
    <t xml:space="preserve">Same-turn charge/discharge prohibited.</t>
  </si>
  <si>
    <t xml:space="preserve">AMM ammunition</t>
  </si>
  <si>
    <t xml:space="preserve">15, 20, 25, 30 rounds</t>
  </si>
  <si>
    <t xml:space="preserve">6, 8, 10, 12 PDS attempts</t>
  </si>
  <si>
    <t xml:space="preserve">How many missile-defense encounters can each reserve support?</t>
  </si>
  <si>
    <t xml:space="preserve">Primary 25/30 should leave reserve after representative single fights; lower candidates should bind over repeated fights</t>
  </si>
  <si>
    <t xml:space="preserve">Accuracy unchanged unless tactical evidence independently calls for it.</t>
  </si>
  <si>
    <t xml:space="preserve">Kinetic magazine</t>
  </si>
  <si>
    <t xml:space="preserve">100 base; +50 expansion</t>
  </si>
  <si>
    <t xml:space="preserve">12, 20, 30 packages</t>
  </si>
  <si>
    <t xml:space="preserve">When does added reserve extend operating endurance?</t>
  </si>
  <si>
    <t xml:space="preserve">Single-duel neutrality is acceptable if repeated-fight endurance is real</t>
  </si>
  <si>
    <t xml:space="preserve">Logistics/endurance component.</t>
  </si>
  <si>
    <t xml:space="preserve">Missile magazine</t>
  </si>
  <si>
    <t xml:space="preserve">25 base; +12 TL1 / +15 TL2</t>
  </si>
  <si>
    <t xml:space="preserve">4, 6, 8, 10 packages</t>
  </si>
  <si>
    <t xml:space="preserve">When does added reserve extend missile-heavy operating endurance?</t>
  </si>
  <si>
    <t xml:space="preserve">Checkpoint 53 - Refined Architecture-Legal TL1/TL2 Combat AUX Inventory</t>
  </si>
  <si>
    <t xml:space="preserve">Ablative Armor leaves TL1 and begins at TL2. AMM is 25 rounds at both levels. No-AUX remains diagnostic only; stateful Battery/Capacitor mechanics remain unchanged.</t>
  </si>
  <si>
    <t xml:space="preserve">aux-r53-tl1-amm-pds</t>
  </si>
  <si>
    <t xml:space="preserve">aux-r53-tl1-combat-battery</t>
  </si>
  <si>
    <t xml:space="preserve">+1 TP x 3 charges; max 1/turn; no encounter cap</t>
  </si>
  <si>
    <t xml:space="preserve">aux-r53-tl1-energy-pds</t>
  </si>
  <si>
    <t xml:space="preserve">aux-r53-tl1-evasive-maneuver-system</t>
  </si>
  <si>
    <t xml:space="preserve">aux-r53-tl1-kinetic-magazine</t>
  </si>
  <si>
    <t xml:space="preserve">aux-r53-tl1-kinetic-pds</t>
  </si>
  <si>
    <t xml:space="preserve">aux-r53-tl1-missile-magazine</t>
  </si>
  <si>
    <t xml:space="preserve">aux-r53-tl2-ablative-armor</t>
  </si>
  <si>
    <t xml:space="preserve">TL2 Ablative Armor Layer (Leading Entry Candidate)</t>
  </si>
  <si>
    <t xml:space="preserve">aux-r53-tl2-amm-pds</t>
  </si>
  <si>
    <t xml:space="preserve">PDS base 20; 1 TP; ammo 25</t>
  </si>
  <si>
    <t xml:space="preserve">aux-r53-tl2-combat-battery</t>
  </si>
  <si>
    <t xml:space="preserve">aux-r53-tl2-energy-pds</t>
  </si>
  <si>
    <t xml:space="preserve">aux-r53-tl2-evasive-maneuver-system</t>
  </si>
  <si>
    <t xml:space="preserve">aux-r53-tl2-kinetic-magazine</t>
  </si>
  <si>
    <t xml:space="preserve">aux-r53-tl2-kinetic-pds</t>
  </si>
  <si>
    <t xml:space="preserve">aux-r53-tl2-missile-magazine</t>
  </si>
  <si>
    <t xml:space="preserve">aux-r53-tl2-power-capacitor</t>
  </si>
  <si>
    <t xml:space="preserve">+1 TP discharge; later-turn 1 TP recharge</t>
  </si>
  <si>
    <t xml:space="preserve">Checkpoint 53 - TL2 Ablative Armor Candidate Review</t>
  </si>
  <si>
    <t xml:space="preserve">Ablative Armor now enters at TL2. AP0/AI2 is the leading entry candidate; three alternatives remain explicit comparison/control profiles. No candidate is promoted automatically.</t>
  </si>
  <si>
    <t xml:space="preserve">Compare vs No AUX</t>
  </si>
  <si>
    <t xml:space="preserve">Compare vs Evasion</t>
  </si>
  <si>
    <t xml:space="preserve">Head-to-head</t>
  </si>
  <si>
    <t xml:space="preserve">AP0 / AI2</t>
  </si>
  <si>
    <t xml:space="preserve">leading entry candidate</t>
  </si>
  <si>
    <t xml:space="preserve">Yes</t>
  </si>
  <si>
    <t xml:space="preserve">primary review</t>
  </si>
  <si>
    <t xml:space="preserve">AP0 / AI3</t>
  </si>
  <si>
    <t xml:space="preserve">integrity-heavy alternative</t>
  </si>
  <si>
    <t xml:space="preserve">comparison</t>
  </si>
  <si>
    <t xml:space="preserve">AP1 / AI1</t>
  </si>
  <si>
    <t xml:space="preserve">protection/shallow alternative</t>
  </si>
  <si>
    <t xml:space="preserve">AP1 / AI2</t>
  </si>
  <si>
    <t xml:space="preserve">Checkpoint 52 historical profile</t>
  </si>
  <si>
    <t xml:space="preserve">historical control</t>
  </si>
  <si>
    <t xml:space="preserve">aux-abl01-tl2-ablative-candidate-study</t>
  </si>
  <si>
    <t xml:space="preserve">96 variants: Kinetic, Energy, Missile; vs No AUX, vs Evasion, candidate head-to-head, mirrors.</t>
  </si>
  <si>
    <t xml:space="preserve">Checkpoint 53 - Tactical Power Stress and Resource Contracts</t>
  </si>
  <si>
    <t xml:space="preserve">Ordinary duels remain the control. A separate diagnostic reserves common sustained Tactical Power to expose whether Battery/Capacitor provide useful tempo under genuine discretionary-power constraint.</t>
  </si>
  <si>
    <t xml:space="preserve">System / lane</t>
  </si>
  <si>
    <t xml:space="preserve">Primary contract</t>
  </si>
  <si>
    <t xml:space="preserve">Stress use</t>
  </si>
  <si>
    <t xml:space="preserve">+1 TP; max 1 discharge/turn</t>
  </si>
  <si>
    <t xml:space="preserve">strategic replenishment</t>
  </si>
  <si>
    <t xml:space="preserve">May spend all 3 over 3 turns of one long fight</t>
  </si>
  <si>
    <t xml:space="preserve">No encounter cap.</t>
  </si>
  <si>
    <t xml:space="preserve">spend 1 TP on later turn</t>
  </si>
  <si>
    <t xml:space="preserve">Shift a quiet-turn TP into a demanding turn</t>
  </si>
  <si>
    <t xml:space="preserve">No same-turn recharge/discharge.</t>
  </si>
  <si>
    <t xml:space="preserve">Normal-control lane</t>
  </si>
  <si>
    <t xml:space="preserve">TL1/TL2</t>
  </si>
  <si>
    <t xml:space="preserve">0 background commitment</t>
  </si>
  <si>
    <t xml:space="preserve">ordinary ship power economy</t>
  </si>
  <si>
    <t xml:space="preserve">diagnostic</t>
  </si>
  <si>
    <t xml:space="preserve">confirms no artificial duel buff</t>
  </si>
  <si>
    <t xml:space="preserve">39 variants.</t>
  </si>
  <si>
    <t xml:space="preserve">Sustained-load lane</t>
  </si>
  <si>
    <t xml:space="preserve">3 TP common commitment</t>
  </si>
  <si>
    <t xml:space="preserve">reserves power before combat package</t>
  </si>
  <si>
    <t xml:space="preserve">high-demand environment</t>
  </si>
  <si>
    <t xml:space="preserve">Not a new universal hotel-load rule.</t>
  </si>
  <si>
    <t xml:space="preserve">4 TP common commitment</t>
  </si>
  <si>
    <t xml:space="preserve">25 rounds</t>
  </si>
  <si>
    <t xml:space="preserve">1 TP readiness; accuracy unchanged</t>
  </si>
  <si>
    <t xml:space="preserve">finite ammo</t>
  </si>
  <si>
    <t xml:space="preserve">strategic reload</t>
  </si>
  <si>
    <t xml:space="preserve">campaign endurance</t>
  </si>
  <si>
    <t xml:space="preserve">25 rounds at both TLs.</t>
  </si>
  <si>
    <t xml:space="preserve">Checkpoint 53 - Resource Semantics Lock</t>
  </si>
  <si>
    <t xml:space="preserve">Deterministic accounting locks the intended timescales: Battery is one discharge per turn with no encounter cap; Capacitor requires later-turn recharge; AMM remains 25 rounds; magazine expansions retain campaign-endurance value.</t>
  </si>
  <si>
    <t xml:space="preserve">1, 2, 3, 4 distinct surge turns</t>
  </si>
  <si>
    <t xml:space="preserve">1, 2, 3</t>
  </si>
  <si>
    <t xml:space="preserve">Can one protracted fight spend all 3 charges over 3 turns?</t>
  </si>
  <si>
    <t xml:space="preserve">Yes; one/turn limit only, no encounter cap</t>
  </si>
  <si>
    <t xml:space="preserve">Charges persist downward across later encounters.</t>
  </si>
  <si>
    <t xml:space="preserve">alternating, back-to-back, recharge-first</t>
  </si>
  <si>
    <t xml:space="preserve">Does repeat burst require a later 1 TP recharge?</t>
  </si>
  <si>
    <t xml:space="preserve">Reusable tempo-shifter; no net free power</t>
  </si>
  <si>
    <t xml:space="preserve">Does 25 preserve first-fight reserve but bind across repeated missile-heavy fights?</t>
  </si>
  <si>
    <t xml:space="preserve">Campaign endurance, not forced first-fight depletion</t>
  </si>
  <si>
    <t xml:space="preserve">TL1 and TL2 both 25.</t>
  </si>
  <si>
    <t xml:space="preserve">When does added reserve extend endurance?</t>
  </si>
  <si>
    <t xml:space="preserve">Single-duel neutrality acceptable</t>
  </si>
  <si>
    <t xml:space="preserve">Checkpoint 54 - TL3 Standard Combat Profile Candidates</t>
  </si>
  <si>
    <t xml:space="preserve">TL1/TL2 are frozen. These three TL3 vectors separate structural capacity from numerical progression and deliberately include a stronger sensitivity control.</t>
  </si>
  <si>
    <t xml:space="preserve">Move</t>
  </si>
  <si>
    <t xml:space="preserve">tl3-capacity-control</t>
  </si>
  <si>
    <t xml:space="preserve">DAM 4 / APEN 0 / Acc +23 / R4 / 1 TP</t>
  </si>
  <si>
    <t xml:space="preserve">DAM 3 / SPEN 1 / APEN 1 / Acc +28 / R5 / 2 TP</t>
  </si>
  <si>
    <t xml:space="preserve">DAM 5 / SPEN 1 / APEN 2 / Guide 60 / R7</t>
  </si>
  <si>
    <t xml:space="preserve">Candidate only; no automatic promotion</t>
  </si>
  <si>
    <t xml:space="preserve">tl3-balanced-candidate</t>
  </si>
  <si>
    <t xml:space="preserve">Leading balanced candidate</t>
  </si>
  <si>
    <t xml:space="preserve">DAM 4 / APEN 1 / Acc +26 / R5 / 2 TP</t>
  </si>
  <si>
    <t xml:space="preserve">DAM 3 / SPEN 1 / APEN 1 / Acc +31 / R6 / 2 TP</t>
  </si>
  <si>
    <t xml:space="preserve">DAM 5 / SPEN 1 / APEN 2 / Guide 65 / R8</t>
  </si>
  <si>
    <t xml:space="preserve">tl3-output-forward-control</t>
  </si>
  <si>
    <t xml:space="preserve">Strong sensitivity control</t>
  </si>
  <si>
    <t xml:space="preserve">DAM 5 / APEN 1 / Acc +27 / R5 / 2 TP</t>
  </si>
  <si>
    <t xml:space="preserve">DAM 4 / SPEN 1 / APEN 1 / Acc +32 / R6 / 3 TP</t>
  </si>
  <si>
    <t xml:space="preserve">DAM 6 / SPEN 1 / APEN 2 / Guide 68 / R8</t>
  </si>
  <si>
    <t xml:space="preserve">Checkpoint 54 - TL3 Two-Weapon-Bay Screening</t>
  </si>
  <si>
    <t xml:space="preserve">TL3 Hull capacity supports two installed weapon batteries. Each bay remains one attack package; attacks commit before damage resolution.</t>
  </si>
  <si>
    <t xml:space="preserve">Loadout</t>
  </si>
  <si>
    <t xml:space="preserve">Bay 1 / Primary</t>
  </si>
  <si>
    <t xml:space="preserve">Bay 2 / Secondary</t>
  </si>
  <si>
    <t xml:space="preserve">Ammo Support</t>
  </si>
  <si>
    <t xml:space="preserve">Range Policy</t>
  </si>
  <si>
    <t xml:space="preserve">Purpose / Note</t>
  </si>
  <si>
    <t xml:space="preserve">KK</t>
  </si>
  <si>
    <t xml:space="preserve">Shared shipwide Kinetic reserve</t>
  </si>
  <si>
    <t xml:space="preserve">Bay 1 drives opponent-aware range; Bay 2 fires when legal</t>
  </si>
  <si>
    <t xml:space="preserve">Ordered pairing is intentional; reversing the bays may change doctrine and firing priority. Screening policy only.</t>
  </si>
  <si>
    <t xml:space="preserve">KE</t>
  </si>
  <si>
    <t xml:space="preserve">Separate family supports</t>
  </si>
  <si>
    <t xml:space="preserve">KM</t>
  </si>
  <si>
    <t xml:space="preserve">EK</t>
  </si>
  <si>
    <t xml:space="preserve">EE</t>
  </si>
  <si>
    <t xml:space="preserve">No ammunition reserve</t>
  </si>
  <si>
    <t xml:space="preserve">EM</t>
  </si>
  <si>
    <t xml:space="preserve">MK</t>
  </si>
  <si>
    <t xml:space="preserve">ME</t>
  </si>
  <si>
    <t xml:space="preserve">MM</t>
  </si>
  <si>
    <t xml:space="preserve">Shared shipwide Missile reserve</t>
  </si>
  <si>
    <t xml:space="preserve">Checkpoint 54 - TL3 Capacity-2 AUX Combination Screen</t>
  </si>
  <si>
    <t xml:space="preserve">Thirteen curated legal capacity-2 loadouts test two-small-AUX opportunity cost and first TL3 capacity-2 components. Same-source stacking is not assumed.</t>
  </si>
  <si>
    <t xml:space="preserve">Runtime ID</t>
  </si>
  <si>
    <t xml:space="preserve">Power Support</t>
  </si>
  <si>
    <t xml:space="preserve">Shield / Armor</t>
  </si>
  <si>
    <t xml:space="preserve">Evasion</t>
  </si>
  <si>
    <t xml:space="preserve">Ammo Bonus</t>
  </si>
  <si>
    <t xml:space="preserve">Valuation</t>
  </si>
  <si>
    <t xml:space="preserve">aux-r54-kpds-shield-battery</t>
  </si>
  <si>
    <t xml:space="preserve">Kinetic PDS + Shield Battery</t>
  </si>
  <si>
    <t xml:space="preserve">13 base / 1 TP / ammo 75</t>
  </si>
  <si>
    <t xml:space="preserve">Shield battery 2 x2</t>
  </si>
  <si>
    <t xml:space="preserve">Candidate screening; composite damage exposure not final</t>
  </si>
  <si>
    <t xml:space="preserve">aux-r54-epds-shield-battery</t>
  </si>
  <si>
    <t xml:space="preserve">Energy PDS + Shield Battery</t>
  </si>
  <si>
    <t xml:space="preserve">16 base / 1 TP / ammo none</t>
  </si>
  <si>
    <t xml:space="preserve">aux-r54-amm-shield-battery</t>
  </si>
  <si>
    <t xml:space="preserve">AMM + Shield Battery</t>
  </si>
  <si>
    <t xml:space="preserve">20 base / 1 TP / ammo 25</t>
  </si>
  <si>
    <t xml:space="preserve">aux-r54-ablative-kpds</t>
  </si>
  <si>
    <t xml:space="preserve">Ablative Armor + Kinetic PDS</t>
  </si>
  <si>
    <t xml:space="preserve">Ablative AP0/AI2</t>
  </si>
  <si>
    <t xml:space="preserve">aux-r54-ablative-evasion</t>
  </si>
  <si>
    <t xml:space="preserve">Ablative Armor + Evasive Maneuver System</t>
  </si>
  <si>
    <t xml:space="preserve">aux-r54-battery-evasion</t>
  </si>
  <si>
    <t xml:space="preserve">Combat Battery + Evasive Maneuver System</t>
  </si>
  <si>
    <t xml:space="preserve">Battery +1 TP x3</t>
  </si>
  <si>
    <t xml:space="preserve">aux-r54-capacitor-epds</t>
  </si>
  <si>
    <t xml:space="preserve">Power Capacitor + Energy PDS</t>
  </si>
  <si>
    <t xml:space="preserve">Capacitor store 2; +1 discharge / 1 recharge</t>
  </si>
  <si>
    <t xml:space="preserve">aux-r54-booster-kpds</t>
  </si>
  <si>
    <t xml:space="preserve">Shield Booster + Kinetic PDS</t>
  </si>
  <si>
    <t xml:space="preserve">Shield cap +1</t>
  </si>
  <si>
    <t xml:space="preserve">aux-r54-stabilizer-epds</t>
  </si>
  <si>
    <t xml:space="preserve">Shield Power Stabilizer + Energy PDS</t>
  </si>
  <si>
    <t xml:space="preserve">Recharge 2:1 cap 1</t>
  </si>
  <si>
    <t xml:space="preserve">aux-r54-kinetic-mag-battery</t>
  </si>
  <si>
    <t xml:space="preserve">Kinetic Magazine Expansion + Combat Battery</t>
  </si>
  <si>
    <t xml:space="preserve">K +100</t>
  </si>
  <si>
    <t xml:space="preserve">mixed_tactical_endurance</t>
  </si>
  <si>
    <t xml:space="preserve">aux-r54-missile-mag-amm</t>
  </si>
  <si>
    <t xml:space="preserve">Missile Magazine Expansion + AMM</t>
  </si>
  <si>
    <t xml:space="preserve">M +20</t>
  </si>
  <si>
    <t xml:space="preserve">aux-r54-auxiliary-reactor</t>
  </si>
  <si>
    <t xml:space="preserve">Aux reactor +1 renewable TP</t>
  </si>
  <si>
    <t xml:space="preserve">aux-r54-battery-amm</t>
  </si>
  <si>
    <t xml:space="preserve">Combat Battery + AMM</t>
  </si>
  <si>
    <t xml:space="preserve">Checkpoint 54 - TL3 Two-Bay Tactical Power Envelope</t>
  </si>
  <si>
    <t xml:space="preserve">Balanced TL3 profile only. Combat Battery, Power Capacitor, and Auxiliary Reactor are tested in identical two-bay contexts under normal and sustained diagnostic loads.</t>
  </si>
  <si>
    <t xml:space="preserve">Two-Bay Loadouts</t>
  </si>
  <si>
    <t xml:space="preserve">Support Options</t>
  </si>
  <si>
    <t xml:space="preserve">Background TP</t>
  </si>
  <si>
    <t xml:space="preserve">Question</t>
  </si>
  <si>
    <t xml:space="preserve">Normal control</t>
  </si>
  <si>
    <t xml:space="preserve">KK, KE, EE, EM</t>
  </si>
  <si>
    <t xml:space="preserve">Battery + Evasion; Capacitor + Energy PDS; Auxiliary Reactor</t>
  </si>
  <si>
    <t xml:space="preserve">Do power-support choices remain non-compulsory when the reactor is not stressed?</t>
  </si>
  <si>
    <t xml:space="preserve">None automatic</t>
  </si>
  <si>
    <t xml:space="preserve">Sustained stress vs No AUX</t>
  </si>
  <si>
    <t xml:space="preserve">Same three support options</t>
  </si>
  <si>
    <t xml:space="preserve">3 TP per side</t>
  </si>
  <si>
    <t xml:space="preserve">Do support choices become meaningfully useful under real discretionary-power pressure?</t>
  </si>
  <si>
    <t xml:space="preserve">Sustained support pairwise</t>
  </si>
  <si>
    <t xml:space="preserve">All three unordered support pairs, both orientations</t>
  </si>
  <si>
    <t xml:space="preserve">Do finite reserve, turn-shifting storage, and renewable output remain mechanically distinct?</t>
  </si>
  <si>
    <t xml:space="preserve">Study total</t>
  </si>
  <si>
    <t xml:space="preserve">4 ordered two-bay contexts</t>
  </si>
  <si>
    <t xml:space="preserve">3 support concepts</t>
  </si>
  <si>
    <t xml:space="preserve">0 / 3 TP</t>
  </si>
  <si>
    <t xml:space="preserve">Screen role expression, prevented actions, and opportunity cost. The stress load is diagnostic, not a universal hotel-load rule.</t>
  </si>
  <si>
    <t xml:space="preserve">Review only</t>
  </si>
  <si>
    <t xml:space="preserve">Checkpoint 55 - Three-Generation Cruiser Capacity Architecture</t>
  </si>
  <si>
    <t xml:space="preserve">Foundational TLs 1/4/7 establish each ship generation; TLs 2/5/8 refine; TLs 3/6/9 mature. Capacity changes are structural, not automatic stat jumps.</t>
  </si>
  <si>
    <t xml:space="preserve">Generation role</t>
  </si>
  <si>
    <t xml:space="preserve">Low foundation</t>
  </si>
  <si>
    <t xml:space="preserve">Initial space-combat cruiser: one main weapon and one AUX choice.</t>
  </si>
  <si>
    <t xml:space="preserve">Low refinement</t>
  </si>
  <si>
    <t xml:space="preserve">Refine low-tech components without structural capacity growth.</t>
  </si>
  <si>
    <t xml:space="preserve">Low maturity</t>
  </si>
  <si>
    <t xml:space="preserve">Low-tech pinnacle: one main weapon plus the first two-AUX combination space.</t>
  </si>
  <si>
    <t xml:space="preserve">Mid foundation</t>
  </si>
  <si>
    <t xml:space="preserve">Provisional generational jump: second main weapon and major hull redesign.</t>
  </si>
  <si>
    <t xml:space="preserve">Mid refinement</t>
  </si>
  <si>
    <t xml:space="preserve">Refine the dual-main mid-tech architecture without more capacity.</t>
  </si>
  <si>
    <t xml:space="preserve">Mid maturity</t>
  </si>
  <si>
    <t xml:space="preserve">Mature mid-tech cruiser adds the third AUX point.</t>
  </si>
  <si>
    <t xml:space="preserve">High foundation</t>
  </si>
  <si>
    <t xml:space="preserve">Provisional high-tech jump: third main weapon; validate only after TL4 transition proves healthy.</t>
  </si>
  <si>
    <t xml:space="preserve">High refinement</t>
  </si>
  <si>
    <t xml:space="preserve">Refine high-tech components without more capacity.</t>
  </si>
  <si>
    <t xml:space="preserve">High maturity</t>
  </si>
  <si>
    <t xml:space="preserve">Mature player cruiser adds fourth AUX point while remaining cruiser-scale.</t>
  </si>
  <si>
    <t xml:space="preserve">Generation cadence</t>
  </si>
  <si>
    <t xml:space="preserve">Foundation / Refinement / Maturity</t>
  </si>
  <si>
    <t xml:space="preserve">TL1/4/7</t>
  </si>
  <si>
    <t xml:space="preserve">TL2/5/8 -&gt; TL3/6/9</t>
  </si>
  <si>
    <t xml:space="preserve">Use structural milestones at generation boundaries and selective component improvement within each generation.</t>
  </si>
  <si>
    <t xml:space="preserve">Fallback</t>
  </si>
  <si>
    <t xml:space="preserve">Single main weapon TL1-TL9</t>
  </si>
  <si>
    <t xml:space="preserve">If required</t>
  </si>
  <si>
    <t xml:space="preserve">No arbitrary firing limits</t>
  </si>
  <si>
    <t xml:space="preserve">If unrestricted dual-main TL4 still destroys progression, prefer one main weapon throughout and improve it generationally.</t>
  </si>
  <si>
    <t xml:space="preserve">Historical evidence</t>
  </si>
  <si>
    <t xml:space="preserve">Checkpoint 54a TL3 two-main screening</t>
  </si>
  <si>
    <t xml:space="preserve">Sensitivity only</t>
  </si>
  <si>
    <t xml:space="preserve">No longer legal TL3</t>
  </si>
  <si>
    <t xml:space="preserve">Retained to explain the architecture correction; not a production TL3 configuration.</t>
  </si>
  <si>
    <t xml:space="preserve">Checkpoint 55 - TL3 Low-Tech Capstone Profile Candidates</t>
  </si>
  <si>
    <t xml:space="preserve">All candidates use one main weapon and two AUX Capacity. The screen separates offense-only, defense-only, and conservative combined maturity from a TL2-equivalent structural control.</t>
  </si>
  <si>
    <t xml:space="preserve">K Acc</t>
  </si>
  <si>
    <t xml:space="preserve">E Acc</t>
  </si>
  <si>
    <t xml:space="preserve">M Guidance</t>
  </si>
  <si>
    <t xml:space="preserve">Design signal</t>
  </si>
  <si>
    <t xml:space="preserve">tl3-lowtech-control</t>
  </si>
  <si>
    <t xml:space="preserve">TL2-equivalent control</t>
  </si>
  <si>
    <t xml:space="preserve">Measures AUX-capacity maturity alone.</t>
  </si>
  <si>
    <t xml:space="preserve">tl3-offense-refinement</t>
  </si>
  <si>
    <t xml:space="preserve">Offense-only refinement</t>
  </si>
  <si>
    <t xml:space="preserve">Only modest accuracy/guidance improvement; no raw damage/range jump.</t>
  </si>
  <si>
    <t xml:space="preserve">tl3-defense-refinement</t>
  </si>
  <si>
    <t xml:space="preserve">Defense-only refinement</t>
  </si>
  <si>
    <t xml:space="preserve">Only hull/AI/shield improvement; offense and reactor remain TL2.</t>
  </si>
  <si>
    <t xml:space="preserve">tl3-mature-lowtech-candidate</t>
  </si>
  <si>
    <t xml:space="preserve">Conservative combined maturity</t>
  </si>
  <si>
    <t xml:space="preserve">Combines modest offense/defense with +1 reactor TP; no damage/penetration/range/movement jump.</t>
  </si>
  <si>
    <t xml:space="preserve">Checkpoint 55 - TL3 AUX Isolation and Two-Capacity Combination Screen</t>
  </si>
  <si>
    <t xml:space="preserve">TL3 has one main weapon and two AUX Capacity. First isolate the 13 available component concepts; then screen 13 curated legal capacity-2 loadouts. Endurance components need not achieve one-duel parity.</t>
  </si>
  <si>
    <t xml:space="preserve">Component / Loadout</t>
  </si>
  <si>
    <t xml:space="preserve">aux-r55-kpds</t>
  </si>
  <si>
    <t xml:space="preserve">Isolation vs No AUX.</t>
  </si>
  <si>
    <t xml:space="preserve">aux-r55-epds</t>
  </si>
  <si>
    <t xml:space="preserve">aux-r55-amm</t>
  </si>
  <si>
    <t xml:space="preserve">aux-r55-combat-battery</t>
  </si>
  <si>
    <t xml:space="preserve">aux-r55-power-capacitor</t>
  </si>
  <si>
    <t xml:space="preserve">aux-r55-ablative</t>
  </si>
  <si>
    <t xml:space="preserve">aux-r55-evasion</t>
  </si>
  <si>
    <t xml:space="preserve">aux-r55-shield-battery</t>
  </si>
  <si>
    <t xml:space="preserve">aux-r55-shield-booster</t>
  </si>
  <si>
    <t xml:space="preserve">aux-r55-shield-stabilizer</t>
  </si>
  <si>
    <t xml:space="preserve">aux-r55-kinetic-mag</t>
  </si>
  <si>
    <t xml:space="preserve">endurance</t>
  </si>
  <si>
    <t xml:space="preserve">aux-r55-missile-mag</t>
  </si>
  <si>
    <t xml:space="preserve">aux-r55-auxiliary-reactor</t>
  </si>
  <si>
    <t xml:space="preserve">Isolation vs No AUX; consumes both AUX points.</t>
  </si>
  <si>
    <t xml:space="preserve">Curated capacity-2 loadout</t>
  </si>
  <si>
    <t xml:space="preserve">One-main capacity-2 combination screen.</t>
  </si>
  <si>
    <t xml:space="preserve">aux-r55-kpds-shield-battery</t>
  </si>
  <si>
    <t xml:space="preserve">aux-r55-epds-shield-battery</t>
  </si>
  <si>
    <t xml:space="preserve">aux-r55-amm-shield-battery</t>
  </si>
  <si>
    <t xml:space="preserve">aux-r55-ablative-kpds</t>
  </si>
  <si>
    <t xml:space="preserve">aux-r55-ablative-evasion</t>
  </si>
  <si>
    <t xml:space="preserve">aux-r55-battery-evasion</t>
  </si>
  <si>
    <t xml:space="preserve">aux-r55-capacitor-epds</t>
  </si>
  <si>
    <t xml:space="preserve">aux-r55-booster-kpds</t>
  </si>
  <si>
    <t xml:space="preserve">aux-r55-stabilizer-epds</t>
  </si>
  <si>
    <t xml:space="preserve">aux-r55-kinetic-mag-battery</t>
  </si>
  <si>
    <t xml:space="preserve">aux-r55-missile-mag-amm</t>
  </si>
  <si>
    <t xml:space="preserve">aux-r55-battery-amm</t>
  </si>
  <si>
    <t xml:space="preserve">Checkpoint 55 - TL3 Single-Main Tactical Power Envelope</t>
  </si>
  <si>
    <t xml:space="preserve">Mature one-main TL3 profile only. Isolated Combat Battery, Power Capacitor, and Auxiliary Reactor are compared under normal and sustained diagnostic power pressure.</t>
  </si>
  <si>
    <t xml:space="preserve">Main Weapon Contexts</t>
  </si>
  <si>
    <t xml:space="preserve">Kinetic, Energy, Missile</t>
  </si>
  <si>
    <t xml:space="preserve">Combat Battery; Power Capacitor; Auxiliary Reactor</t>
  </si>
  <si>
    <t xml:space="preserve">Do power-support choices remain non-compulsory when the one-main cruiser is not stressed?</t>
  </si>
  <si>
    <t xml:space="preserve">Same three isolated support options</t>
  </si>
  <si>
    <t xml:space="preserve">5 TP per side</t>
  </si>
  <si>
    <t xml:space="preserve">Do support choices become meaningfully useful when the TL3 cruiser faces severe discretionary-power pressure?</t>
  </si>
  <si>
    <t xml:space="preserve">Do finite reserve, turn shifting, and renewable output retain distinct roles under one-main stress?</t>
  </si>
  <si>
    <t xml:space="preserve">3 single-main weapon contexts</t>
  </si>
  <si>
    <t xml:space="preserve">3 isolated power concepts</t>
  </si>
  <si>
    <t xml:space="preserve">0 / 5 TP</t>
  </si>
  <si>
    <t xml:space="preserve">Screen role expression and prevented actions without confounding two-main throughput. Stress is diagnostic, not a universal hotel load.</t>
  </si>
  <si>
    <t xml:space="preserve">Checkpoint 56 - TL3 Defensive Microstep Screening</t>
  </si>
  <si>
    <t xml:space="preserve">Offense-only refinement is the working base. Test Hull, Armor Integrity, and Shield Capacity one point at a time; no automatic promotion.</t>
  </si>
  <si>
    <t xml:space="preserve">Armor AI</t>
  </si>
  <si>
    <t xml:space="preserve">Kinetic Acc</t>
  </si>
  <si>
    <t xml:space="preserve">Energy Acc</t>
  </si>
  <si>
    <t xml:space="preserve">Missile Guide</t>
  </si>
  <si>
    <t xml:space="preserve">Screening intent</t>
  </si>
  <si>
    <t xml:space="preserve">Working base</t>
  </si>
  <si>
    <t xml:space="preserve">No defensive increase; CP55b ~55% vs TL2 overall</t>
  </si>
  <si>
    <t xml:space="preserve">tl3-offense-plus-hull1</t>
  </si>
  <si>
    <t xml:space="preserve">Hull microstep</t>
  </si>
  <si>
    <t xml:space="preserve">Exactly +1 Hull versus working base</t>
  </si>
  <si>
    <t xml:space="preserve">tl3-offense-plus-ai1</t>
  </si>
  <si>
    <t xml:space="preserve">Armor Integrity microstep</t>
  </si>
  <si>
    <t xml:space="preserve">Exactly +1 Armor Integrity versus working base</t>
  </si>
  <si>
    <t xml:space="preserve">tl3-offense-plus-shield1</t>
  </si>
  <si>
    <t xml:space="preserve">Shield microstep</t>
  </si>
  <si>
    <t xml:space="preserve">Exactly +1 Shield Capacity versus working base</t>
  </si>
  <si>
    <t xml:space="preserve">Checkpoint 56 - TL3 Battery / Capacitor Characteristic Sweep</t>
  </si>
  <si>
    <t xml:space="preserve">Each installed component owns independent state. Sweep charge/storage count and discharge magnitude separately and together; TL4 continuation remains open.</t>
  </si>
  <si>
    <t xml:space="preserve">AUX Cost</t>
  </si>
  <si>
    <t xml:space="preserve">Stored resource</t>
  </si>
  <si>
    <t xml:space="preserve">Discharge</t>
  </si>
  <si>
    <t xml:space="preserve">Per-system rule</t>
  </si>
  <si>
    <t xml:space="preserve">B3G1</t>
  </si>
  <si>
    <t xml:space="preserve">+1 TP</t>
  </si>
  <si>
    <t xml:space="preserve">1/turn per installed component</t>
  </si>
  <si>
    <t xml:space="preserve">Control: existing finite reserve</t>
  </si>
  <si>
    <t xml:space="preserve">B4G1</t>
  </si>
  <si>
    <t xml:space="preserve">4 charges</t>
  </si>
  <si>
    <t xml:space="preserve">Charge-count maturation only</t>
  </si>
  <si>
    <t xml:space="preserve">B3G2</t>
  </si>
  <si>
    <t xml:space="preserve">+2 TP</t>
  </si>
  <si>
    <t xml:space="preserve">Discharge-magnitude maturation only</t>
  </si>
  <si>
    <t xml:space="preserve">B4G2</t>
  </si>
  <si>
    <t xml:space="preserve">Charge count + magnitude</t>
  </si>
  <si>
    <t xml:space="preserve">C2D1</t>
  </si>
  <si>
    <t xml:space="preserve">2 stored</t>
  </si>
  <si>
    <t xml:space="preserve">charge rate 1; one charge/discharge operation per installed component per turn</t>
  </si>
  <si>
    <t xml:space="preserve">Control: current TL3 capacitor candidate</t>
  </si>
  <si>
    <t xml:space="preserve">C3D1</t>
  </si>
  <si>
    <t xml:space="preserve">3 stored</t>
  </si>
  <si>
    <t xml:space="preserve">Stored-capacity maturation only</t>
  </si>
  <si>
    <t xml:space="preserve">C2D2</t>
  </si>
  <si>
    <t xml:space="preserve">C3D2</t>
  </si>
  <si>
    <t xml:space="preserve">Stored capacity + magnitude</t>
  </si>
  <si>
    <t xml:space="preserve">Checkpoint 56 - Equal-Capacity Power AUX Loadouts</t>
  </si>
  <si>
    <t xml:space="preserve">Primary opportunity-cost comparison: 2-slot Auxiliary Reactor versus 24 true two-component power installations. Each component keeps independent state and damage condition.</t>
  </si>
  <si>
    <t xml:space="preserve">Composition</t>
  </si>
  <si>
    <t xml:space="preserve">Characteristics</t>
  </si>
  <si>
    <t xml:space="preserve">Contexts</t>
  </si>
  <si>
    <t xml:space="preserve">aux-r56-auxiliary-reactor</t>
  </si>
  <si>
    <t xml:space="preserve">TL3 Auxiliary Reactor +1 sustained TP</t>
  </si>
  <si>
    <t xml:space="preserve">Auxiliary Reactor: sustained +1 TP</t>
  </si>
  <si>
    <t xml:space="preserve">Normal + 5-TP stress</t>
  </si>
  <si>
    <t xml:space="preserve">Equal capacity; no auto promotion</t>
  </si>
  <si>
    <t xml:space="preserve">aux-r56-bb-b3g1</t>
  </si>
  <si>
    <t xml:space="preserve">Dual B3G1 Combat Batteries</t>
  </si>
  <si>
    <t xml:space="preserve">Battery + Battery</t>
  </si>
  <si>
    <t xml:space="preserve">3x+1 TP; 3x+1 TP</t>
  </si>
  <si>
    <t xml:space="preserve">aux-r56-bb-b4g1</t>
  </si>
  <si>
    <t xml:space="preserve">Dual B4G1 Combat Batteries</t>
  </si>
  <si>
    <t xml:space="preserve">4x+1 TP; 4x+1 TP</t>
  </si>
  <si>
    <t xml:space="preserve">aux-r56-bb-b3g2</t>
  </si>
  <si>
    <t xml:space="preserve">Dual B3G2 Combat Batteries</t>
  </si>
  <si>
    <t xml:space="preserve">3x+2 TP; 3x+2 TP</t>
  </si>
  <si>
    <t xml:space="preserve">aux-r56-bb-b4g2</t>
  </si>
  <si>
    <t xml:space="preserve">Dual B4G2 Combat Batteries</t>
  </si>
  <si>
    <t xml:space="preserve">4x+2 TP; 4x+2 TP</t>
  </si>
  <si>
    <t xml:space="preserve">aux-r56-cc-c2d1</t>
  </si>
  <si>
    <t xml:space="preserve">Dual C2D1 Power Capacitors</t>
  </si>
  <si>
    <t xml:space="preserve">Capacitor + Capacitor</t>
  </si>
  <si>
    <t xml:space="preserve">cap 2, +1 TP, charge 1; cap 2, +1 TP, charge 1</t>
  </si>
  <si>
    <t xml:space="preserve">aux-r56-cc-c3d1</t>
  </si>
  <si>
    <t xml:space="preserve">Dual C3D1 Power Capacitors</t>
  </si>
  <si>
    <t xml:space="preserve">cap 3, +1 TP, charge 1; cap 3, +1 TP, charge 1</t>
  </si>
  <si>
    <t xml:space="preserve">aux-r56-cc-c2d2</t>
  </si>
  <si>
    <t xml:space="preserve">Dual C2D2 Power Capacitors</t>
  </si>
  <si>
    <t xml:space="preserve">cap 2, +2 TP, charge 1; cap 2, +2 TP, charge 1</t>
  </si>
  <si>
    <t xml:space="preserve">aux-r56-cc-c3d2</t>
  </si>
  <si>
    <t xml:space="preserve">Dual C3D2 Power Capacitors</t>
  </si>
  <si>
    <t xml:space="preserve">cap 3, +2 TP, charge 1; cap 3, +2 TP, charge 1</t>
  </si>
  <si>
    <t xml:space="preserve">aux-r56-bc-b3g1-c2d1</t>
  </si>
  <si>
    <t xml:space="preserve">B3G1 Battery + C2D1 Capacitor</t>
  </si>
  <si>
    <t xml:space="preserve">Battery + Capacitor</t>
  </si>
  <si>
    <t xml:space="preserve">3x+1 TP; cap 2, +1 TP, charge 1</t>
  </si>
  <si>
    <t xml:space="preserve">aux-r56-bc-b3g1-c3d1</t>
  </si>
  <si>
    <t xml:space="preserve">B3G1 Battery + C3D1 Capacitor</t>
  </si>
  <si>
    <t xml:space="preserve">3x+1 TP; cap 3, +1 TP, charge 1</t>
  </si>
  <si>
    <t xml:space="preserve">aux-r56-bc-b3g1-c2d2</t>
  </si>
  <si>
    <t xml:space="preserve">B3G1 Battery + C2D2 Capacitor</t>
  </si>
  <si>
    <t xml:space="preserve">3x+1 TP; cap 2, +2 TP, charge 1</t>
  </si>
  <si>
    <t xml:space="preserve">aux-r56-bc-b3g1-c3d2</t>
  </si>
  <si>
    <t xml:space="preserve">B3G1 Battery + C3D2 Capacitor</t>
  </si>
  <si>
    <t xml:space="preserve">3x+1 TP; cap 3, +2 TP, charge 1</t>
  </si>
  <si>
    <t xml:space="preserve">aux-r56-bc-b4g1-c2d1</t>
  </si>
  <si>
    <t xml:space="preserve">B4G1 Battery + C2D1 Capacitor</t>
  </si>
  <si>
    <t xml:space="preserve">4x+1 TP; cap 2, +1 TP, charge 1</t>
  </si>
  <si>
    <t xml:space="preserve">aux-r56-bc-b4g1-c3d1</t>
  </si>
  <si>
    <t xml:space="preserve">B4G1 Battery + C3D1 Capacitor</t>
  </si>
  <si>
    <t xml:space="preserve">4x+1 TP; cap 3, +1 TP, charge 1</t>
  </si>
  <si>
    <t xml:space="preserve">aux-r56-bc-b4g1-c2d2</t>
  </si>
  <si>
    <t xml:space="preserve">B4G1 Battery + C2D2 Capacitor</t>
  </si>
  <si>
    <t xml:space="preserve">4x+1 TP; cap 2, +2 TP, charge 1</t>
  </si>
  <si>
    <t xml:space="preserve">aux-r56-bc-b4g1-c3d2</t>
  </si>
  <si>
    <t xml:space="preserve">B4G1 Battery + C3D2 Capacitor</t>
  </si>
  <si>
    <t xml:space="preserve">4x+1 TP; cap 3, +2 TP, charge 1</t>
  </si>
  <si>
    <t xml:space="preserve">aux-r56-bc-b3g2-c2d1</t>
  </si>
  <si>
    <t xml:space="preserve">B3G2 Battery + C2D1 Capacitor</t>
  </si>
  <si>
    <t xml:space="preserve">3x+2 TP; cap 2, +1 TP, charge 1</t>
  </si>
  <si>
    <t xml:space="preserve">aux-r56-bc-b3g2-c3d1</t>
  </si>
  <si>
    <t xml:space="preserve">B3G2 Battery + C3D1 Capacitor</t>
  </si>
  <si>
    <t xml:space="preserve">3x+2 TP; cap 3, +1 TP, charge 1</t>
  </si>
  <si>
    <t xml:space="preserve">aux-r56-bc-b3g2-c2d2</t>
  </si>
  <si>
    <t xml:space="preserve">B3G2 Battery + C2D2 Capacitor</t>
  </si>
  <si>
    <t xml:space="preserve">3x+2 TP; cap 2, +2 TP, charge 1</t>
  </si>
  <si>
    <t xml:space="preserve">aux-r56-bc-b3g2-c3d2</t>
  </si>
  <si>
    <t xml:space="preserve">B3G2 Battery + C3D2 Capacitor</t>
  </si>
  <si>
    <t xml:space="preserve">3x+2 TP; cap 3, +2 TP, charge 1</t>
  </si>
  <si>
    <t xml:space="preserve">aux-r56-bc-b4g2-c2d1</t>
  </si>
  <si>
    <t xml:space="preserve">B4G2 Battery + C2D1 Capacitor</t>
  </si>
  <si>
    <t xml:space="preserve">4x+2 TP; cap 2, +1 TP, charge 1</t>
  </si>
  <si>
    <t xml:space="preserve">aux-r56-bc-b4g2-c3d1</t>
  </si>
  <si>
    <t xml:space="preserve">B4G2 Battery + C3D1 Capacitor</t>
  </si>
  <si>
    <t xml:space="preserve">4x+2 TP; cap 3, +1 TP, charge 1</t>
  </si>
  <si>
    <t xml:space="preserve">aux-r56-bc-b4g2-c2d2</t>
  </si>
  <si>
    <t xml:space="preserve">B4G2 Battery + C2D2 Capacitor</t>
  </si>
  <si>
    <t xml:space="preserve">4x+2 TP; cap 2, +2 TP, charge 1</t>
  </si>
  <si>
    <t xml:space="preserve">aux-r56-bc-b4g2-c3d2</t>
  </si>
  <si>
    <t xml:space="preserve">B4G2 Battery + C3D2 Capacitor</t>
  </si>
  <si>
    <t xml:space="preserve">4x+2 TP; cap 3, +2 TP, charge 1</t>
  </si>
  <si>
    <t xml:space="preserve">Checkpoint 56 - TL2 One-AUX vs TL3 Two-AUX Production Progression</t>
  </si>
  <si>
    <t xml:space="preserve">This is the production-level progression test: accepted TL2 ships with one legal AUX versus TL3 offense-base ships using the full two-AUX budget.</t>
  </si>
  <si>
    <t xml:space="preserve">Side / lane</t>
  </si>
  <si>
    <t xml:space="preserve">Profiles / variants</t>
  </si>
  <si>
    <t xml:space="preserve">Loadout rule</t>
  </si>
  <si>
    <t xml:space="preserve">TL2 production</t>
  </si>
  <si>
    <t xml:space="preserve">One legal 1-slot AUX</t>
  </si>
  <si>
    <t xml:space="preserve">Accepted TL2 standard + one AUX</t>
  </si>
  <si>
    <t xml:space="preserve">TL3 production candidate</t>
  </si>
  <si>
    <t xml:space="preserve">One legal capacity-2 loadout</t>
  </si>
  <si>
    <t xml:space="preserve">Offense-only working base + full 2-AUX budget</t>
  </si>
  <si>
    <t xml:space="preserve">13 x 9 x 3 weapon contexts x 2 orientations</t>
  </si>
  <si>
    <t xml:space="preserve">Measures the actual TL2 -&gt; TL3 production progression from both profile refinement and the second AUX point</t>
  </si>
  <si>
    <t xml:space="preserve">Checkpoint 57 - Frozen TL3 Mature Low-Tech Production</t>
  </si>
  <si>
    <t xml:space="preserve">Checkpoint 56 evidence is promoted here. TL3 maturity is conservative numerically; the second AUX point is the major hull/support maturation feature.</t>
  </si>
  <si>
    <t xml:space="preserve">Accepted TL3 value</t>
  </si>
  <si>
    <t xml:space="preserve">Rationale / evidence</t>
  </si>
  <si>
    <t xml:space="preserve">Main weapons</t>
  </si>
  <si>
    <t xml:space="preserve">One main through TL1-TL3; Checkpoint 54a proved two mains were an era-scale jump.</t>
  </si>
  <si>
    <t xml:space="preserve">Mature low-tech support flexibility.</t>
  </si>
  <si>
    <t xml:space="preserve">Targeting bonus</t>
  </si>
  <si>
    <t xml:space="preserve">+1 over TL2; offense-only screen produced a modest healthy progression.</t>
  </si>
  <si>
    <t xml:space="preserve">Kinetic accuracy</t>
  </si>
  <si>
    <t xml:space="preserve">+1 over TL2; damage/penetration/range unchanged.</t>
  </si>
  <si>
    <t xml:space="preserve">Energy accuracy</t>
  </si>
  <si>
    <t xml:space="preserve">+2 over TL2; damage/range/ammunition unchanged.</t>
  </si>
  <si>
    <t xml:space="preserve">Hull / Armor AI / Shield</t>
  </si>
  <si>
    <t xml:space="preserve">12 / 5 / 2</t>
  </si>
  <si>
    <t xml:space="preserve">No defensive integer microstep; each tested +1 produced a disproportionate breakpoint.</t>
  </si>
  <si>
    <t xml:space="preserve">B4G1: 4 charges x +1 TP</t>
  </si>
  <si>
    <t xml:space="preserve">More endurance mattered; +2 TP magnitude did not materially improve the intended natural role.</t>
  </si>
  <si>
    <t xml:space="preserve">C2D1: capacity 2 / charge 1 / discharge +1</t>
  </si>
  <si>
    <t xml:space="preserve">Mature storage increase retained; larger discharge magnitude is deferred.</t>
  </si>
  <si>
    <t xml:space="preserve">Capacity 2 / +1 sustained TP</t>
  </si>
  <si>
    <t xml:space="preserve">Retained renewable alternative; compare under natural TL4 two-main demand.</t>
  </si>
  <si>
    <t xml:space="preserve">Checkpoint 57 - TL4 Mid-Tech Foundation Screening</t>
  </si>
  <si>
    <t xml:space="preserve">TL4 copies accepted TL3 component statistics exactly. Two unrestricted main weapons are the isolated foundation change; AUX Capacity remains 2.</t>
  </si>
  <si>
    <t xml:space="preserve">Dimension</t>
  </si>
  <si>
    <t xml:space="preserve">TL3 production</t>
  </si>
  <si>
    <t xml:space="preserve">TL4 foundation</t>
  </si>
  <si>
    <t xml:space="preserve">Checkpoint 57 policy</t>
  </si>
  <si>
    <t xml:space="preserve">Technology role</t>
  </si>
  <si>
    <t xml:space="preserve">Low-tech maturity</t>
  </si>
  <si>
    <t xml:space="preserve">Mid-tech foundation</t>
  </si>
  <si>
    <t xml:space="preserve">Architectural jump, not broad stat inflation.</t>
  </si>
  <si>
    <t xml:space="preserve">Both TL4 main weapons operate normally if legal.</t>
  </si>
  <si>
    <t xml:space="preserve">No simultaneous AUX-capacity jump at TL4.</t>
  </si>
  <si>
    <t xml:space="preserve">Exact numerical control.</t>
  </si>
  <si>
    <t xml:space="preserve">Reactor output</t>
  </si>
  <si>
    <t xml:space="preserve">Let the second weapon create natural TP pressure before increasing generation.</t>
  </si>
  <si>
    <t xml:space="preserve">No TL4 accuracy/fire-control bonus in the foundation control.</t>
  </si>
  <si>
    <t xml:space="preserve">DAM4 / ACC24 / PWR1</t>
  </si>
  <si>
    <t xml:space="preserve">same</t>
  </si>
  <si>
    <t xml:space="preserve">No weapon-stat jump.</t>
  </si>
  <si>
    <t xml:space="preserve">DAM3 / ACC29 / PWR2</t>
  </si>
  <si>
    <t xml:space="preserve">Dual Energy is intentionally a natural high-demand case.</t>
  </si>
  <si>
    <t xml:space="preserve">DAM5 / GUID62 / PWR0</t>
  </si>
  <si>
    <t xml:space="preserve">No new TL4 missile performance yet.</t>
  </si>
  <si>
    <t xml:space="preserve">Single-main TL1-TL9 if needed</t>
  </si>
  <si>
    <t xml:space="preserve">If a naked TL4 broadly invalidates specialized TL3, reject weapon-count scaling rather than restrict legal weapons.</t>
  </si>
  <si>
    <t xml:space="preserve">Checkpoint 57 - Natural Two-Main Tactical Power</t>
  </si>
  <si>
    <t xml:space="preserve">All Checkpoint 57 TL4 power studies use background Tactical Power commitment 0. Equal-capacity full-power builds are separated from mixed one-slot-power + combat-AUX flexibility builds.</t>
  </si>
  <si>
    <t xml:space="preserve">AUX cost</t>
  </si>
  <si>
    <t xml:space="preserve">Power behavior</t>
  </si>
  <si>
    <t xml:space="preserve">+1 sustained TP every turn</t>
  </si>
  <si>
    <t xml:space="preserve">Renewable full-capacity control.</t>
  </si>
  <si>
    <t xml:space="preserve">Dual Combat Batteries</t>
  </si>
  <si>
    <t xml:space="preserve">Two independent B4G1 units; each may discharge once/turn</t>
  </si>
  <si>
    <t xml:space="preserve">Finite reserve and +2 burst if both discharge.</t>
  </si>
  <si>
    <t xml:space="preserve">Dual Power Capacitors</t>
  </si>
  <si>
    <t xml:space="preserve">Two independent C2D1 units</t>
  </si>
  <si>
    <t xml:space="preserve">Reusable temporal shifting; no net energy creation.</t>
  </si>
  <si>
    <t xml:space="preserve">Independent B4G1 + C2D1</t>
  </si>
  <si>
    <t xml:space="preserve">Hybrid finite reserve + reusable shifting.</t>
  </si>
  <si>
    <t xml:space="preserve">Battery + Evasion</t>
  </si>
  <si>
    <t xml:space="preserve">One B4G1 plus Evasive Maneuver System</t>
  </si>
  <si>
    <t xml:space="preserve">Mixed flexibility; less power support, more tactical utility.</t>
  </si>
  <si>
    <t xml:space="preserve">Capacitor + Evasion</t>
  </si>
  <si>
    <t xml:space="preserve">One C2D1 plus Evasive Maneuver System</t>
  </si>
  <si>
    <t xml:space="preserve">Mixed flexibility with reusable shifting.</t>
  </si>
  <si>
    <t xml:space="preserve">Battery + AMM</t>
  </si>
  <si>
    <t xml:space="preserve">One B4G1 plus AMM</t>
  </si>
  <si>
    <t xml:space="preserve">Power + missile-defense specialization.</t>
  </si>
  <si>
    <t xml:space="preserve">Capacitor + Energy PDS</t>
  </si>
  <si>
    <t xml:space="preserve">One C2D1 plus Energy PDS</t>
  </si>
  <si>
    <t xml:space="preserve">Power shifting + powered defense.</t>
  </si>
  <si>
    <t xml:space="preserve">Battery + Energy PDS</t>
  </si>
  <si>
    <t xml:space="preserve">One B4G1 plus Energy PDS</t>
  </si>
  <si>
    <t xml:space="preserve">Power + powered-defense specialization.</t>
  </si>
  <si>
    <t xml:space="preserve">Capacitor + AMM</t>
  </si>
  <si>
    <t xml:space="preserve">One C2D1 plus AMM</t>
  </si>
  <si>
    <t xml:space="preserve">Power shifting + missile-defense specialization.</t>
  </si>
  <si>
    <t xml:space="preserve">Checkpoint 57 - TL4 Screening Matrix</t>
  </si>
  <si>
    <t xml:space="preserve">Five additive studies answer whether unrestricted dual-main TL4 is a healthy low-to-mid generation jump and whether TL4 natural power demand gives distinct roles to the frozen TL3 power AUX family.</t>
  </si>
  <si>
    <t xml:space="preserve">Primary question</t>
  </si>
  <si>
    <t xml:space="preserve">tl4-itc01-foundation-transition</t>
  </si>
  <si>
    <t xml:space="preserve">How large is the one-main -&gt; two-main generational jump when all component numbers are unchanged?</t>
  </si>
  <si>
    <t xml:space="preserve">18 exact single-main controls + 162 dual-main comparisons.</t>
  </si>
  <si>
    <t xml:space="preserve">tl4-itc02-two-bay-loadout-screening</t>
  </si>
  <si>
    <t xml:space="preserve">Do nine ordered two-bay weapon loadouts remain meaningfully diverse at TL4?</t>
  </si>
  <si>
    <t xml:space="preserve">9x9 loadout matrix across starting ranges 3/4/5.</t>
  </si>
  <si>
    <t xml:space="preserve">tl4-itc03-tl3-specialization-resistance</t>
  </si>
  <si>
    <t xml:space="preserve">Does a naked TL4 foundation ship make mature specialized TL3 ships irrelevant?</t>
  </si>
  <si>
    <t xml:space="preserve">6 canonical TL4 pairs vs 3 TL3 families x 13 two-AUX specializations, both orientations.</t>
  </si>
  <si>
    <t xml:space="preserve">tl4-pwr01-natural-two-bay-power</t>
  </si>
  <si>
    <t xml:space="preserve">Which full 2-AUX power architecture works best under actual dual-main demand?</t>
  </si>
  <si>
    <t xml:space="preserve">Reactor / BB / CC / BC vs no AUX and pairwise; no synthetic load.</t>
  </si>
  <si>
    <t xml:space="preserve">tl4-pwr02-mixed-power-flexibility</t>
  </si>
  <si>
    <t xml:space="preserve">What is the flexibility value of one-slot power paired with combat utility?</t>
  </si>
  <si>
    <t xml:space="preserve">6 mixed builds vs Reactor and no AUX across 6 canonical weapon pairs.</t>
  </si>
  <si>
    <t xml:space="preserve">TOTAL NEW</t>
  </si>
  <si>
    <t xml:space="preserve">Checkpoint 57 additive evidence.</t>
  </si>
  <si>
    <t xml:space="preserve">Full retained workload: 50 stages / 13,846 variants / 138.46M trials.</t>
  </si>
  <si>
    <t xml:space="preserve">Checkpoint 58 - Three-Generation Cruiser Capacity Architecture</t>
  </si>
  <si>
    <t xml:space="preserve">Checkpoint 57a rejects main-weapon-count progression for the standard player cruiser. Generation jumps now come from subsystem capability, power demand, and design space.</t>
  </si>
  <si>
    <t xml:space="preserve">Main Weapons</t>
  </si>
  <si>
    <t xml:space="preserve">Low-tech pinnacle: second AUX point opens mature support combinations.</t>
  </si>
  <si>
    <t xml:space="preserve">Mid-tech foundation changes subsystem capability/power design space; main count remains one.</t>
  </si>
  <si>
    <t xml:space="preserve">Refine the mid-tech subsystem generation.</t>
  </si>
  <si>
    <t xml:space="preserve">High-tech foundation changes subsystem capability/design space again; main count remains one.</t>
  </si>
  <si>
    <t xml:space="preserve">Refine the high-tech subsystem generation.</t>
  </si>
  <si>
    <t xml:space="preserve">Mature standard player cruiser adds fourth AUX point while remaining cruiser-scale.</t>
  </si>
  <si>
    <t xml:space="preserve">Foundation / refinement / maturity</t>
  </si>
  <si>
    <t xml:space="preserve">1 main invariant</t>
  </si>
  <si>
    <t xml:space="preserve">AUX expands at maturity</t>
  </si>
  <si>
    <t xml:space="preserve">TL1/4/7 foundations; TL2/5/8 refinements; TL3/6/9 maturity.</t>
  </si>
  <si>
    <t xml:space="preserve">Multi-main</t>
  </si>
  <si>
    <t xml:space="preserve">Nonstandard hull design space</t>
  </si>
  <si>
    <t xml:space="preserve">Not standard progression</t>
  </si>
  <si>
    <t xml:space="preserve">N/A</t>
  </si>
  <si>
    <t xml:space="preserve">Stations, capital ships, bosses, and alien hulls may later use multi-main architectures.</t>
  </si>
  <si>
    <t xml:space="preserve">Checkpoint 58 - TL4 Single-Main Subsystem Axes and Packages</t>
  </si>
  <si>
    <t xml:space="preserve">All candidates use one main weapon / two AUX Capacity. Isolate axes first; composed packages are screening candidates only. Roughly 75-80% conditional vs mature TL3 is a review region, not a forced gate.</t>
  </si>
  <si>
    <t xml:space="preserve">Role / display</t>
  </si>
  <si>
    <t xml:space="preserve">Power / targeting</t>
  </si>
  <si>
    <t xml:space="preserve">Weapon output / accuracy or guidance / TP</t>
  </si>
  <si>
    <t xml:space="preserve">AXIS CANDIDATES</t>
  </si>
  <si>
    <t xml:space="preserve">tl4-single-control</t>
  </si>
  <si>
    <t xml:space="preserve">H12 AI5 AP0 S2</t>
  </si>
  <si>
    <t xml:space="preserve">R6 TGT13</t>
  </si>
  <si>
    <t xml:space="preserve">K 4/24/P1 | E 3/29/P2 | M 5/62/P0</t>
  </si>
  <si>
    <t xml:space="preserve">Ship 2 / Missile 3</t>
  </si>
  <si>
    <t xml:space="preserve">tl4-fire-control-foundation</t>
  </si>
  <si>
    <t xml:space="preserve">R6 TGT15</t>
  </si>
  <si>
    <t xml:space="preserve">K 4/26/P1 | E 3/31/P2 | M 5/66/P0</t>
  </si>
  <si>
    <t xml:space="preserve">tl4-output-power-foundation</t>
  </si>
  <si>
    <t xml:space="preserve">K 5/24/P2 | E 4/29/P3 | M 6/62/P1</t>
  </si>
  <si>
    <t xml:space="preserve">tl4-reactor-foundation</t>
  </si>
  <si>
    <t xml:space="preserve">R7 TGT13</t>
  </si>
  <si>
    <t xml:space="preserve">tl4-structure-foundation</t>
  </si>
  <si>
    <t xml:space="preserve">H13 AI6 AP0 S2</t>
  </si>
  <si>
    <t xml:space="preserve">tl4-armor-protection-foundation</t>
  </si>
  <si>
    <t xml:space="preserve">H12 AI5 AP1 S2</t>
  </si>
  <si>
    <t xml:space="preserve">tl4-shield-foundation</t>
  </si>
  <si>
    <t xml:space="preserve">H12 AI5 AP0 S3</t>
  </si>
  <si>
    <t xml:space="preserve">tl4-mobility-foundation</t>
  </si>
  <si>
    <t xml:space="preserve">Ship 3 / Missile 4</t>
  </si>
  <si>
    <t xml:space="preserve">COMPOSED PACKAGES</t>
  </si>
  <si>
    <t xml:space="preserve">tl4-package-firecontrol-reactor</t>
  </si>
  <si>
    <t xml:space="preserve">R7 TGT15</t>
  </si>
  <si>
    <t xml:space="preserve">tl4-package-firepower-reactor</t>
  </si>
  <si>
    <t xml:space="preserve">K 5/26/P2 | E 4/31/P3 | M 6/66/P1</t>
  </si>
  <si>
    <t xml:space="preserve">tl4-package-structure-reactor</t>
  </si>
  <si>
    <t xml:space="preserve">tl4-package-firepower-structure-reactor</t>
  </si>
  <si>
    <t xml:space="preserve">tl4-package-firepower-ap-reactor</t>
  </si>
  <si>
    <t xml:space="preserve">tl4-package-firepower-mobility-reactor</t>
  </si>
  <si>
    <t xml:space="preserve">Checkpoint 58 - TL4 Powered Defensive AUX Screening</t>
  </si>
  <si>
    <t xml:space="preserve">Shield Hardener and Energized Armor begin as TL4 screening candidates. Mixed profiles use mature TL3 compact power hardware as independent installed systems.</t>
  </si>
  <si>
    <t xml:space="preserve">Display</t>
  </si>
  <si>
    <t xml:space="preserve">Powered effect</t>
  </si>
  <si>
    <t xml:space="preserve">Independent power support</t>
  </si>
  <si>
    <t xml:space="preserve">Screening rule</t>
  </si>
  <si>
    <t xml:space="preserve">aux-r58-shield-hardener-s1-p1</t>
  </si>
  <si>
    <t xml:space="preserve">TL4 Shield Hardener S1 P1</t>
  </si>
  <si>
    <t xml:space="preserve">Shield Protection +1 @ 1 TP sustained</t>
  </si>
  <si>
    <t xml:space="preserve">Temporary powered effect; passive shield/armor remains governed by base system.</t>
  </si>
  <si>
    <t xml:space="preserve">aux-r58-shield-hardener-s1-p2</t>
  </si>
  <si>
    <t xml:space="preserve">TL4 Shield Hardener S1 P2</t>
  </si>
  <si>
    <t xml:space="preserve">Shield Protection +1 @ 2 TP sustained</t>
  </si>
  <si>
    <t xml:space="preserve">aux-r58-shield-hardener-s2-p2</t>
  </si>
  <si>
    <t xml:space="preserve">TL4 Shield Hardener S2 P2</t>
  </si>
  <si>
    <t xml:space="preserve">Shield Protection +2 @ 2 TP sustained</t>
  </si>
  <si>
    <t xml:space="preserve">aux-r58-energized-armor-a1-p1</t>
  </si>
  <si>
    <t xml:space="preserve">TL4 Energized Armor A1 P1</t>
  </si>
  <si>
    <t xml:space="preserve">Primary AP +1 @ 1 TP sustained</t>
  </si>
  <si>
    <t xml:space="preserve">aux-r58-energized-armor-a1-p2</t>
  </si>
  <si>
    <t xml:space="preserve">TL4 Energized Armor A1 P2</t>
  </si>
  <si>
    <t xml:space="preserve">Primary AP +1 @ 2 TP sustained</t>
  </si>
  <si>
    <t xml:space="preserve">aux-r58-energized-armor-a2-p2</t>
  </si>
  <si>
    <t xml:space="preserve">TL4 Energized Armor A2 P2</t>
  </si>
  <si>
    <t xml:space="preserve">Primary AP +2 @ 2 TP sustained</t>
  </si>
  <si>
    <t xml:space="preserve">aux-r58-shield-hardener-battery</t>
  </si>
  <si>
    <t xml:space="preserve">TL4 Shield Hardener S1 P1 + TL3 Battery</t>
  </si>
  <si>
    <t xml:space="preserve">aux-r58-shield-hardener-capacitor</t>
  </si>
  <si>
    <t xml:space="preserve">TL4 Shield Hardener S1 P1 + TL3 Capacitor</t>
  </si>
  <si>
    <t xml:space="preserve">aux-r58-energized-armor-battery</t>
  </si>
  <si>
    <t xml:space="preserve">TL4 Energized Armor A1 P1 + TL3 Battery</t>
  </si>
  <si>
    <t xml:space="preserve">aux-r58-energized-armor-capacitor</t>
  </si>
  <si>
    <t xml:space="preserve">TL4 Energized Armor A1 P1 + TL3 Capacitor</t>
  </si>
  <si>
    <t xml:space="preserve">Checkpoint 58 - Natural Single-Main Tactical Power</t>
  </si>
  <si>
    <t xml:space="preserve">No synthetic background Tactical Power. New weapon capability may cost more TP; reactor growth and power AUX are judged against actual subsystem demand.</t>
  </si>
  <si>
    <t xml:space="preserve">Profile / pairing</t>
  </si>
  <si>
    <t xml:space="preserve">Compare under higher-cost single-main weapons with reactor 6 and reactor 7.</t>
  </si>
  <si>
    <t xml:space="preserve">Dual B4G1 Batteries</t>
  </si>
  <si>
    <t xml:space="preserve">Two independent 4x+1 finite reserves</t>
  </si>
  <si>
    <t xml:space="preserve">Burst/endurance alternative; no shipwide discharge aggregation.</t>
  </si>
  <si>
    <t xml:space="preserve">Dual C2D1 Capacitors</t>
  </si>
  <si>
    <t xml:space="preserve">Two independent storage-2 / +1 discharge shifters</t>
  </si>
  <si>
    <t xml:space="preserve">Temporal shifting; no net energy creation.</t>
  </si>
  <si>
    <t xml:space="preserve">B4G1 + C2D1</t>
  </si>
  <si>
    <t xml:space="preserve">Independent finite reserve + temporal shifter</t>
  </si>
  <si>
    <t xml:space="preserve">Hybrid full-capacity power support.</t>
  </si>
  <si>
    <t xml:space="preserve">Shield Hardener + B4G1</t>
  </si>
  <si>
    <t xml:space="preserve">1 TP sustained defense + finite reserve</t>
  </si>
  <si>
    <t xml:space="preserve">Tests compact power support of powered defense.</t>
  </si>
  <si>
    <t xml:space="preserve">Shield Hardener + C2D1</t>
  </si>
  <si>
    <t xml:space="preserve">1 TP sustained defense + temporal shift</t>
  </si>
  <si>
    <t xml:space="preserve">Tests reusable support of powered defense.</t>
  </si>
  <si>
    <t xml:space="preserve">Energized Armor + B4G1</t>
  </si>
  <si>
    <t xml:space="preserve">Tests compact power support of powered armor.</t>
  </si>
  <si>
    <t xml:space="preserve">Energized Armor + C2D1</t>
  </si>
  <si>
    <t xml:space="preserve">Tests reusable support of powered armor.</t>
  </si>
  <si>
    <t xml:space="preserve">Checkpoint 58 - TL4 Single-Main Foundation Screening Matrix</t>
  </si>
  <si>
    <t xml:space="preserve">Six additive studies separate subsystem value, composed generation packages, prior-generation resistance, powered defense, and natural Tactical Power support.</t>
  </si>
  <si>
    <t xml:space="preserve">tl4-itc04-single-main-axis-screening</t>
  </si>
  <si>
    <t xml:space="preserve">Which isolated subsystem axes create healthy TL4 generational value?</t>
  </si>
  <si>
    <t xml:space="preserve">8 TL4 axes vs frozen TL3; K/E/M; ranges 3/4/5; both orientations.</t>
  </si>
  <si>
    <t xml:space="preserve">tl4-itc05-foundation-package-screening</t>
  </si>
  <si>
    <t xml:space="preserve">Which conservative composed packages approach the generation-jump region?</t>
  </si>
  <si>
    <t xml:space="preserve">6 packages vs frozen TL3; K/E/M; ranges 3/4/5; both orientations.</t>
  </si>
  <si>
    <t xml:space="preserve">tl4-itc06-tl3-specialization-resistance</t>
  </si>
  <si>
    <t xml:space="preserve">Do candidate TL4 packages preserve meaningful mature-TL3 specialization resistance?</t>
  </si>
  <si>
    <t xml:space="preserve">6 naked TL4 packages x 3 families x 13 mature TL3 two-AUX builds; both orientations.</t>
  </si>
  <si>
    <t xml:space="preserve">tl4-aux01-powered-defense-isolation</t>
  </si>
  <si>
    <t xml:space="preserve">What benefit/power-cost shape do Shield Hardener and Energized Armor candidates produce?</t>
  </si>
  <si>
    <t xml:space="preserve">6 powered-defense AUX values vs no AUX; K/E/M; range 4; both orientations.</t>
  </si>
  <si>
    <t xml:space="preserve">tl4-pwr03-powered-defense-power-pairing</t>
  </si>
  <si>
    <t xml:space="preserve">Does a mature Battery or Capacitor create useful pairing value with powered defense?</t>
  </si>
  <si>
    <t xml:space="preserve">2 base powered-defense + 4 mixed pairings vs no AUX and base controls.</t>
  </si>
  <si>
    <t xml:space="preserve">tl4-pwr04-single-main-natural-power</t>
  </si>
  <si>
    <t xml:space="preserve">How do Reactor / BB / CC / BC behave under natural higher-cost single-main demand?</t>
  </si>
  <si>
    <t xml:space="preserve">Two technology power envelopes: reactor 6 and reactor 7; no synthetic background load.</t>
  </si>
  <si>
    <t xml:space="preserve">Checkpoint 58 additive evidence.</t>
  </si>
  <si>
    <t xml:space="preserve">Full retained workload: 56 stages / 14,746 variants / 147.46M trials.</t>
  </si>
</sst>
</file>

<file path=xl/styles.xml><?xml version="1.0" encoding="utf-8"?>
<styleSheet xmlns="http://schemas.openxmlformats.org/spreadsheetml/2006/main">
  <numFmts count="3">
    <numFmt numFmtId="164" formatCode="General"/>
    <numFmt numFmtId="165" formatCode="0"/>
    <numFmt numFmtId="166" formatCode="0.0%"/>
  </numFmts>
  <fonts count="36">
    <font>
      <sz val="10"/>
      <name val="Arial"/>
      <family val="2"/>
      <charset val="1"/>
    </font>
    <font>
      <sz val="10"/>
      <name val="Arial"/>
      <family val="0"/>
    </font>
    <font>
      <sz val="10"/>
      <name val="Arial"/>
      <family val="0"/>
    </font>
    <font>
      <sz val="10"/>
      <name val="Arial"/>
      <family val="0"/>
    </font>
    <font>
      <sz val="11"/>
      <color theme="1"/>
      <name val="Calibri"/>
      <family val="0"/>
      <charset val="1"/>
    </font>
    <font>
      <b val="true"/>
      <sz val="20"/>
      <color rgb="FFFFFFFF"/>
      <name val="Aptos Display"/>
      <family val="0"/>
      <charset val="1"/>
    </font>
    <font>
      <i val="true"/>
      <sz val="11"/>
      <color rgb="FF666666"/>
      <name val="Aptos"/>
      <family val="0"/>
      <charset val="1"/>
    </font>
    <font>
      <b val="true"/>
      <sz val="11"/>
      <color rgb="FFFFFFFF"/>
      <name val="Aptos"/>
      <family val="0"/>
      <charset val="1"/>
    </font>
    <font>
      <sz val="10"/>
      <color rgb="FF000000"/>
      <name val="Aptos"/>
      <family val="0"/>
      <charset val="1"/>
    </font>
    <font>
      <b val="true"/>
      <sz val="18"/>
      <color rgb="FFFFFFFF"/>
      <name val="Aptos Display"/>
      <family val="0"/>
      <charset val="1"/>
    </font>
    <font>
      <sz val="10"/>
      <color rgb="FF666666"/>
      <name val="Aptos"/>
      <family val="0"/>
      <charset val="1"/>
    </font>
    <font>
      <b val="true"/>
      <sz val="10"/>
      <color rgb="FFFFFFFF"/>
      <name val="Aptos"/>
      <family val="0"/>
      <charset val="1"/>
    </font>
    <font>
      <b val="true"/>
      <sz val="9"/>
      <color rgb="FF000000"/>
      <name val="Aptos"/>
      <family val="0"/>
      <charset val="1"/>
    </font>
    <font>
      <sz val="9"/>
      <color rgb="FF000000"/>
      <name val="Aptos"/>
      <family val="0"/>
      <charset val="1"/>
    </font>
    <font>
      <sz val="9"/>
      <color rgb="FF666666"/>
      <name val="Aptos"/>
      <family val="0"/>
      <charset val="1"/>
    </font>
    <font>
      <i val="true"/>
      <sz val="10"/>
      <color rgb="FF666666"/>
      <name val="Aptos"/>
      <family val="0"/>
      <charset val="1"/>
    </font>
    <font>
      <sz val="9"/>
      <color rgb="FFC65911"/>
      <name val="Aptos"/>
      <family val="0"/>
      <charset val="1"/>
    </font>
    <font>
      <sz val="9"/>
      <color rgb="FF008000"/>
      <name val="Aptos"/>
      <family val="0"/>
      <charset val="1"/>
    </font>
    <font>
      <sz val="9"/>
      <name val="Aptos"/>
      <family val="0"/>
      <charset val="1"/>
    </font>
    <font>
      <sz val="10"/>
      <name val="Arial"/>
      <family val="0"/>
      <charset val="1"/>
    </font>
    <font>
      <b val="true"/>
      <sz val="14"/>
      <color rgb="FFFFFFFF"/>
      <name val="Cambria"/>
      <family val="0"/>
      <charset val="1"/>
    </font>
    <font>
      <b val="true"/>
      <sz val="11"/>
      <color rgb="FFFFFFFF"/>
      <name val="Cambria"/>
      <family val="0"/>
      <charset val="1"/>
    </font>
    <font>
      <i val="true"/>
      <sz val="11"/>
      <name val="Cambria"/>
      <family val="0"/>
      <charset val="1"/>
    </font>
    <font>
      <b val="true"/>
      <sz val="16"/>
      <color rgb="FFFFFFFF"/>
      <name val="Cambria"/>
      <family val="0"/>
      <charset val="1"/>
    </font>
    <font>
      <b val="true"/>
      <sz val="11"/>
      <name val="Cambria"/>
      <family val="0"/>
      <charset val="1"/>
    </font>
    <font>
      <b val="true"/>
      <sz val="14"/>
      <color rgb="FFFFFFFF"/>
      <name val="Aptos Display"/>
      <family val="0"/>
      <charset val="1"/>
    </font>
    <font>
      <b val="true"/>
      <sz val="13"/>
      <color rgb="FFFFFFFF"/>
      <name val="Aptos Display"/>
      <family val="0"/>
      <charset val="1"/>
    </font>
    <font>
      <sz val="10"/>
      <color rgb="FF008000"/>
      <name val="Aptos"/>
      <family val="0"/>
      <charset val="1"/>
    </font>
    <font>
      <b val="true"/>
      <sz val="10"/>
      <color rgb="FF000000"/>
      <name val="Aptos"/>
      <family val="0"/>
      <charset val="1"/>
    </font>
    <font>
      <b val="true"/>
      <sz val="10"/>
      <color rgb="FF008000"/>
      <name val="Aptos"/>
      <family val="0"/>
      <charset val="1"/>
    </font>
    <font>
      <sz val="10"/>
      <name val="Aptos"/>
      <family val="0"/>
      <charset val="1"/>
    </font>
    <font>
      <b val="true"/>
      <sz val="9"/>
      <color rgb="FFFFFFFF"/>
      <name val="Aptos"/>
      <family val="0"/>
      <charset val="1"/>
    </font>
    <font>
      <sz val="8"/>
      <color rgb="FF000000"/>
      <name val="Aptos"/>
      <family val="0"/>
      <charset val="1"/>
    </font>
    <font>
      <i val="true"/>
      <sz val="10"/>
      <color rgb="FF666666"/>
      <name val="Cambria"/>
      <family val="0"/>
      <charset val="1"/>
    </font>
    <font>
      <sz val="9"/>
      <name val="Cambria"/>
      <family val="0"/>
      <charset val="1"/>
    </font>
    <font>
      <i val="true"/>
      <sz val="11"/>
      <color rgb="FF666666"/>
      <name val="Cambria"/>
      <family val="0"/>
      <charset val="1"/>
    </font>
  </fonts>
  <fills count="15">
    <fill>
      <patternFill patternType="none"/>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2F3"/>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
      <patternFill patternType="solid">
        <fgColor rgb="FFF2F2F2"/>
        <bgColor rgb="FFEAF2F8"/>
      </patternFill>
    </fill>
    <fill>
      <patternFill patternType="solid">
        <fgColor rgb="FFEAF2F8"/>
        <bgColor rgb="FFF2F2F2"/>
      </patternFill>
    </fill>
  </fills>
  <borders count="7">
    <border diagonalUp="false" diagonalDown="false">
      <left/>
      <right/>
      <top/>
      <bottom/>
      <diagonal/>
    </border>
    <border diagonalUp="false" diagonalDown="false">
      <left/>
      <right/>
      <top/>
      <bottom style="thin">
        <color rgb="FFD9E1F2"/>
      </bottom>
      <diagonal/>
    </border>
    <border diagonalUp="false" diagonalDown="false">
      <left/>
      <right/>
      <top/>
      <bottom style="thin">
        <color rgb="FFBFBFB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 diagonalUp="false" diagonalDown="false">
      <left/>
      <right/>
      <top/>
      <bottom style="thin">
        <color rgb="FFD9E2F3"/>
      </bottom>
      <diagonal/>
    </border>
    <border diagonalUp="false" diagonalDown="false">
      <left/>
      <right/>
      <top/>
      <bottom style="thin">
        <color rgb="FF9EBC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xf numFmtId="164" fontId="13" fillId="6" borderId="2" xfId="0" applyFont="true" applyBorder="true" applyAlignment="true" applyProtection="false">
      <alignment horizontal="left" vertical="top" textRotation="0" wrapText="true" indent="0" shrinkToFit="false"/>
      <protection locked="true" hidden="false"/>
    </xf>
    <xf numFmtId="165" fontId="13" fillId="6" borderId="2" xfId="0" applyFont="true" applyBorder="true" applyAlignment="true" applyProtection="false">
      <alignment horizontal="center" vertical="top" textRotation="0" wrapText="true" indent="0" shrinkToFit="false"/>
      <protection locked="true" hidden="false"/>
    </xf>
    <xf numFmtId="164" fontId="13" fillId="6" borderId="2" xfId="0" applyFont="true" applyBorder="true" applyAlignment="true" applyProtection="false">
      <alignment horizontal="center" vertical="top" textRotation="0" wrapText="true" indent="0" shrinkToFit="false"/>
      <protection locked="true" hidden="false"/>
    </xf>
    <xf numFmtId="164" fontId="14" fillId="6"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5" fontId="13" fillId="0" borderId="2" xfId="0" applyFont="true" applyBorder="true" applyAlignment="true" applyProtection="false">
      <alignment horizontal="center" vertical="top"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4" fontId="20" fillId="2" borderId="0" xfId="0" applyFont="true" applyBorder="true" applyAlignment="true" applyProtection="false">
      <alignment horizontal="left" vertical="center" textRotation="0" wrapText="false" indent="0" shrinkToFit="false"/>
      <protection locked="true" hidden="false"/>
    </xf>
    <xf numFmtId="164" fontId="21" fillId="2"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21" fillId="2" borderId="0" xfId="0" applyFont="true" applyBorder="false" applyAlignment="true" applyProtection="false">
      <alignment horizontal="center" vertical="center" textRotation="0" wrapText="true" indent="0" shrinkToFit="false"/>
      <protection locked="true" hidden="false"/>
    </xf>
    <xf numFmtId="164" fontId="22" fillId="7" borderId="0" xfId="0" applyFont="true" applyBorder="true" applyAlignment="true" applyProtection="false">
      <alignment horizontal="general" vertical="center" textRotation="0" wrapText="true" indent="0" shrinkToFit="false"/>
      <protection locked="true" hidden="false"/>
    </xf>
    <xf numFmtId="164" fontId="23" fillId="8" borderId="0" xfId="0" applyFont="true" applyBorder="true" applyAlignment="true" applyProtection="false">
      <alignment horizontal="general" vertical="bottom" textRotation="0" wrapText="false" indent="0" shrinkToFit="false"/>
      <protection locked="true" hidden="false"/>
    </xf>
    <xf numFmtId="164" fontId="21" fillId="9"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21" fillId="8" borderId="0"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20" fillId="8" borderId="0" xfId="0" applyFont="true" applyBorder="true" applyAlignment="true" applyProtection="false">
      <alignment horizontal="general" vertical="center" textRotation="0" wrapText="true" indent="0" shrinkToFit="false"/>
      <protection locked="true" hidden="false"/>
    </xf>
    <xf numFmtId="164" fontId="21" fillId="1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20" fillId="8" borderId="0" xfId="0" applyFont="true" applyBorder="false" applyAlignment="true" applyProtection="false">
      <alignment horizontal="general" vertical="center" textRotation="0" wrapText="true" indent="0" shrinkToFit="false"/>
      <protection locked="true" hidden="false"/>
    </xf>
    <xf numFmtId="164" fontId="25" fillId="8" borderId="3" xfId="0" applyFont="true" applyBorder="true" applyAlignment="true" applyProtection="false">
      <alignment horizontal="general" vertical="center" textRotation="0" wrapText="false" indent="0" shrinkToFit="false"/>
      <protection locked="true" hidden="false"/>
    </xf>
    <xf numFmtId="164" fontId="11" fillId="10" borderId="3" xfId="0" applyFont="true" applyBorder="true" applyAlignment="true" applyProtection="false">
      <alignment horizontal="general" vertical="center" textRotation="0" wrapText="true" indent="0" shrinkToFit="false"/>
      <protection locked="true" hidden="false"/>
    </xf>
    <xf numFmtId="164" fontId="8" fillId="0" borderId="3" xfId="0" applyFont="true" applyBorder="true" applyAlignment="true" applyProtection="false">
      <alignment horizontal="general" vertical="center" textRotation="0" wrapText="true" indent="0" shrinkToFit="false"/>
      <protection locked="true" hidden="false"/>
    </xf>
    <xf numFmtId="164" fontId="26" fillId="8" borderId="3" xfId="0" applyFont="true" applyBorder="true" applyAlignment="true" applyProtection="false">
      <alignment horizontal="general" vertical="center" textRotation="0" wrapText="false" indent="0" shrinkToFit="false"/>
      <protection locked="true" hidden="false"/>
    </xf>
    <xf numFmtId="166" fontId="27" fillId="0" borderId="3" xfId="0" applyFont="true" applyBorder="true" applyAlignment="true" applyProtection="false">
      <alignment horizontal="general" vertical="center" textRotation="0" wrapText="true" indent="0" shrinkToFit="false"/>
      <protection locked="true" hidden="false"/>
    </xf>
    <xf numFmtId="164" fontId="28" fillId="11" borderId="3" xfId="0" applyFont="true" applyBorder="true" applyAlignment="true" applyProtection="false">
      <alignment horizontal="general" vertical="center" textRotation="0" wrapText="true" indent="0" shrinkToFit="false"/>
      <protection locked="true" hidden="false"/>
    </xf>
    <xf numFmtId="166" fontId="29" fillId="11" borderId="3" xfId="0" applyFont="true" applyBorder="true" applyAlignment="true" applyProtection="false">
      <alignment horizontal="general" vertical="center" textRotation="0" wrapText="true" indent="0" shrinkToFit="false"/>
      <protection locked="true" hidden="false"/>
    </xf>
    <xf numFmtId="164" fontId="30" fillId="0" borderId="3" xfId="0" applyFont="true" applyBorder="true" applyAlignment="true" applyProtection="false">
      <alignment horizontal="general" vertical="center" textRotation="0" wrapText="true" indent="0" shrinkToFit="false"/>
      <protection locked="true" hidden="false"/>
    </xf>
    <xf numFmtId="164" fontId="8" fillId="4" borderId="3" xfId="0" applyFont="true" applyBorder="true" applyAlignment="true" applyProtection="false">
      <alignment horizontal="general" vertical="center" textRotation="0" wrapText="true" indent="0" shrinkToFit="false"/>
      <protection locked="true" hidden="false"/>
    </xf>
    <xf numFmtId="166" fontId="27" fillId="4" borderId="3" xfId="0" applyFont="true" applyBorder="true" applyAlignment="true" applyProtection="false">
      <alignment horizontal="general" vertical="center" textRotation="0" wrapText="true" indent="0" shrinkToFit="false"/>
      <protection locked="true" hidden="false"/>
    </xf>
    <xf numFmtId="164" fontId="8" fillId="12" borderId="3" xfId="0" applyFont="true" applyBorder="true" applyAlignment="true" applyProtection="false">
      <alignment horizontal="general" vertical="center" textRotation="0" wrapText="true" indent="0" shrinkToFit="false"/>
      <protection locked="true" hidden="false"/>
    </xf>
    <xf numFmtId="166" fontId="27" fillId="12" borderId="3"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17" fillId="5" borderId="1" xfId="0" applyFont="true" applyBorder="true" applyAlignment="true" applyProtection="false">
      <alignment horizontal="general" vertical="center" textRotation="0" wrapText="true" indent="0" shrinkToFit="false"/>
      <protection locked="true" hidden="false"/>
    </xf>
    <xf numFmtId="164" fontId="25" fillId="8" borderId="4" xfId="0" applyFont="true" applyBorder="true" applyAlignment="true" applyProtection="false">
      <alignment horizontal="left" vertical="center" textRotation="0" wrapText="false" indent="0" shrinkToFit="false"/>
      <protection locked="true" hidden="false"/>
    </xf>
    <xf numFmtId="164" fontId="8" fillId="0" borderId="4" xfId="0" applyFont="true" applyBorder="true" applyAlignment="true" applyProtection="false">
      <alignment horizontal="general" vertical="center" textRotation="0" wrapText="true" indent="0" shrinkToFit="false"/>
      <protection locked="true" hidden="false"/>
    </xf>
    <xf numFmtId="164" fontId="11" fillId="10" borderId="3" xfId="0" applyFont="true" applyBorder="true" applyAlignment="true" applyProtection="false">
      <alignment horizontal="center" vertical="center" textRotation="0" wrapText="true" indent="0" shrinkToFit="false"/>
      <protection locked="true" hidden="false"/>
    </xf>
    <xf numFmtId="164" fontId="28" fillId="11" borderId="3" xfId="0" applyFont="true" applyBorder="true" applyAlignment="true" applyProtection="false">
      <alignment horizontal="left" vertical="center" textRotation="0" wrapText="true" indent="0" shrinkToFit="false"/>
      <protection locked="true" hidden="false"/>
    </xf>
    <xf numFmtId="164" fontId="28" fillId="11"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12" borderId="3" xfId="0" applyFont="true" applyBorder="true" applyAlignment="true" applyProtection="false">
      <alignment horizontal="left" vertical="center" textRotation="0" wrapText="true" indent="0" shrinkToFit="false"/>
      <protection locked="true" hidden="false"/>
    </xf>
    <xf numFmtId="164" fontId="8" fillId="12" borderId="3" xfId="0" applyFont="true" applyBorder="true" applyAlignment="true" applyProtection="false">
      <alignment horizontal="center" vertical="center" textRotation="0" wrapText="true" indent="0" shrinkToFit="false"/>
      <protection locked="true" hidden="false"/>
    </xf>
    <xf numFmtId="164" fontId="25" fillId="8" borderId="4" xfId="0" applyFont="true" applyBorder="true" applyAlignment="true" applyProtection="false">
      <alignment horizontal="general" vertical="center" textRotation="0" wrapText="false" indent="0" shrinkToFit="false"/>
      <protection locked="true" hidden="false"/>
    </xf>
    <xf numFmtId="164" fontId="26" fillId="8" borderId="4"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12" fillId="11" borderId="3" xfId="0" applyFont="true" applyBorder="true" applyAlignment="true" applyProtection="false">
      <alignment horizontal="left" vertical="center" textRotation="0" wrapText="true" indent="0" shrinkToFit="false"/>
      <protection locked="true" hidden="false"/>
    </xf>
    <xf numFmtId="164" fontId="31" fillId="3" borderId="5" xfId="0" applyFont="true" applyBorder="true" applyAlignment="true" applyProtection="false">
      <alignment horizontal="center" vertical="center" textRotation="0" wrapText="true" indent="0" shrinkToFit="false"/>
      <protection locked="true" hidden="false"/>
    </xf>
    <xf numFmtId="164" fontId="13" fillId="13" borderId="5"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left" vertical="center" textRotation="0" wrapText="true" indent="0" shrinkToFit="false"/>
      <protection locked="true" hidden="false"/>
    </xf>
    <xf numFmtId="164" fontId="13" fillId="13" borderId="5" xfId="0" applyFont="true" applyBorder="true" applyAlignment="true" applyProtection="false">
      <alignment horizontal="center" vertical="center" textRotation="0" wrapText="true" indent="0" shrinkToFit="false"/>
      <protection locked="true" hidden="false"/>
    </xf>
    <xf numFmtId="164" fontId="13" fillId="4" borderId="5" xfId="0" applyFont="true" applyBorder="true" applyAlignment="true" applyProtection="false">
      <alignment horizontal="center" vertical="center" textRotation="0" wrapText="true" indent="0" shrinkToFit="false"/>
      <protection locked="true" hidden="false"/>
    </xf>
    <xf numFmtId="164" fontId="32" fillId="11" borderId="5" xfId="0" applyFont="true" applyBorder="true" applyAlignment="true" applyProtection="false">
      <alignment horizontal="left" vertical="center" textRotation="0" wrapText="true" indent="0" shrinkToFit="false"/>
      <protection locked="true" hidden="false"/>
    </xf>
    <xf numFmtId="164" fontId="32" fillId="6" borderId="5" xfId="0" applyFont="true" applyBorder="true" applyAlignment="true" applyProtection="false">
      <alignment horizontal="left" vertical="center" textRotation="0" wrapText="true" indent="0" shrinkToFit="false"/>
      <protection locked="true" hidden="false"/>
    </xf>
    <xf numFmtId="164" fontId="32" fillId="12" borderId="5" xfId="0" applyFont="true" applyBorder="true" applyAlignment="true" applyProtection="false">
      <alignment horizontal="left" vertical="center" textRotation="0" wrapText="true" indent="0" shrinkToFit="false"/>
      <protection locked="true" hidden="false"/>
    </xf>
    <xf numFmtId="164" fontId="8" fillId="13" borderId="5" xfId="0" applyFont="true" applyBorder="true" applyAlignment="true" applyProtection="false">
      <alignment horizontal="left" vertical="center" textRotation="0" wrapText="true" indent="0" shrinkToFit="false"/>
      <protection locked="true" hidden="false"/>
    </xf>
    <xf numFmtId="164" fontId="8" fillId="0" borderId="5" xfId="0" applyFont="true" applyBorder="true" applyAlignment="true" applyProtection="false">
      <alignment horizontal="center" vertical="center" textRotation="0" wrapText="true" indent="0" shrinkToFit="false"/>
      <protection locked="true" hidden="false"/>
    </xf>
    <xf numFmtId="164" fontId="8" fillId="0" borderId="5"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center" vertical="center" textRotation="0" wrapText="true" indent="0" shrinkToFit="false"/>
      <protection locked="true" hidden="false"/>
    </xf>
    <xf numFmtId="164" fontId="13" fillId="12" borderId="5" xfId="0" applyFont="true" applyBorder="true" applyAlignment="true" applyProtection="false">
      <alignment horizontal="left" vertical="center" textRotation="0" wrapText="true" indent="0" shrinkToFit="false"/>
      <protection locked="true" hidden="false"/>
    </xf>
    <xf numFmtId="164" fontId="13" fillId="12" borderId="5" xfId="0" applyFont="true" applyBorder="true" applyAlignment="true" applyProtection="false">
      <alignment horizontal="center" vertical="center" textRotation="0" wrapText="true" indent="0" shrinkToFit="false"/>
      <protection locked="true" hidden="false"/>
    </xf>
    <xf numFmtId="164" fontId="8" fillId="4" borderId="5" xfId="0" applyFont="true" applyBorder="true" applyAlignment="true" applyProtection="false">
      <alignment horizontal="center" vertical="center" textRotation="0" wrapText="true" indent="0" shrinkToFit="false"/>
      <protection locked="true" hidden="false"/>
    </xf>
    <xf numFmtId="164" fontId="20" fillId="2" borderId="0" xfId="0" applyFont="true" applyBorder="true" applyAlignment="true" applyProtection="false">
      <alignment horizontal="general" vertical="center" textRotation="0" wrapText="false" indent="0" shrinkToFit="false"/>
      <protection locked="true" hidden="false"/>
    </xf>
    <xf numFmtId="164" fontId="33" fillId="14" borderId="0" xfId="0" applyFont="true" applyBorder="true" applyAlignment="true" applyProtection="false">
      <alignment horizontal="general" vertical="center" textRotation="0" wrapText="true" indent="0" shrinkToFit="false"/>
      <protection locked="true" hidden="false"/>
    </xf>
    <xf numFmtId="164" fontId="21" fillId="8" borderId="6"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general" vertical="top" textRotation="0" wrapText="true" indent="0" shrinkToFit="false"/>
      <protection locked="true" hidden="false"/>
    </xf>
    <xf numFmtId="164" fontId="34" fillId="0" borderId="0" xfId="0" applyFont="true" applyBorder="false" applyAlignment="true" applyProtection="false">
      <alignment horizontal="general" vertical="center" textRotation="0" wrapText="true" indent="0" shrinkToFit="false"/>
      <protection locked="true" hidden="false"/>
    </xf>
    <xf numFmtId="164" fontId="35" fillId="14" borderId="0" xfId="0" applyFont="true" applyBorder="true" applyAlignment="true" applyProtection="false">
      <alignment horizontal="general" vertical="center" textRotation="0" wrapText="true" indent="0" shrinkToFit="false"/>
      <protection locked="true" hidden="false"/>
    </xf>
    <xf numFmtId="164" fontId="21" fillId="8" borderId="0" xfId="0" applyFont="true" applyBorder="false" applyAlignment="true" applyProtection="false">
      <alignment horizontal="center" vertical="center" textRotation="0" wrapText="true" indent="0" shrinkToFit="false"/>
      <protection locked="true" hidden="false"/>
    </xf>
    <xf numFmtId="164" fontId="19" fillId="0" borderId="5" xfId="0" applyFont="true" applyBorder="tru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7F9FC"/>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EAF2F8"/>
      <rgbColor rgb="FFE2F0D9"/>
      <rgbColor rgb="FFF2F2F2"/>
      <rgbColor rgb="FF9EBCD1"/>
      <rgbColor rgb="FFD9E2F3"/>
      <rgbColor rgb="FFE4DFEC"/>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8" min="2" style="1" width="16"/>
  </cols>
  <sheetData>
    <row r="1" customFormat="false" ht="33.75" hidden="false" customHeight="true" outlineLevel="0" collapsed="false">
      <c r="A1" s="2" t="s">
        <v>0</v>
      </c>
      <c r="B1" s="2"/>
      <c r="C1" s="2"/>
      <c r="D1" s="2"/>
      <c r="E1" s="2"/>
      <c r="F1" s="2"/>
      <c r="G1" s="2"/>
      <c r="H1" s="2"/>
    </row>
    <row r="2" customFormat="false" ht="24" hidden="false" customHeight="true" outlineLevel="0" collapsed="false">
      <c r="A2" s="3" t="s">
        <v>1</v>
      </c>
      <c r="B2" s="3"/>
      <c r="C2" s="3"/>
      <c r="D2" s="3"/>
      <c r="E2" s="3"/>
      <c r="F2" s="3"/>
      <c r="G2" s="3"/>
      <c r="H2" s="3"/>
    </row>
    <row r="3" customFormat="false" ht="42" hidden="false" customHeight="true" outlineLevel="0" collapsed="false">
      <c r="A3" s="4" t="s">
        <v>2</v>
      </c>
      <c r="B3" s="5" t="s">
        <v>3</v>
      </c>
      <c r="C3" s="5"/>
      <c r="D3" s="5"/>
      <c r="E3" s="5"/>
      <c r="F3" s="5"/>
      <c r="G3" s="5"/>
      <c r="H3" s="5"/>
    </row>
    <row r="4" customFormat="false" ht="45" hidden="false" customHeight="true" outlineLevel="0" collapsed="false">
      <c r="A4" s="4" t="s">
        <v>4</v>
      </c>
      <c r="B4" s="5" t="s">
        <v>5</v>
      </c>
      <c r="C4" s="5"/>
      <c r="D4" s="5"/>
      <c r="E4" s="5"/>
      <c r="F4" s="5"/>
      <c r="G4" s="5"/>
      <c r="H4" s="5"/>
    </row>
    <row r="5" customFormat="false" ht="37.5" hidden="false" customHeight="true" outlineLevel="0" collapsed="false">
      <c r="A5" s="4" t="s">
        <v>6</v>
      </c>
      <c r="B5" s="6" t="s">
        <v>7</v>
      </c>
      <c r="C5" s="6"/>
      <c r="D5" s="6"/>
      <c r="E5" s="6"/>
      <c r="F5" s="6"/>
      <c r="G5" s="6"/>
      <c r="H5" s="6"/>
    </row>
    <row r="6" customFormat="false" ht="37.5" hidden="false" customHeight="true" outlineLevel="0" collapsed="false">
      <c r="A6" s="4" t="s">
        <v>8</v>
      </c>
      <c r="B6" s="6" t="s">
        <v>9</v>
      </c>
      <c r="C6" s="6"/>
      <c r="D6" s="6"/>
      <c r="E6" s="6"/>
      <c r="F6" s="6"/>
      <c r="G6" s="6"/>
      <c r="H6" s="6"/>
    </row>
    <row r="7" customFormat="false" ht="37.5" hidden="false" customHeight="true" outlineLevel="0" collapsed="false">
      <c r="A7" s="4" t="s">
        <v>10</v>
      </c>
      <c r="B7" s="6" t="s">
        <v>11</v>
      </c>
      <c r="C7" s="6"/>
      <c r="D7" s="6"/>
      <c r="E7" s="6"/>
      <c r="F7" s="6"/>
      <c r="G7" s="6"/>
      <c r="H7" s="6"/>
    </row>
    <row r="8" customFormat="false" ht="48" hidden="false" customHeight="true" outlineLevel="0" collapsed="false">
      <c r="A8" s="4" t="s">
        <v>12</v>
      </c>
      <c r="B8" s="6" t="s">
        <v>13</v>
      </c>
      <c r="C8" s="6"/>
      <c r="D8" s="6"/>
      <c r="E8" s="6"/>
      <c r="F8" s="6"/>
      <c r="G8" s="6"/>
      <c r="H8" s="6"/>
    </row>
    <row r="9" customFormat="false" ht="51.75" hidden="false" customHeight="true" outlineLevel="0" collapsed="false">
      <c r="A9" s="4" t="s">
        <v>14</v>
      </c>
      <c r="B9" s="6" t="s">
        <v>15</v>
      </c>
      <c r="C9" s="6"/>
      <c r="D9" s="6"/>
      <c r="E9" s="6"/>
      <c r="F9" s="6"/>
      <c r="G9" s="6"/>
      <c r="H9" s="6"/>
    </row>
    <row r="10" customFormat="false" ht="42" hidden="false" customHeight="true" outlineLevel="0" collapsed="false">
      <c r="A10" s="4" t="s">
        <v>16</v>
      </c>
      <c r="B10" s="6" t="s">
        <v>17</v>
      </c>
      <c r="C10" s="6"/>
      <c r="D10" s="6"/>
      <c r="E10" s="6"/>
      <c r="F10" s="6"/>
      <c r="G10" s="6"/>
      <c r="H10" s="6"/>
    </row>
    <row r="11" customFormat="false" ht="37.5" hidden="false" customHeight="true" outlineLevel="0" collapsed="false">
      <c r="A11" s="4" t="s">
        <v>18</v>
      </c>
      <c r="B11" s="5" t="s">
        <v>19</v>
      </c>
      <c r="C11" s="5"/>
      <c r="D11" s="5"/>
      <c r="E11" s="5"/>
      <c r="F11" s="5"/>
      <c r="G11" s="5"/>
      <c r="H11" s="5"/>
    </row>
    <row r="12" customFormat="false" ht="60" hidden="false" customHeight="true" outlineLevel="0" collapsed="false">
      <c r="A12" s="4" t="s">
        <v>20</v>
      </c>
      <c r="B12" s="7" t="s">
        <v>21</v>
      </c>
      <c r="C12" s="7"/>
      <c r="D12" s="7"/>
      <c r="E12" s="7"/>
      <c r="F12" s="7"/>
      <c r="G12" s="7"/>
      <c r="H12" s="7"/>
    </row>
  </sheetData>
  <mergeCells count="12">
    <mergeCell ref="A1:H1"/>
    <mergeCell ref="A2:H2"/>
    <mergeCell ref="B3:H3"/>
    <mergeCell ref="B4:H4"/>
    <mergeCell ref="B5:H5"/>
    <mergeCell ref="B6:H6"/>
    <mergeCell ref="B7:H7"/>
    <mergeCell ref="B8:H8"/>
    <mergeCell ref="B9:H9"/>
    <mergeCell ref="B10:H10"/>
    <mergeCell ref="B11:H11"/>
    <mergeCell ref="B12:H1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I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34"/>
    <col collapsed="false" customWidth="true" hidden="false" outlineLevel="0" max="4" min="4" style="1" width="14"/>
    <col collapsed="false" customWidth="true" hidden="false" outlineLevel="0" max="5" min="5" style="1" width="18"/>
    <col collapsed="false" customWidth="true" hidden="false" outlineLevel="0" max="6" min="6" style="1" width="32"/>
    <col collapsed="false" customWidth="true" hidden="false" outlineLevel="0" max="7" min="7" style="1" width="24"/>
    <col collapsed="false" customWidth="true" hidden="false" outlineLevel="0" max="9" min="8" style="1" width="56"/>
  </cols>
  <sheetData>
    <row r="1" customFormat="false" ht="30" hidden="false" customHeight="true" outlineLevel="0" collapsed="false">
      <c r="A1" s="8" t="s">
        <v>22</v>
      </c>
      <c r="B1" s="8"/>
      <c r="C1" s="8"/>
      <c r="D1" s="8"/>
      <c r="E1" s="8"/>
      <c r="F1" s="8"/>
      <c r="G1" s="8"/>
      <c r="H1" s="8"/>
      <c r="I1" s="8"/>
    </row>
    <row r="2" customFormat="false" ht="42" hidden="false" customHeight="true" outlineLevel="0" collapsed="false">
      <c r="A2" s="9" t="s">
        <v>23</v>
      </c>
      <c r="B2" s="9"/>
      <c r="C2" s="9"/>
      <c r="D2" s="9"/>
      <c r="E2" s="9"/>
      <c r="F2" s="9"/>
      <c r="G2" s="9"/>
      <c r="H2" s="9"/>
      <c r="I2" s="9"/>
    </row>
    <row r="3" customFormat="false" ht="7.5" hidden="false" customHeight="true" outlineLevel="0" collapsed="false"/>
    <row r="4" customFormat="false" ht="30" hidden="false" customHeight="true" outlineLevel="0" collapsed="false">
      <c r="A4" s="10" t="s">
        <v>24</v>
      </c>
      <c r="B4" s="10" t="s">
        <v>25</v>
      </c>
      <c r="C4" s="10" t="s">
        <v>26</v>
      </c>
      <c r="D4" s="10" t="s">
        <v>27</v>
      </c>
      <c r="E4" s="10" t="s">
        <v>28</v>
      </c>
      <c r="F4" s="10" t="s">
        <v>29</v>
      </c>
      <c r="G4" s="10" t="s">
        <v>30</v>
      </c>
      <c r="H4" s="10" t="s">
        <v>31</v>
      </c>
      <c r="I4" s="10" t="s">
        <v>32</v>
      </c>
    </row>
    <row r="5" customFormat="false" ht="42" hidden="false" customHeight="true" outlineLevel="0" collapsed="false">
      <c r="A5" s="11" t="s">
        <v>33</v>
      </c>
      <c r="B5" s="12" t="s">
        <v>34</v>
      </c>
      <c r="C5" s="12" t="s">
        <v>35</v>
      </c>
      <c r="D5" s="13" t="n">
        <v>12</v>
      </c>
      <c r="E5" s="14" t="s">
        <v>36</v>
      </c>
      <c r="F5" s="12" t="s">
        <v>37</v>
      </c>
      <c r="G5" s="15" t="s">
        <v>38</v>
      </c>
      <c r="H5" s="12" t="s">
        <v>39</v>
      </c>
      <c r="I5" s="12" t="s">
        <v>40</v>
      </c>
    </row>
    <row r="6" customFormat="false" ht="42" hidden="false" customHeight="true" outlineLevel="0" collapsed="false">
      <c r="A6" s="11" t="s">
        <v>33</v>
      </c>
      <c r="B6" s="12" t="s">
        <v>41</v>
      </c>
      <c r="C6" s="12" t="s">
        <v>42</v>
      </c>
      <c r="D6" s="13" t="n">
        <v>1</v>
      </c>
      <c r="E6" s="14" t="s">
        <v>43</v>
      </c>
      <c r="F6" s="12" t="s">
        <v>44</v>
      </c>
      <c r="G6" s="15" t="s">
        <v>38</v>
      </c>
      <c r="H6" s="12" t="s">
        <v>45</v>
      </c>
      <c r="I6" s="12" t="s">
        <v>46</v>
      </c>
    </row>
    <row r="7" customFormat="false" ht="42" hidden="false" customHeight="true" outlineLevel="0" collapsed="false">
      <c r="A7" s="11" t="s">
        <v>33</v>
      </c>
      <c r="B7" s="12" t="s">
        <v>47</v>
      </c>
      <c r="C7" s="12" t="s">
        <v>48</v>
      </c>
      <c r="D7" s="13" t="n">
        <v>0</v>
      </c>
      <c r="E7" s="14" t="s">
        <v>49</v>
      </c>
      <c r="F7" s="12" t="s">
        <v>44</v>
      </c>
      <c r="G7" s="15" t="s">
        <v>38</v>
      </c>
      <c r="H7" s="12" t="s">
        <v>50</v>
      </c>
      <c r="I7" s="12" t="s">
        <v>51</v>
      </c>
    </row>
    <row r="8" customFormat="false" ht="42" hidden="false" customHeight="true" outlineLevel="0" collapsed="false">
      <c r="A8" s="11" t="s">
        <v>52</v>
      </c>
      <c r="B8" s="12" t="s">
        <v>53</v>
      </c>
      <c r="C8" s="12" t="s">
        <v>54</v>
      </c>
      <c r="D8" s="13" t="n">
        <v>100</v>
      </c>
      <c r="E8" s="14" t="s">
        <v>55</v>
      </c>
      <c r="F8" s="12" t="s">
        <v>37</v>
      </c>
      <c r="G8" s="15" t="s">
        <v>38</v>
      </c>
      <c r="H8" s="12" t="s">
        <v>56</v>
      </c>
      <c r="I8" s="12" t="s">
        <v>57</v>
      </c>
    </row>
    <row r="9" customFormat="false" ht="42" hidden="false" customHeight="true" outlineLevel="0" collapsed="false">
      <c r="A9" s="11" t="s">
        <v>52</v>
      </c>
      <c r="B9" s="12" t="s">
        <v>58</v>
      </c>
      <c r="C9" s="12" t="s">
        <v>59</v>
      </c>
      <c r="D9" s="13" t="n">
        <v>10</v>
      </c>
      <c r="E9" s="14" t="s">
        <v>60</v>
      </c>
      <c r="F9" s="12" t="s">
        <v>37</v>
      </c>
      <c r="G9" s="15" t="s">
        <v>38</v>
      </c>
      <c r="H9" s="12" t="s">
        <v>61</v>
      </c>
      <c r="I9" s="12" t="s">
        <v>62</v>
      </c>
    </row>
    <row r="10" customFormat="false" ht="42" hidden="false" customHeight="true" outlineLevel="0" collapsed="false">
      <c r="A10" s="11" t="s">
        <v>52</v>
      </c>
      <c r="B10" s="12" t="s">
        <v>63</v>
      </c>
      <c r="C10" s="12" t="s">
        <v>64</v>
      </c>
      <c r="D10" s="13" t="n">
        <v>10</v>
      </c>
      <c r="E10" s="14" t="s">
        <v>65</v>
      </c>
      <c r="F10" s="12" t="s">
        <v>37</v>
      </c>
      <c r="G10" s="15" t="s">
        <v>38</v>
      </c>
      <c r="H10" s="12" t="s">
        <v>66</v>
      </c>
      <c r="I10" s="12" t="s">
        <v>67</v>
      </c>
    </row>
    <row r="11" customFormat="false" ht="42" hidden="false" customHeight="true" outlineLevel="0" collapsed="false">
      <c r="A11" s="11" t="s">
        <v>52</v>
      </c>
      <c r="B11" s="12" t="s">
        <v>68</v>
      </c>
      <c r="C11" s="12" t="s">
        <v>69</v>
      </c>
      <c r="D11" s="13" t="n">
        <v>51</v>
      </c>
      <c r="E11" s="14" t="s">
        <v>70</v>
      </c>
      <c r="F11" s="12" t="s">
        <v>37</v>
      </c>
      <c r="G11" s="15" t="s">
        <v>38</v>
      </c>
      <c r="H11" s="12" t="s">
        <v>71</v>
      </c>
      <c r="I11" s="12" t="s">
        <v>72</v>
      </c>
    </row>
    <row r="12" customFormat="false" ht="42" hidden="false" customHeight="true" outlineLevel="0" collapsed="false">
      <c r="A12" s="11" t="s">
        <v>52</v>
      </c>
      <c r="B12" s="12" t="s">
        <v>73</v>
      </c>
      <c r="C12" s="12" t="s">
        <v>74</v>
      </c>
      <c r="D12" s="13" t="n">
        <v>21</v>
      </c>
      <c r="E12" s="14" t="s">
        <v>70</v>
      </c>
      <c r="F12" s="12" t="s">
        <v>37</v>
      </c>
      <c r="G12" s="15" t="s">
        <v>38</v>
      </c>
      <c r="H12" s="12" t="s">
        <v>75</v>
      </c>
      <c r="I12" s="12" t="s">
        <v>76</v>
      </c>
    </row>
    <row r="13" customFormat="false" ht="42" hidden="false" customHeight="true" outlineLevel="0" collapsed="false">
      <c r="A13" s="11" t="s">
        <v>52</v>
      </c>
      <c r="B13" s="12" t="s">
        <v>77</v>
      </c>
      <c r="C13" s="12" t="s">
        <v>78</v>
      </c>
      <c r="D13" s="13" t="n">
        <v>10</v>
      </c>
      <c r="E13" s="14" t="s">
        <v>70</v>
      </c>
      <c r="F13" s="12" t="s">
        <v>37</v>
      </c>
      <c r="G13" s="15" t="s">
        <v>38</v>
      </c>
      <c r="H13" s="12" t="s">
        <v>79</v>
      </c>
      <c r="I13" s="12" t="s">
        <v>80</v>
      </c>
    </row>
    <row r="14" customFormat="false" ht="42" hidden="false" customHeight="true" outlineLevel="0" collapsed="false">
      <c r="A14" s="11" t="s">
        <v>52</v>
      </c>
      <c r="B14" s="12" t="s">
        <v>81</v>
      </c>
      <c r="C14" s="12" t="s">
        <v>82</v>
      </c>
      <c r="D14" s="13" t="n">
        <v>10</v>
      </c>
      <c r="E14" s="14" t="s">
        <v>65</v>
      </c>
      <c r="F14" s="12" t="s">
        <v>83</v>
      </c>
      <c r="G14" s="15" t="s">
        <v>38</v>
      </c>
      <c r="H14" s="12" t="s">
        <v>84</v>
      </c>
      <c r="I14" s="12" t="s">
        <v>85</v>
      </c>
    </row>
    <row r="15" customFormat="false" ht="42" hidden="false" customHeight="true" outlineLevel="0" collapsed="false">
      <c r="A15" s="11" t="s">
        <v>52</v>
      </c>
      <c r="B15" s="12" t="s">
        <v>86</v>
      </c>
      <c r="C15" s="12" t="s">
        <v>87</v>
      </c>
      <c r="D15" s="13" t="n">
        <v>20</v>
      </c>
      <c r="E15" s="14" t="s">
        <v>65</v>
      </c>
      <c r="F15" s="12" t="s">
        <v>83</v>
      </c>
      <c r="G15" s="15" t="s">
        <v>38</v>
      </c>
      <c r="H15" s="12" t="s">
        <v>88</v>
      </c>
      <c r="I15" s="12" t="s">
        <v>89</v>
      </c>
    </row>
    <row r="16" customFormat="false" ht="42" hidden="false" customHeight="true" outlineLevel="0" collapsed="false">
      <c r="A16" s="11" t="s">
        <v>52</v>
      </c>
      <c r="B16" s="12" t="s">
        <v>90</v>
      </c>
      <c r="C16" s="12" t="s">
        <v>91</v>
      </c>
      <c r="D16" s="13" t="n">
        <v>30</v>
      </c>
      <c r="E16" s="14" t="s">
        <v>65</v>
      </c>
      <c r="F16" s="12" t="s">
        <v>83</v>
      </c>
      <c r="G16" s="15" t="s">
        <v>38</v>
      </c>
      <c r="H16" s="12" t="s">
        <v>92</v>
      </c>
      <c r="I16" s="12" t="s">
        <v>93</v>
      </c>
    </row>
    <row r="17" customFormat="false" ht="42" hidden="false" customHeight="true" outlineLevel="0" collapsed="false">
      <c r="A17" s="11" t="s">
        <v>94</v>
      </c>
      <c r="B17" s="12" t="s">
        <v>95</v>
      </c>
      <c r="C17" s="12" t="s">
        <v>96</v>
      </c>
      <c r="D17" s="13" t="n">
        <v>0</v>
      </c>
      <c r="E17" s="14" t="s">
        <v>97</v>
      </c>
      <c r="F17" s="12" t="s">
        <v>98</v>
      </c>
      <c r="G17" s="15" t="s">
        <v>38</v>
      </c>
      <c r="H17" s="12" t="s">
        <v>99</v>
      </c>
      <c r="I17" s="12" t="s">
        <v>100</v>
      </c>
    </row>
    <row r="18" customFormat="false" ht="42" hidden="false" customHeight="true" outlineLevel="0" collapsed="false">
      <c r="A18" s="11" t="s">
        <v>94</v>
      </c>
      <c r="B18" s="12" t="s">
        <v>101</v>
      </c>
      <c r="C18" s="12" t="s">
        <v>102</v>
      </c>
      <c r="D18" s="13" t="n">
        <v>4</v>
      </c>
      <c r="E18" s="14" t="s">
        <v>103</v>
      </c>
      <c r="F18" s="12" t="s">
        <v>98</v>
      </c>
      <c r="G18" s="15" t="s">
        <v>38</v>
      </c>
      <c r="H18" s="12" t="s">
        <v>104</v>
      </c>
      <c r="I18" s="12" t="s">
        <v>105</v>
      </c>
    </row>
    <row r="19" customFormat="false" ht="42" hidden="false" customHeight="true" outlineLevel="0" collapsed="false">
      <c r="A19" s="11" t="s">
        <v>94</v>
      </c>
      <c r="B19" s="12" t="s">
        <v>106</v>
      </c>
      <c r="C19" s="12" t="s">
        <v>107</v>
      </c>
      <c r="D19" s="13" t="n">
        <v>2</v>
      </c>
      <c r="E19" s="14" t="s">
        <v>108</v>
      </c>
      <c r="F19" s="12" t="s">
        <v>109</v>
      </c>
      <c r="G19" s="15" t="s">
        <v>38</v>
      </c>
      <c r="H19" s="12" t="s">
        <v>110</v>
      </c>
      <c r="I19" s="12" t="s">
        <v>111</v>
      </c>
    </row>
    <row r="20" customFormat="false" ht="42" hidden="false" customHeight="true" outlineLevel="0" collapsed="false">
      <c r="A20" s="11" t="s">
        <v>94</v>
      </c>
      <c r="B20" s="12" t="s">
        <v>112</v>
      </c>
      <c r="C20" s="12" t="s">
        <v>113</v>
      </c>
      <c r="D20" s="13" t="n">
        <v>1</v>
      </c>
      <c r="E20" s="14" t="s">
        <v>114</v>
      </c>
      <c r="F20" s="12" t="s">
        <v>115</v>
      </c>
      <c r="G20" s="15" t="s">
        <v>38</v>
      </c>
      <c r="H20" s="12" t="s">
        <v>116</v>
      </c>
      <c r="I20" s="12" t="s">
        <v>117</v>
      </c>
    </row>
    <row r="21" customFormat="false" ht="42" hidden="false" customHeight="true" outlineLevel="0" collapsed="false">
      <c r="A21" s="11" t="s">
        <v>94</v>
      </c>
      <c r="B21" s="12" t="s">
        <v>118</v>
      </c>
      <c r="C21" s="12" t="s">
        <v>119</v>
      </c>
      <c r="D21" s="13" t="n">
        <v>1</v>
      </c>
      <c r="E21" s="14" t="s">
        <v>120</v>
      </c>
      <c r="F21" s="12" t="s">
        <v>115</v>
      </c>
      <c r="G21" s="15" t="s">
        <v>38</v>
      </c>
      <c r="H21" s="12" t="s">
        <v>121</v>
      </c>
      <c r="I21" s="12" t="s">
        <v>122</v>
      </c>
    </row>
    <row r="22" customFormat="false" ht="42" hidden="false" customHeight="true" outlineLevel="0" collapsed="false">
      <c r="A22" s="11" t="s">
        <v>94</v>
      </c>
      <c r="B22" s="12" t="s">
        <v>123</v>
      </c>
      <c r="C22" s="12" t="s">
        <v>124</v>
      </c>
      <c r="D22" s="13" t="n">
        <v>2</v>
      </c>
      <c r="E22" s="14" t="s">
        <v>125</v>
      </c>
      <c r="F22" s="12" t="s">
        <v>115</v>
      </c>
      <c r="G22" s="15" t="s">
        <v>38</v>
      </c>
      <c r="H22" s="12" t="s">
        <v>126</v>
      </c>
      <c r="I22" s="12" t="s">
        <v>127</v>
      </c>
    </row>
    <row r="23" customFormat="false" ht="42" hidden="false" customHeight="true" outlineLevel="0" collapsed="false">
      <c r="A23" s="11" t="s">
        <v>94</v>
      </c>
      <c r="B23" s="12" t="s">
        <v>128</v>
      </c>
      <c r="C23" s="12" t="s">
        <v>129</v>
      </c>
      <c r="D23" s="13" t="n">
        <v>0</v>
      </c>
      <c r="E23" s="14" t="s">
        <v>114</v>
      </c>
      <c r="F23" s="12" t="s">
        <v>130</v>
      </c>
      <c r="G23" s="15" t="s">
        <v>38</v>
      </c>
      <c r="H23" s="12" t="s">
        <v>131</v>
      </c>
      <c r="I23" s="12" t="s">
        <v>132</v>
      </c>
    </row>
    <row r="24" customFormat="false" ht="42" hidden="false" customHeight="true" outlineLevel="0" collapsed="false">
      <c r="A24" s="11" t="s">
        <v>94</v>
      </c>
      <c r="B24" s="12" t="s">
        <v>133</v>
      </c>
      <c r="C24" s="12" t="s">
        <v>134</v>
      </c>
      <c r="D24" s="13" t="n">
        <v>1</v>
      </c>
      <c r="E24" s="14" t="s">
        <v>125</v>
      </c>
      <c r="F24" s="12" t="s">
        <v>130</v>
      </c>
      <c r="G24" s="15" t="s">
        <v>38</v>
      </c>
      <c r="H24" s="12" t="s">
        <v>135</v>
      </c>
      <c r="I24" s="12" t="s">
        <v>136</v>
      </c>
    </row>
    <row r="25" customFormat="false" ht="42" hidden="false" customHeight="true" outlineLevel="0" collapsed="false">
      <c r="A25" s="11" t="s">
        <v>94</v>
      </c>
      <c r="B25" s="12" t="s">
        <v>137</v>
      </c>
      <c r="C25" s="12" t="s">
        <v>138</v>
      </c>
      <c r="D25" s="13" t="n">
        <v>1</v>
      </c>
      <c r="E25" s="14" t="s">
        <v>139</v>
      </c>
      <c r="F25" s="12" t="s">
        <v>140</v>
      </c>
      <c r="G25" s="15" t="s">
        <v>38</v>
      </c>
      <c r="H25" s="12" t="s">
        <v>141</v>
      </c>
      <c r="I25" s="12" t="s">
        <v>142</v>
      </c>
    </row>
    <row r="26" customFormat="false" ht="42" hidden="false" customHeight="true" outlineLevel="0" collapsed="false">
      <c r="A26" s="11" t="s">
        <v>94</v>
      </c>
      <c r="B26" s="12" t="s">
        <v>143</v>
      </c>
      <c r="C26" s="12" t="s">
        <v>144</v>
      </c>
      <c r="D26" s="13" t="n">
        <v>1</v>
      </c>
      <c r="E26" s="14" t="s">
        <v>145</v>
      </c>
      <c r="F26" s="12" t="s">
        <v>140</v>
      </c>
      <c r="G26" s="15" t="s">
        <v>38</v>
      </c>
      <c r="H26" s="12" t="s">
        <v>146</v>
      </c>
      <c r="I26" s="12" t="s">
        <v>147</v>
      </c>
    </row>
    <row r="27" customFormat="false" ht="42" hidden="false" customHeight="true" outlineLevel="0" collapsed="false">
      <c r="A27" s="11" t="s">
        <v>94</v>
      </c>
      <c r="B27" s="12" t="s">
        <v>148</v>
      </c>
      <c r="C27" s="12" t="s">
        <v>149</v>
      </c>
      <c r="D27" s="13" t="n">
        <v>1</v>
      </c>
      <c r="E27" s="14" t="s">
        <v>139</v>
      </c>
      <c r="F27" s="12" t="s">
        <v>150</v>
      </c>
      <c r="G27" s="15" t="s">
        <v>38</v>
      </c>
      <c r="H27" s="12" t="s">
        <v>151</v>
      </c>
      <c r="I27" s="12" t="s">
        <v>152</v>
      </c>
    </row>
    <row r="28" customFormat="false" ht="42" hidden="false" customHeight="true" outlineLevel="0" collapsed="false">
      <c r="A28" s="11" t="s">
        <v>94</v>
      </c>
      <c r="B28" s="12" t="s">
        <v>153</v>
      </c>
      <c r="C28" s="12" t="s">
        <v>154</v>
      </c>
      <c r="D28" s="13" t="n">
        <v>2</v>
      </c>
      <c r="E28" s="14" t="s">
        <v>108</v>
      </c>
      <c r="F28" s="12" t="s">
        <v>155</v>
      </c>
      <c r="G28" s="15" t="s">
        <v>38</v>
      </c>
      <c r="H28" s="12" t="s">
        <v>156</v>
      </c>
      <c r="I28" s="12" t="s">
        <v>157</v>
      </c>
    </row>
    <row r="29" customFormat="false" ht="42" hidden="false" customHeight="true" outlineLevel="0" collapsed="false">
      <c r="A29" s="11" t="s">
        <v>94</v>
      </c>
      <c r="B29" s="12" t="s">
        <v>158</v>
      </c>
      <c r="C29" s="12" t="s">
        <v>159</v>
      </c>
      <c r="D29" s="13" t="n">
        <v>2</v>
      </c>
      <c r="E29" s="14" t="s">
        <v>160</v>
      </c>
      <c r="F29" s="12" t="s">
        <v>161</v>
      </c>
      <c r="G29" s="15" t="s">
        <v>38</v>
      </c>
      <c r="H29" s="12" t="s">
        <v>162</v>
      </c>
      <c r="I29" s="12" t="s">
        <v>163</v>
      </c>
    </row>
    <row r="30" customFormat="false" ht="42" hidden="false" customHeight="true" outlineLevel="0" collapsed="false">
      <c r="A30" s="11" t="s">
        <v>94</v>
      </c>
      <c r="B30" s="12" t="s">
        <v>164</v>
      </c>
      <c r="C30" s="12" t="s">
        <v>165</v>
      </c>
      <c r="D30" s="13" t="n">
        <v>1</v>
      </c>
      <c r="E30" s="14" t="s">
        <v>166</v>
      </c>
      <c r="F30" s="12" t="s">
        <v>167</v>
      </c>
      <c r="G30" s="15" t="s">
        <v>38</v>
      </c>
      <c r="H30" s="12" t="s">
        <v>168</v>
      </c>
      <c r="I30" s="12" t="s">
        <v>169</v>
      </c>
    </row>
    <row r="31" customFormat="false" ht="42" hidden="false" customHeight="true" outlineLevel="0" collapsed="false">
      <c r="A31" s="11" t="s">
        <v>94</v>
      </c>
      <c r="B31" s="12" t="s">
        <v>170</v>
      </c>
      <c r="C31" s="12" t="s">
        <v>171</v>
      </c>
      <c r="D31" s="13" t="n">
        <v>1</v>
      </c>
      <c r="E31" s="14" t="s">
        <v>172</v>
      </c>
      <c r="F31" s="12" t="s">
        <v>167</v>
      </c>
      <c r="G31" s="15" t="s">
        <v>38</v>
      </c>
      <c r="H31" s="12" t="s">
        <v>173</v>
      </c>
      <c r="I31" s="12" t="s">
        <v>174</v>
      </c>
    </row>
    <row r="32" customFormat="false" ht="42" hidden="false" customHeight="true" outlineLevel="0" collapsed="false">
      <c r="A32" s="11" t="s">
        <v>94</v>
      </c>
      <c r="B32" s="12" t="s">
        <v>175</v>
      </c>
      <c r="C32" s="12" t="s">
        <v>176</v>
      </c>
      <c r="D32" s="13" t="n">
        <v>1</v>
      </c>
      <c r="E32" s="14" t="s">
        <v>172</v>
      </c>
      <c r="F32" s="12" t="s">
        <v>167</v>
      </c>
      <c r="G32" s="15" t="s">
        <v>38</v>
      </c>
      <c r="H32" s="12" t="s">
        <v>177</v>
      </c>
      <c r="I32" s="12" t="s">
        <v>178</v>
      </c>
    </row>
    <row r="33" customFormat="false" ht="42" hidden="false" customHeight="true" outlineLevel="0" collapsed="false">
      <c r="A33" s="11" t="s">
        <v>94</v>
      </c>
      <c r="B33" s="12" t="s">
        <v>179</v>
      </c>
      <c r="C33" s="12" t="s">
        <v>180</v>
      </c>
      <c r="D33" s="13" t="n">
        <v>3</v>
      </c>
      <c r="E33" s="14" t="s">
        <v>181</v>
      </c>
      <c r="F33" s="12" t="s">
        <v>182</v>
      </c>
      <c r="G33" s="15" t="s">
        <v>38</v>
      </c>
      <c r="H33" s="12" t="s">
        <v>183</v>
      </c>
      <c r="I33" s="12" t="s">
        <v>184</v>
      </c>
    </row>
    <row r="34" customFormat="false" ht="42" hidden="false" customHeight="true" outlineLevel="0" collapsed="false">
      <c r="A34" s="11" t="s">
        <v>94</v>
      </c>
      <c r="B34" s="12" t="s">
        <v>185</v>
      </c>
      <c r="C34" s="12" t="s">
        <v>186</v>
      </c>
      <c r="D34" s="13" t="n">
        <v>3</v>
      </c>
      <c r="E34" s="14" t="s">
        <v>187</v>
      </c>
      <c r="F34" s="12" t="s">
        <v>182</v>
      </c>
      <c r="G34" s="15" t="s">
        <v>38</v>
      </c>
      <c r="H34" s="12" t="s">
        <v>188</v>
      </c>
      <c r="I34" s="12" t="s">
        <v>189</v>
      </c>
    </row>
    <row r="35" customFormat="false" ht="42" hidden="false" customHeight="true" outlineLevel="0" collapsed="false">
      <c r="A35" s="11" t="s">
        <v>94</v>
      </c>
      <c r="B35" s="12" t="s">
        <v>190</v>
      </c>
      <c r="C35" s="12" t="s">
        <v>191</v>
      </c>
      <c r="D35" s="13" t="n">
        <v>1</v>
      </c>
      <c r="E35" s="14" t="s">
        <v>192</v>
      </c>
      <c r="F35" s="12" t="s">
        <v>182</v>
      </c>
      <c r="G35" s="15" t="s">
        <v>38</v>
      </c>
      <c r="H35" s="12" t="s">
        <v>193</v>
      </c>
      <c r="I35" s="12" t="s">
        <v>194</v>
      </c>
    </row>
    <row r="36" customFormat="false" ht="42" hidden="false" customHeight="true" outlineLevel="0" collapsed="false">
      <c r="A36" s="11" t="s">
        <v>195</v>
      </c>
      <c r="B36" s="12" t="s">
        <v>196</v>
      </c>
      <c r="C36" s="12" t="s">
        <v>197</v>
      </c>
      <c r="D36" s="13" t="n">
        <v>5</v>
      </c>
      <c r="E36" s="14" t="s">
        <v>125</v>
      </c>
      <c r="F36" s="12" t="s">
        <v>198</v>
      </c>
      <c r="G36" s="15" t="s">
        <v>38</v>
      </c>
      <c r="H36" s="12" t="s">
        <v>199</v>
      </c>
      <c r="I36" s="12" t="s">
        <v>200</v>
      </c>
    </row>
    <row r="37" customFormat="false" ht="42" hidden="false" customHeight="true" outlineLevel="0" collapsed="false">
      <c r="A37" s="11" t="s">
        <v>195</v>
      </c>
      <c r="B37" s="12" t="s">
        <v>201</v>
      </c>
      <c r="C37" s="12" t="s">
        <v>202</v>
      </c>
      <c r="D37" s="13" t="n">
        <v>3</v>
      </c>
      <c r="E37" s="14" t="s">
        <v>125</v>
      </c>
      <c r="F37" s="12" t="s">
        <v>203</v>
      </c>
      <c r="G37" s="15" t="s">
        <v>38</v>
      </c>
      <c r="H37" s="12" t="s">
        <v>204</v>
      </c>
      <c r="I37" s="12" t="s">
        <v>205</v>
      </c>
    </row>
    <row r="38" customFormat="false" ht="42" hidden="false" customHeight="true" outlineLevel="0" collapsed="false">
      <c r="A38" s="11" t="s">
        <v>195</v>
      </c>
      <c r="B38" s="12" t="s">
        <v>206</v>
      </c>
      <c r="C38" s="12" t="s">
        <v>207</v>
      </c>
      <c r="D38" s="13" t="n">
        <v>1</v>
      </c>
      <c r="E38" s="14" t="s">
        <v>125</v>
      </c>
      <c r="F38" s="12" t="s">
        <v>208</v>
      </c>
      <c r="G38" s="15" t="s">
        <v>38</v>
      </c>
      <c r="H38" s="12" t="s">
        <v>209</v>
      </c>
      <c r="I38" s="12" t="s">
        <v>210</v>
      </c>
    </row>
    <row r="39" customFormat="false" ht="42" hidden="false" customHeight="true" outlineLevel="0" collapsed="false">
      <c r="A39" s="11" t="s">
        <v>195</v>
      </c>
      <c r="B39" s="12" t="s">
        <v>211</v>
      </c>
      <c r="C39" s="12" t="s">
        <v>212</v>
      </c>
      <c r="D39" s="13" t="n">
        <v>1</v>
      </c>
      <c r="E39" s="14" t="s">
        <v>139</v>
      </c>
      <c r="F39" s="12" t="s">
        <v>198</v>
      </c>
      <c r="G39" s="15" t="s">
        <v>38</v>
      </c>
      <c r="H39" s="12" t="s">
        <v>213</v>
      </c>
      <c r="I39" s="12" t="s">
        <v>214</v>
      </c>
    </row>
    <row r="40" customFormat="false" ht="42" hidden="false" customHeight="true" outlineLevel="0" collapsed="false">
      <c r="A40" s="11" t="s">
        <v>195</v>
      </c>
      <c r="B40" s="12" t="s">
        <v>215</v>
      </c>
      <c r="C40" s="12" t="s">
        <v>216</v>
      </c>
      <c r="D40" s="13" t="n">
        <v>2</v>
      </c>
      <c r="E40" s="14" t="s">
        <v>160</v>
      </c>
      <c r="F40" s="12" t="s">
        <v>198</v>
      </c>
      <c r="G40" s="15" t="s">
        <v>38</v>
      </c>
      <c r="H40" s="12" t="s">
        <v>217</v>
      </c>
      <c r="I40" s="12" t="s">
        <v>218</v>
      </c>
    </row>
    <row r="41" customFormat="false" ht="42" hidden="false" customHeight="true" outlineLevel="0" collapsed="false">
      <c r="A41" s="11" t="s">
        <v>195</v>
      </c>
      <c r="B41" s="12" t="s">
        <v>219</v>
      </c>
      <c r="C41" s="12" t="s">
        <v>220</v>
      </c>
      <c r="D41" s="13" t="n">
        <v>1</v>
      </c>
      <c r="E41" s="14" t="s">
        <v>125</v>
      </c>
      <c r="F41" s="12" t="s">
        <v>221</v>
      </c>
      <c r="G41" s="15" t="s">
        <v>38</v>
      </c>
      <c r="H41" s="12" t="s">
        <v>222</v>
      </c>
      <c r="I41" s="12" t="s">
        <v>223</v>
      </c>
    </row>
    <row r="42" customFormat="false" ht="42" hidden="false" customHeight="true" outlineLevel="0" collapsed="false">
      <c r="A42" s="11" t="s">
        <v>195</v>
      </c>
      <c r="B42" s="12" t="s">
        <v>224</v>
      </c>
      <c r="C42" s="12" t="s">
        <v>225</v>
      </c>
      <c r="D42" s="13" t="n">
        <v>0</v>
      </c>
      <c r="E42" s="14" t="s">
        <v>125</v>
      </c>
      <c r="F42" s="12" t="s">
        <v>221</v>
      </c>
      <c r="G42" s="15" t="s">
        <v>38</v>
      </c>
      <c r="H42" s="12" t="s">
        <v>226</v>
      </c>
      <c r="I42" s="12" t="s">
        <v>227</v>
      </c>
    </row>
    <row r="43" customFormat="false" ht="42" hidden="false" customHeight="true" outlineLevel="0" collapsed="false">
      <c r="A43" s="11" t="s">
        <v>195</v>
      </c>
      <c r="B43" s="12" t="s">
        <v>228</v>
      </c>
      <c r="C43" s="12" t="s">
        <v>229</v>
      </c>
      <c r="D43" s="13" t="n">
        <v>0</v>
      </c>
      <c r="E43" s="14" t="s">
        <v>125</v>
      </c>
      <c r="F43" s="12" t="s">
        <v>230</v>
      </c>
      <c r="G43" s="15" t="s">
        <v>38</v>
      </c>
      <c r="H43" s="12" t="s">
        <v>231</v>
      </c>
      <c r="I43" s="12" t="s">
        <v>232</v>
      </c>
    </row>
    <row r="44" customFormat="false" ht="42" hidden="false" customHeight="true" outlineLevel="0" collapsed="false">
      <c r="A44" s="11" t="s">
        <v>195</v>
      </c>
      <c r="B44" s="12" t="s">
        <v>233</v>
      </c>
      <c r="C44" s="12" t="s">
        <v>234</v>
      </c>
      <c r="D44" s="13" t="n">
        <v>2</v>
      </c>
      <c r="E44" s="14" t="s">
        <v>139</v>
      </c>
      <c r="F44" s="12" t="s">
        <v>235</v>
      </c>
      <c r="G44" s="15" t="s">
        <v>38</v>
      </c>
      <c r="H44" s="12" t="s">
        <v>236</v>
      </c>
      <c r="I44" s="12" t="s">
        <v>237</v>
      </c>
    </row>
    <row r="45" customFormat="false" ht="42" hidden="false" customHeight="true" outlineLevel="0" collapsed="false">
      <c r="A45" s="11" t="s">
        <v>195</v>
      </c>
      <c r="B45" s="12" t="s">
        <v>238</v>
      </c>
      <c r="C45" s="12" t="s">
        <v>239</v>
      </c>
      <c r="D45" s="13" t="n">
        <v>3</v>
      </c>
      <c r="E45" s="14" t="s">
        <v>187</v>
      </c>
      <c r="F45" s="12" t="s">
        <v>235</v>
      </c>
      <c r="G45" s="15" t="s">
        <v>38</v>
      </c>
      <c r="H45" s="12" t="s">
        <v>240</v>
      </c>
      <c r="I45" s="12" t="s">
        <v>241</v>
      </c>
    </row>
    <row r="46" customFormat="false" ht="42" hidden="false" customHeight="true" outlineLevel="0" collapsed="false">
      <c r="A46" s="11" t="s">
        <v>195</v>
      </c>
      <c r="B46" s="12" t="s">
        <v>242</v>
      </c>
      <c r="C46" s="12" t="s">
        <v>243</v>
      </c>
      <c r="D46" s="13" t="n">
        <v>1</v>
      </c>
      <c r="E46" s="14" t="s">
        <v>192</v>
      </c>
      <c r="F46" s="12" t="s">
        <v>235</v>
      </c>
      <c r="G46" s="15" t="s">
        <v>38</v>
      </c>
      <c r="H46" s="12" t="s">
        <v>244</v>
      </c>
      <c r="I46" s="12" t="s">
        <v>245</v>
      </c>
    </row>
    <row r="47" customFormat="false" ht="42" hidden="false" customHeight="true" outlineLevel="0" collapsed="false">
      <c r="A47" s="11" t="s">
        <v>195</v>
      </c>
      <c r="B47" s="12" t="s">
        <v>246</v>
      </c>
      <c r="C47" s="12" t="s">
        <v>247</v>
      </c>
      <c r="D47" s="13" t="n">
        <v>3</v>
      </c>
      <c r="E47" s="14" t="s">
        <v>248</v>
      </c>
      <c r="F47" s="12" t="s">
        <v>249</v>
      </c>
      <c r="G47" s="15" t="s">
        <v>38</v>
      </c>
      <c r="H47" s="12" t="s">
        <v>250</v>
      </c>
      <c r="I47" s="12" t="s">
        <v>251</v>
      </c>
    </row>
    <row r="48" customFormat="false" ht="42" hidden="false" customHeight="true" outlineLevel="0" collapsed="false">
      <c r="A48" s="11" t="s">
        <v>195</v>
      </c>
      <c r="B48" s="12" t="s">
        <v>252</v>
      </c>
      <c r="C48" s="12" t="s">
        <v>253</v>
      </c>
      <c r="D48" s="13" t="n">
        <v>1</v>
      </c>
      <c r="E48" s="14" t="s">
        <v>254</v>
      </c>
      <c r="F48" s="12" t="s">
        <v>249</v>
      </c>
      <c r="G48" s="15" t="s">
        <v>38</v>
      </c>
      <c r="H48" s="12" t="s">
        <v>255</v>
      </c>
      <c r="I48" s="12" t="s">
        <v>256</v>
      </c>
    </row>
    <row r="49" customFormat="false" ht="42" hidden="false" customHeight="true" outlineLevel="0" collapsed="false">
      <c r="A49" s="11" t="s">
        <v>195</v>
      </c>
      <c r="B49" s="12" t="s">
        <v>257</v>
      </c>
      <c r="C49" s="12" t="s">
        <v>258</v>
      </c>
      <c r="D49" s="13" t="n">
        <v>2</v>
      </c>
      <c r="E49" s="14" t="s">
        <v>254</v>
      </c>
      <c r="F49" s="12" t="s">
        <v>249</v>
      </c>
      <c r="G49" s="15" t="s">
        <v>38</v>
      </c>
      <c r="H49" s="12" t="s">
        <v>259</v>
      </c>
      <c r="I49" s="12" t="s">
        <v>260</v>
      </c>
    </row>
    <row r="50" customFormat="false" ht="42" hidden="false" customHeight="true" outlineLevel="0" collapsed="false">
      <c r="A50" s="11" t="s">
        <v>195</v>
      </c>
      <c r="B50" s="12" t="s">
        <v>261</v>
      </c>
      <c r="C50" s="12" t="s">
        <v>262</v>
      </c>
      <c r="D50" s="13" t="n">
        <v>60</v>
      </c>
      <c r="E50" s="14" t="s">
        <v>263</v>
      </c>
      <c r="F50" s="12" t="s">
        <v>264</v>
      </c>
      <c r="G50" s="15" t="s">
        <v>38</v>
      </c>
      <c r="H50" s="12" t="s">
        <v>265</v>
      </c>
      <c r="I50" s="12" t="s">
        <v>266</v>
      </c>
    </row>
    <row r="51" customFormat="false" ht="42" hidden="false" customHeight="true" outlineLevel="0" collapsed="false">
      <c r="A51" s="11" t="s">
        <v>195</v>
      </c>
      <c r="B51" s="12" t="s">
        <v>267</v>
      </c>
      <c r="C51" s="12" t="s">
        <v>268</v>
      </c>
      <c r="D51" s="13" t="n">
        <v>1</v>
      </c>
      <c r="E51" s="14" t="s">
        <v>269</v>
      </c>
      <c r="F51" s="12" t="s">
        <v>264</v>
      </c>
      <c r="G51" s="15" t="s">
        <v>38</v>
      </c>
      <c r="H51" s="12" t="s">
        <v>270</v>
      </c>
      <c r="I51" s="12" t="s">
        <v>271</v>
      </c>
    </row>
    <row r="52" customFormat="false" ht="42" hidden="false" customHeight="true" outlineLevel="0" collapsed="false">
      <c r="A52" s="11" t="s">
        <v>195</v>
      </c>
      <c r="B52" s="12" t="s">
        <v>272</v>
      </c>
      <c r="C52" s="12" t="s">
        <v>273</v>
      </c>
      <c r="D52" s="13" t="n">
        <v>100</v>
      </c>
      <c r="E52" s="14" t="s">
        <v>269</v>
      </c>
      <c r="F52" s="12" t="s">
        <v>264</v>
      </c>
      <c r="G52" s="15" t="s">
        <v>38</v>
      </c>
      <c r="H52" s="12" t="s">
        <v>274</v>
      </c>
      <c r="I52" s="12" t="s">
        <v>275</v>
      </c>
    </row>
    <row r="53" customFormat="false" ht="42" hidden="false" customHeight="true" outlineLevel="0" collapsed="false">
      <c r="A53" s="11" t="s">
        <v>276</v>
      </c>
      <c r="B53" s="12" t="s">
        <v>277</v>
      </c>
      <c r="C53" s="12" t="s">
        <v>278</v>
      </c>
      <c r="D53" s="13" t="n">
        <v>1</v>
      </c>
      <c r="E53" s="14" t="s">
        <v>279</v>
      </c>
      <c r="F53" s="12" t="s">
        <v>280</v>
      </c>
      <c r="G53" s="15" t="s">
        <v>38</v>
      </c>
      <c r="H53" s="12" t="s">
        <v>281</v>
      </c>
      <c r="I53" s="12" t="s">
        <v>282</v>
      </c>
    </row>
    <row r="54" customFormat="false" ht="42" hidden="false" customHeight="true" outlineLevel="0" collapsed="false">
      <c r="A54" s="11" t="s">
        <v>276</v>
      </c>
      <c r="B54" s="12" t="s">
        <v>283</v>
      </c>
      <c r="C54" s="12" t="s">
        <v>284</v>
      </c>
      <c r="D54" s="13" t="n">
        <v>24</v>
      </c>
      <c r="E54" s="14" t="s">
        <v>285</v>
      </c>
      <c r="F54" s="12" t="s">
        <v>37</v>
      </c>
      <c r="G54" s="15" t="s">
        <v>38</v>
      </c>
      <c r="H54" s="12" t="s">
        <v>286</v>
      </c>
      <c r="I54" s="12" t="s">
        <v>287</v>
      </c>
    </row>
    <row r="55" customFormat="false" ht="42" hidden="false" customHeight="true" outlineLevel="0" collapsed="false">
      <c r="A55" s="11" t="s">
        <v>276</v>
      </c>
      <c r="B55" s="12" t="s">
        <v>288</v>
      </c>
      <c r="C55" s="12" t="s">
        <v>289</v>
      </c>
      <c r="D55" s="13" t="n">
        <v>1</v>
      </c>
      <c r="E55" s="14" t="s">
        <v>290</v>
      </c>
      <c r="F55" s="12" t="s">
        <v>280</v>
      </c>
      <c r="G55" s="15" t="s">
        <v>38</v>
      </c>
      <c r="H55" s="12" t="s">
        <v>291</v>
      </c>
      <c r="I55" s="12" t="s">
        <v>292</v>
      </c>
    </row>
    <row r="56" customFormat="false" ht="42" hidden="false" customHeight="true" outlineLevel="0" collapsed="false">
      <c r="A56" s="11" t="s">
        <v>276</v>
      </c>
      <c r="B56" s="12" t="s">
        <v>293</v>
      </c>
      <c r="C56" s="12" t="s">
        <v>294</v>
      </c>
      <c r="D56" s="13" t="n">
        <v>1</v>
      </c>
      <c r="E56" s="14" t="s">
        <v>295</v>
      </c>
      <c r="F56" s="12" t="s">
        <v>280</v>
      </c>
      <c r="G56" s="15" t="s">
        <v>38</v>
      </c>
      <c r="H56" s="12" t="s">
        <v>296</v>
      </c>
      <c r="I56" s="12" t="s">
        <v>297</v>
      </c>
    </row>
    <row r="57" customFormat="false" ht="42" hidden="false" customHeight="true" outlineLevel="0" collapsed="false">
      <c r="A57" s="11" t="s">
        <v>276</v>
      </c>
      <c r="B57" s="12" t="s">
        <v>298</v>
      </c>
      <c r="C57" s="12" t="s">
        <v>299</v>
      </c>
      <c r="D57" s="13" t="n">
        <v>2</v>
      </c>
      <c r="E57" s="14" t="s">
        <v>300</v>
      </c>
      <c r="F57" s="12" t="s">
        <v>280</v>
      </c>
      <c r="G57" s="15" t="s">
        <v>38</v>
      </c>
      <c r="H57" s="12" t="s">
        <v>301</v>
      </c>
      <c r="I57" s="12" t="s">
        <v>302</v>
      </c>
    </row>
    <row r="58" customFormat="false" ht="42" hidden="false" customHeight="true" outlineLevel="0" collapsed="false">
      <c r="A58" s="11" t="s">
        <v>276</v>
      </c>
      <c r="B58" s="12" t="s">
        <v>303</v>
      </c>
      <c r="C58" s="12" t="s">
        <v>304</v>
      </c>
      <c r="D58" s="13" t="n">
        <v>1</v>
      </c>
      <c r="E58" s="14" t="s">
        <v>305</v>
      </c>
      <c r="F58" s="12" t="s">
        <v>280</v>
      </c>
      <c r="G58" s="15" t="s">
        <v>38</v>
      </c>
      <c r="H58" s="12" t="s">
        <v>306</v>
      </c>
      <c r="I58" s="12" t="s">
        <v>307</v>
      </c>
    </row>
    <row r="59" customFormat="false" ht="42" hidden="false" customHeight="true" outlineLevel="0" collapsed="false">
      <c r="A59" s="11" t="s">
        <v>276</v>
      </c>
      <c r="B59" s="12" t="s">
        <v>308</v>
      </c>
      <c r="C59" s="12" t="s">
        <v>309</v>
      </c>
      <c r="D59" s="13" t="n">
        <v>1</v>
      </c>
      <c r="E59" s="14" t="s">
        <v>310</v>
      </c>
      <c r="F59" s="12" t="s">
        <v>280</v>
      </c>
      <c r="G59" s="15" t="s">
        <v>38</v>
      </c>
      <c r="H59" s="12" t="s">
        <v>311</v>
      </c>
      <c r="I59" s="12" t="s">
        <v>312</v>
      </c>
    </row>
    <row r="60" customFormat="false" ht="42" hidden="false" customHeight="true" outlineLevel="0" collapsed="false">
      <c r="A60" s="11" t="s">
        <v>276</v>
      </c>
      <c r="B60" s="12" t="s">
        <v>313</v>
      </c>
      <c r="C60" s="12" t="s">
        <v>314</v>
      </c>
      <c r="D60" s="13" t="n">
        <v>1</v>
      </c>
      <c r="E60" s="14" t="s">
        <v>139</v>
      </c>
      <c r="F60" s="12" t="s">
        <v>280</v>
      </c>
      <c r="G60" s="15" t="s">
        <v>38</v>
      </c>
      <c r="H60" s="12" t="s">
        <v>315</v>
      </c>
      <c r="I60" s="12" t="s">
        <v>316</v>
      </c>
    </row>
    <row r="61" customFormat="false" ht="42" hidden="false" customHeight="true" outlineLevel="0" collapsed="false">
      <c r="A61" s="11" t="s">
        <v>276</v>
      </c>
      <c r="B61" s="12" t="s">
        <v>317</v>
      </c>
      <c r="C61" s="12" t="s">
        <v>318</v>
      </c>
      <c r="D61" s="13" t="n">
        <v>2</v>
      </c>
      <c r="E61" s="14" t="s">
        <v>285</v>
      </c>
      <c r="F61" s="12" t="s">
        <v>280</v>
      </c>
      <c r="G61" s="15" t="s">
        <v>38</v>
      </c>
      <c r="H61" s="12" t="s">
        <v>319</v>
      </c>
      <c r="I61" s="12" t="s">
        <v>320</v>
      </c>
    </row>
    <row r="62" customFormat="false" ht="42" hidden="false" customHeight="true" outlineLevel="0" collapsed="false">
      <c r="A62" s="11" t="s">
        <v>276</v>
      </c>
      <c r="B62" s="12" t="s">
        <v>321</v>
      </c>
      <c r="C62" s="12" t="s">
        <v>322</v>
      </c>
      <c r="D62" s="13" t="n">
        <v>2</v>
      </c>
      <c r="E62" s="14" t="s">
        <v>160</v>
      </c>
      <c r="F62" s="12" t="s">
        <v>280</v>
      </c>
      <c r="G62" s="15" t="s">
        <v>38</v>
      </c>
      <c r="H62" s="12" t="s">
        <v>323</v>
      </c>
      <c r="I62" s="12" t="s">
        <v>324</v>
      </c>
    </row>
    <row r="63" customFormat="false" ht="42" hidden="false" customHeight="true" outlineLevel="0" collapsed="false">
      <c r="A63" s="11" t="s">
        <v>276</v>
      </c>
      <c r="B63" s="12" t="s">
        <v>325</v>
      </c>
      <c r="C63" s="12" t="s">
        <v>326</v>
      </c>
      <c r="D63" s="13" t="n">
        <v>1</v>
      </c>
      <c r="E63" s="14" t="s">
        <v>327</v>
      </c>
      <c r="F63" s="12" t="s">
        <v>328</v>
      </c>
      <c r="G63" s="15" t="s">
        <v>329</v>
      </c>
      <c r="H63" s="12" t="s">
        <v>330</v>
      </c>
      <c r="I63" s="12" t="s">
        <v>331</v>
      </c>
    </row>
    <row r="64" customFormat="false" ht="42" hidden="false" customHeight="true" outlineLevel="0" collapsed="false">
      <c r="A64" s="11" t="s">
        <v>332</v>
      </c>
      <c r="B64" s="12" t="s">
        <v>333</v>
      </c>
      <c r="C64" s="12" t="s">
        <v>334</v>
      </c>
      <c r="D64" s="13" t="n">
        <v>3</v>
      </c>
      <c r="E64" s="14" t="s">
        <v>335</v>
      </c>
      <c r="F64" s="12" t="s">
        <v>336</v>
      </c>
      <c r="G64" s="15" t="s">
        <v>38</v>
      </c>
      <c r="H64" s="12" t="s">
        <v>337</v>
      </c>
      <c r="I64" s="12" t="s">
        <v>338</v>
      </c>
    </row>
    <row r="65" customFormat="false" ht="42" hidden="false" customHeight="true" outlineLevel="0" collapsed="false">
      <c r="A65" s="11" t="s">
        <v>332</v>
      </c>
      <c r="B65" s="12" t="s">
        <v>339</v>
      </c>
      <c r="C65" s="12" t="s">
        <v>340</v>
      </c>
      <c r="D65" s="13" t="n">
        <v>5</v>
      </c>
      <c r="E65" s="14" t="s">
        <v>335</v>
      </c>
      <c r="F65" s="12" t="s">
        <v>336</v>
      </c>
      <c r="G65" s="15" t="s">
        <v>38</v>
      </c>
      <c r="H65" s="12" t="s">
        <v>341</v>
      </c>
      <c r="I65" s="12" t="s">
        <v>342</v>
      </c>
    </row>
    <row r="66" customFormat="false" ht="42" hidden="false" customHeight="true" outlineLevel="0" collapsed="false">
      <c r="A66" s="11" t="s">
        <v>332</v>
      </c>
      <c r="B66" s="12" t="s">
        <v>343</v>
      </c>
      <c r="C66" s="12" t="s">
        <v>344</v>
      </c>
      <c r="D66" s="13" t="n">
        <v>5</v>
      </c>
      <c r="E66" s="14" t="s">
        <v>335</v>
      </c>
      <c r="F66" s="12" t="s">
        <v>345</v>
      </c>
      <c r="G66" s="15" t="s">
        <v>38</v>
      </c>
      <c r="H66" s="12" t="s">
        <v>346</v>
      </c>
      <c r="I66" s="12" t="s">
        <v>347</v>
      </c>
    </row>
    <row r="67" customFormat="false" ht="42" hidden="false" customHeight="true" outlineLevel="0" collapsed="false">
      <c r="A67" s="11" t="s">
        <v>332</v>
      </c>
      <c r="B67" s="12" t="s">
        <v>348</v>
      </c>
      <c r="C67" s="12" t="s">
        <v>349</v>
      </c>
      <c r="D67" s="13" t="n">
        <v>7</v>
      </c>
      <c r="E67" s="14" t="s">
        <v>335</v>
      </c>
      <c r="F67" s="12" t="s">
        <v>345</v>
      </c>
      <c r="G67" s="15" t="s">
        <v>38</v>
      </c>
      <c r="H67" s="12" t="s">
        <v>350</v>
      </c>
      <c r="I67" s="12" t="s">
        <v>351</v>
      </c>
    </row>
    <row r="68" customFormat="false" ht="42" hidden="false" customHeight="true" outlineLevel="0" collapsed="false">
      <c r="A68" s="11" t="s">
        <v>332</v>
      </c>
      <c r="B68" s="12" t="s">
        <v>352</v>
      </c>
      <c r="C68" s="12" t="s">
        <v>353</v>
      </c>
      <c r="D68" s="13" t="n">
        <v>6</v>
      </c>
      <c r="E68" s="14" t="s">
        <v>335</v>
      </c>
      <c r="F68" s="12" t="s">
        <v>345</v>
      </c>
      <c r="G68" s="15" t="s">
        <v>38</v>
      </c>
      <c r="H68" s="12" t="s">
        <v>354</v>
      </c>
      <c r="I68" s="12" t="s">
        <v>355</v>
      </c>
    </row>
    <row r="69" customFormat="false" ht="42" hidden="false" customHeight="true" outlineLevel="0" collapsed="false">
      <c r="A69" s="11" t="s">
        <v>332</v>
      </c>
      <c r="B69" s="12" t="s">
        <v>356</v>
      </c>
      <c r="C69" s="12" t="s">
        <v>357</v>
      </c>
      <c r="D69" s="13" t="n">
        <v>9</v>
      </c>
      <c r="E69" s="14" t="s">
        <v>335</v>
      </c>
      <c r="F69" s="12" t="s">
        <v>345</v>
      </c>
      <c r="G69" s="15" t="s">
        <v>38</v>
      </c>
      <c r="H69" s="12" t="s">
        <v>358</v>
      </c>
      <c r="I69" s="12" t="s">
        <v>359</v>
      </c>
    </row>
    <row r="70" customFormat="false" ht="42" hidden="false" customHeight="true" outlineLevel="0" collapsed="false">
      <c r="A70" s="11" t="s">
        <v>332</v>
      </c>
      <c r="B70" s="12" t="s">
        <v>360</v>
      </c>
      <c r="C70" s="12" t="s">
        <v>361</v>
      </c>
      <c r="D70" s="13" t="n">
        <v>2</v>
      </c>
      <c r="E70" s="14" t="s">
        <v>362</v>
      </c>
      <c r="F70" s="12" t="s">
        <v>363</v>
      </c>
      <c r="G70" s="15" t="s">
        <v>38</v>
      </c>
      <c r="H70" s="12" t="s">
        <v>364</v>
      </c>
      <c r="I70" s="12" t="s">
        <v>365</v>
      </c>
    </row>
    <row r="71" customFormat="false" ht="42" hidden="false" customHeight="true" outlineLevel="0" collapsed="false">
      <c r="A71" s="11" t="s">
        <v>332</v>
      </c>
      <c r="B71" s="12" t="s">
        <v>366</v>
      </c>
      <c r="C71" s="12" t="s">
        <v>367</v>
      </c>
      <c r="D71" s="13" t="n">
        <v>1</v>
      </c>
      <c r="E71" s="14" t="s">
        <v>368</v>
      </c>
      <c r="F71" s="12" t="s">
        <v>369</v>
      </c>
      <c r="G71" s="15" t="s">
        <v>38</v>
      </c>
      <c r="H71" s="12" t="s">
        <v>370</v>
      </c>
      <c r="I71" s="12" t="s">
        <v>371</v>
      </c>
    </row>
    <row r="72" customFormat="false" ht="42" hidden="false" customHeight="true" outlineLevel="0" collapsed="false">
      <c r="A72" s="11" t="s">
        <v>332</v>
      </c>
      <c r="B72" s="12" t="s">
        <v>372</v>
      </c>
      <c r="C72" s="12" t="s">
        <v>373</v>
      </c>
      <c r="D72" s="13" t="n">
        <v>1</v>
      </c>
      <c r="E72" s="14" t="s">
        <v>374</v>
      </c>
      <c r="F72" s="12" t="s">
        <v>375</v>
      </c>
      <c r="G72" s="15" t="s">
        <v>38</v>
      </c>
      <c r="H72" s="12" t="s">
        <v>376</v>
      </c>
      <c r="I72" s="12" t="s">
        <v>377</v>
      </c>
    </row>
    <row r="73" customFormat="false" ht="42" hidden="false" customHeight="true" outlineLevel="0" collapsed="false">
      <c r="A73" s="11" t="s">
        <v>332</v>
      </c>
      <c r="B73" s="12" t="s">
        <v>378</v>
      </c>
      <c r="C73" s="12" t="s">
        <v>379</v>
      </c>
      <c r="D73" s="13" t="n">
        <v>1</v>
      </c>
      <c r="E73" s="14" t="s">
        <v>305</v>
      </c>
      <c r="F73" s="12" t="s">
        <v>380</v>
      </c>
      <c r="G73" s="15" t="s">
        <v>38</v>
      </c>
      <c r="H73" s="12" t="s">
        <v>381</v>
      </c>
      <c r="I73" s="12" t="s">
        <v>382</v>
      </c>
    </row>
    <row r="74" customFormat="false" ht="42" hidden="false" customHeight="true" outlineLevel="0" collapsed="false">
      <c r="A74" s="11" t="s">
        <v>332</v>
      </c>
      <c r="B74" s="12" t="s">
        <v>383</v>
      </c>
      <c r="C74" s="12" t="s">
        <v>384</v>
      </c>
      <c r="D74" s="13" t="n">
        <v>10</v>
      </c>
      <c r="E74" s="14" t="s">
        <v>385</v>
      </c>
      <c r="F74" s="12" t="s">
        <v>386</v>
      </c>
      <c r="G74" s="15" t="s">
        <v>38</v>
      </c>
      <c r="H74" s="12" t="s">
        <v>387</v>
      </c>
      <c r="I74" s="12" t="s">
        <v>388</v>
      </c>
    </row>
    <row r="75" customFormat="false" ht="42" hidden="false" customHeight="true" outlineLevel="0" collapsed="false">
      <c r="A75" s="11" t="s">
        <v>389</v>
      </c>
      <c r="B75" s="12" t="s">
        <v>390</v>
      </c>
      <c r="C75" s="12" t="s">
        <v>391</v>
      </c>
      <c r="D75" s="13" t="n">
        <v>20</v>
      </c>
      <c r="E75" s="14" t="s">
        <v>385</v>
      </c>
      <c r="F75" s="12" t="s">
        <v>392</v>
      </c>
      <c r="G75" s="15" t="s">
        <v>38</v>
      </c>
      <c r="H75" s="12" t="s">
        <v>393</v>
      </c>
      <c r="I75" s="12" t="s">
        <v>394</v>
      </c>
    </row>
    <row r="76" customFormat="false" ht="42" hidden="false" customHeight="true" outlineLevel="0" collapsed="false">
      <c r="A76" s="11" t="s">
        <v>389</v>
      </c>
      <c r="B76" s="12" t="s">
        <v>395</v>
      </c>
      <c r="C76" s="12" t="s">
        <v>396</v>
      </c>
      <c r="D76" s="13" t="n">
        <v>4</v>
      </c>
      <c r="E76" s="14" t="s">
        <v>397</v>
      </c>
      <c r="F76" s="12" t="s">
        <v>392</v>
      </c>
      <c r="G76" s="15" t="s">
        <v>38</v>
      </c>
      <c r="H76" s="12" t="s">
        <v>398</v>
      </c>
      <c r="I76" s="12" t="s">
        <v>399</v>
      </c>
    </row>
    <row r="77" customFormat="false" ht="42" hidden="false" customHeight="true" outlineLevel="0" collapsed="false">
      <c r="A77" s="11" t="s">
        <v>389</v>
      </c>
      <c r="B77" s="12" t="s">
        <v>400</v>
      </c>
      <c r="C77" s="12" t="s">
        <v>401</v>
      </c>
      <c r="D77" s="13" t="n">
        <v>1</v>
      </c>
      <c r="E77" s="14" t="s">
        <v>402</v>
      </c>
      <c r="F77" s="12" t="s">
        <v>392</v>
      </c>
      <c r="G77" s="15" t="s">
        <v>38</v>
      </c>
      <c r="H77" s="12" t="s">
        <v>403</v>
      </c>
      <c r="I77" s="12" t="s">
        <v>404</v>
      </c>
    </row>
    <row r="78" customFormat="false" ht="42" hidden="false" customHeight="true" outlineLevel="0" collapsed="false">
      <c r="A78" s="11" t="s">
        <v>389</v>
      </c>
      <c r="B78" s="12" t="s">
        <v>405</v>
      </c>
      <c r="C78" s="12" t="s">
        <v>406</v>
      </c>
      <c r="D78" s="13" t="n">
        <v>0</v>
      </c>
      <c r="E78" s="14" t="s">
        <v>407</v>
      </c>
      <c r="F78" s="12" t="s">
        <v>392</v>
      </c>
      <c r="G78" s="15" t="s">
        <v>38</v>
      </c>
      <c r="H78" s="12" t="s">
        <v>408</v>
      </c>
      <c r="I78" s="12" t="s">
        <v>409</v>
      </c>
    </row>
    <row r="79" customFormat="false" ht="42" hidden="false" customHeight="true" outlineLevel="0" collapsed="false">
      <c r="A79" s="11" t="s">
        <v>389</v>
      </c>
      <c r="B79" s="12" t="s">
        <v>410</v>
      </c>
      <c r="C79" s="12" t="s">
        <v>411</v>
      </c>
      <c r="D79" s="13" t="n">
        <v>4</v>
      </c>
      <c r="E79" s="14" t="s">
        <v>335</v>
      </c>
      <c r="F79" s="12" t="s">
        <v>392</v>
      </c>
      <c r="G79" s="15" t="s">
        <v>38</v>
      </c>
      <c r="H79" s="12" t="s">
        <v>412</v>
      </c>
      <c r="I79" s="12" t="s">
        <v>413</v>
      </c>
    </row>
    <row r="80" customFormat="false" ht="42" hidden="false" customHeight="true" outlineLevel="0" collapsed="false">
      <c r="A80" s="11" t="s">
        <v>389</v>
      </c>
      <c r="B80" s="12" t="s">
        <v>414</v>
      </c>
      <c r="C80" s="12" t="s">
        <v>415</v>
      </c>
      <c r="D80" s="13" t="n">
        <v>1</v>
      </c>
      <c r="E80" s="14" t="s">
        <v>416</v>
      </c>
      <c r="F80" s="12" t="s">
        <v>392</v>
      </c>
      <c r="G80" s="15" t="s">
        <v>38</v>
      </c>
      <c r="H80" s="12" t="s">
        <v>417</v>
      </c>
      <c r="I80" s="12" t="s">
        <v>418</v>
      </c>
    </row>
    <row r="81" customFormat="false" ht="42" hidden="false" customHeight="true" outlineLevel="0" collapsed="false">
      <c r="A81" s="11" t="s">
        <v>389</v>
      </c>
      <c r="B81" s="12" t="s">
        <v>419</v>
      </c>
      <c r="C81" s="12" t="s">
        <v>420</v>
      </c>
      <c r="D81" s="13" t="n">
        <v>100</v>
      </c>
      <c r="E81" s="14" t="s">
        <v>421</v>
      </c>
      <c r="F81" s="12" t="s">
        <v>37</v>
      </c>
      <c r="G81" s="15" t="s">
        <v>38</v>
      </c>
      <c r="H81" s="12" t="s">
        <v>422</v>
      </c>
      <c r="I81" s="12" t="s">
        <v>423</v>
      </c>
    </row>
    <row r="82" customFormat="false" ht="42" hidden="false" customHeight="true" outlineLevel="0" collapsed="false">
      <c r="A82" s="11" t="s">
        <v>389</v>
      </c>
      <c r="B82" s="12" t="s">
        <v>424</v>
      </c>
      <c r="C82" s="12" t="s">
        <v>425</v>
      </c>
      <c r="D82" s="13" t="n">
        <v>1</v>
      </c>
      <c r="E82" s="14" t="s">
        <v>426</v>
      </c>
      <c r="F82" s="12" t="s">
        <v>427</v>
      </c>
      <c r="G82" s="15" t="s">
        <v>428</v>
      </c>
      <c r="H82" s="12" t="s">
        <v>429</v>
      </c>
      <c r="I82" s="12" t="s">
        <v>430</v>
      </c>
    </row>
    <row r="83" customFormat="false" ht="42" hidden="false" customHeight="true" outlineLevel="0" collapsed="false">
      <c r="A83" s="11" t="s">
        <v>389</v>
      </c>
      <c r="B83" s="12" t="s">
        <v>431</v>
      </c>
      <c r="C83" s="12" t="s">
        <v>432</v>
      </c>
      <c r="D83" s="13" t="n">
        <v>1</v>
      </c>
      <c r="E83" s="14" t="s">
        <v>139</v>
      </c>
      <c r="F83" s="12" t="s">
        <v>433</v>
      </c>
      <c r="G83" s="15" t="s">
        <v>38</v>
      </c>
      <c r="H83" s="12" t="s">
        <v>434</v>
      </c>
      <c r="I83" s="12" t="s">
        <v>435</v>
      </c>
    </row>
    <row r="84" customFormat="false" ht="42" hidden="false" customHeight="true" outlineLevel="0" collapsed="false">
      <c r="A84" s="11" t="s">
        <v>389</v>
      </c>
      <c r="B84" s="12" t="s">
        <v>436</v>
      </c>
      <c r="C84" s="12" t="s">
        <v>437</v>
      </c>
      <c r="D84" s="13" t="n">
        <v>2</v>
      </c>
      <c r="E84" s="14" t="s">
        <v>397</v>
      </c>
      <c r="F84" s="12" t="s">
        <v>433</v>
      </c>
      <c r="G84" s="15" t="s">
        <v>38</v>
      </c>
      <c r="H84" s="12" t="s">
        <v>438</v>
      </c>
      <c r="I84" s="12" t="s">
        <v>439</v>
      </c>
    </row>
    <row r="85" customFormat="false" ht="42" hidden="false" customHeight="true" outlineLevel="0" collapsed="false">
      <c r="A85" s="11" t="s">
        <v>389</v>
      </c>
      <c r="B85" s="12" t="s">
        <v>440</v>
      </c>
      <c r="C85" s="12" t="s">
        <v>441</v>
      </c>
      <c r="D85" s="13" t="n">
        <v>2</v>
      </c>
      <c r="E85" s="14" t="s">
        <v>139</v>
      </c>
      <c r="F85" s="12" t="s">
        <v>433</v>
      </c>
      <c r="G85" s="15" t="s">
        <v>38</v>
      </c>
      <c r="H85" s="12" t="s">
        <v>442</v>
      </c>
      <c r="I85" s="12" t="s">
        <v>443</v>
      </c>
    </row>
    <row r="86" customFormat="false" ht="42" hidden="false" customHeight="true" outlineLevel="0" collapsed="false">
      <c r="A86" s="11" t="s">
        <v>389</v>
      </c>
      <c r="B86" s="12" t="s">
        <v>444</v>
      </c>
      <c r="C86" s="12" t="s">
        <v>445</v>
      </c>
      <c r="D86" s="13" t="n">
        <v>3</v>
      </c>
      <c r="E86" s="14" t="s">
        <v>397</v>
      </c>
      <c r="F86" s="12" t="s">
        <v>433</v>
      </c>
      <c r="G86" s="15" t="s">
        <v>38</v>
      </c>
      <c r="H86" s="12" t="s">
        <v>446</v>
      </c>
      <c r="I86" s="12" t="s">
        <v>447</v>
      </c>
    </row>
    <row r="87" customFormat="false" ht="42" hidden="false" customHeight="true" outlineLevel="0" collapsed="false">
      <c r="A87" s="11" t="s">
        <v>389</v>
      </c>
      <c r="B87" s="12" t="s">
        <v>448</v>
      </c>
      <c r="C87" s="12" t="s">
        <v>449</v>
      </c>
      <c r="D87" s="13" t="n">
        <v>25</v>
      </c>
      <c r="E87" s="14" t="s">
        <v>385</v>
      </c>
      <c r="F87" s="12" t="s">
        <v>433</v>
      </c>
      <c r="G87" s="15" t="s">
        <v>38</v>
      </c>
      <c r="H87" s="12" t="s">
        <v>450</v>
      </c>
      <c r="I87" s="12" t="s">
        <v>451</v>
      </c>
    </row>
    <row r="88" customFormat="false" ht="42" hidden="false" customHeight="true" outlineLevel="0" collapsed="false">
      <c r="A88" s="11" t="s">
        <v>389</v>
      </c>
      <c r="B88" s="12" t="s">
        <v>452</v>
      </c>
      <c r="C88" s="12" t="s">
        <v>453</v>
      </c>
      <c r="D88" s="13" t="n">
        <v>1</v>
      </c>
      <c r="E88" s="14" t="s">
        <v>402</v>
      </c>
      <c r="F88" s="12" t="s">
        <v>433</v>
      </c>
      <c r="G88" s="15" t="s">
        <v>38</v>
      </c>
      <c r="H88" s="12" t="s">
        <v>454</v>
      </c>
      <c r="I88" s="12" t="s">
        <v>455</v>
      </c>
    </row>
    <row r="89" customFormat="false" ht="42" hidden="false" customHeight="true" outlineLevel="0" collapsed="false">
      <c r="A89" s="11" t="s">
        <v>389</v>
      </c>
      <c r="B89" s="12" t="s">
        <v>456</v>
      </c>
      <c r="C89" s="12" t="s">
        <v>457</v>
      </c>
      <c r="D89" s="13" t="n">
        <v>1</v>
      </c>
      <c r="E89" s="14" t="s">
        <v>407</v>
      </c>
      <c r="F89" s="12" t="s">
        <v>433</v>
      </c>
      <c r="G89" s="15" t="s">
        <v>38</v>
      </c>
      <c r="H89" s="12" t="s">
        <v>458</v>
      </c>
      <c r="I89" s="12" t="s">
        <v>459</v>
      </c>
    </row>
    <row r="90" customFormat="false" ht="42" hidden="false" customHeight="true" outlineLevel="0" collapsed="false">
      <c r="A90" s="11" t="s">
        <v>389</v>
      </c>
      <c r="B90" s="12" t="s">
        <v>460</v>
      </c>
      <c r="C90" s="12" t="s">
        <v>461</v>
      </c>
      <c r="D90" s="13" t="n">
        <v>5</v>
      </c>
      <c r="E90" s="14" t="s">
        <v>335</v>
      </c>
      <c r="F90" s="12" t="s">
        <v>433</v>
      </c>
      <c r="G90" s="15" t="s">
        <v>38</v>
      </c>
      <c r="H90" s="12" t="s">
        <v>462</v>
      </c>
      <c r="I90" s="12" t="s">
        <v>463</v>
      </c>
    </row>
    <row r="91" customFormat="false" ht="42" hidden="false" customHeight="true" outlineLevel="0" collapsed="false">
      <c r="A91" s="11" t="s">
        <v>389</v>
      </c>
      <c r="B91" s="12" t="s">
        <v>464</v>
      </c>
      <c r="C91" s="12" t="s">
        <v>465</v>
      </c>
      <c r="D91" s="13" t="n">
        <v>3</v>
      </c>
      <c r="E91" s="14" t="s">
        <v>139</v>
      </c>
      <c r="F91" s="12" t="s">
        <v>433</v>
      </c>
      <c r="G91" s="15" t="s">
        <v>38</v>
      </c>
      <c r="H91" s="12" t="s">
        <v>466</v>
      </c>
      <c r="I91" s="12" t="s">
        <v>467</v>
      </c>
    </row>
    <row r="92" customFormat="false" ht="42" hidden="false" customHeight="true" outlineLevel="0" collapsed="false">
      <c r="A92" s="11" t="s">
        <v>389</v>
      </c>
      <c r="B92" s="12" t="s">
        <v>468</v>
      </c>
      <c r="C92" s="12" t="s">
        <v>469</v>
      </c>
      <c r="D92" s="13" t="n">
        <v>4</v>
      </c>
      <c r="E92" s="14" t="s">
        <v>397</v>
      </c>
      <c r="F92" s="12" t="s">
        <v>433</v>
      </c>
      <c r="G92" s="15" t="s">
        <v>38</v>
      </c>
      <c r="H92" s="12" t="s">
        <v>470</v>
      </c>
      <c r="I92" s="12" t="s">
        <v>471</v>
      </c>
    </row>
    <row r="93" customFormat="false" ht="42" hidden="false" customHeight="true" outlineLevel="0" collapsed="false">
      <c r="A93" s="11" t="s">
        <v>389</v>
      </c>
      <c r="B93" s="12" t="s">
        <v>472</v>
      </c>
      <c r="C93" s="12" t="s">
        <v>473</v>
      </c>
      <c r="D93" s="13" t="n">
        <v>2</v>
      </c>
      <c r="E93" s="14" t="s">
        <v>160</v>
      </c>
      <c r="F93" s="12" t="s">
        <v>433</v>
      </c>
      <c r="G93" s="15" t="s">
        <v>38</v>
      </c>
      <c r="H93" s="12" t="s">
        <v>474</v>
      </c>
      <c r="I93" s="12" t="s">
        <v>475</v>
      </c>
    </row>
    <row r="94" customFormat="false" ht="42" hidden="false" customHeight="true" outlineLevel="0" collapsed="false">
      <c r="A94" s="11" t="s">
        <v>389</v>
      </c>
      <c r="B94" s="12" t="s">
        <v>476</v>
      </c>
      <c r="C94" s="12" t="s">
        <v>477</v>
      </c>
      <c r="D94" s="13" t="n">
        <v>25</v>
      </c>
      <c r="E94" s="14" t="s">
        <v>478</v>
      </c>
      <c r="F94" s="12" t="s">
        <v>479</v>
      </c>
      <c r="G94" s="15" t="s">
        <v>38</v>
      </c>
      <c r="H94" s="12" t="s">
        <v>480</v>
      </c>
      <c r="I94" s="12" t="s">
        <v>481</v>
      </c>
    </row>
    <row r="95" customFormat="false" ht="42" hidden="false" customHeight="true" outlineLevel="0" collapsed="false">
      <c r="A95" s="11" t="s">
        <v>389</v>
      </c>
      <c r="B95" s="12" t="s">
        <v>482</v>
      </c>
      <c r="C95" s="12" t="s">
        <v>483</v>
      </c>
      <c r="D95" s="13" t="n">
        <v>0</v>
      </c>
      <c r="E95" s="14" t="s">
        <v>139</v>
      </c>
      <c r="F95" s="12" t="s">
        <v>479</v>
      </c>
      <c r="G95" s="15" t="s">
        <v>38</v>
      </c>
      <c r="H95" s="12" t="s">
        <v>484</v>
      </c>
      <c r="I95" s="12" t="s">
        <v>485</v>
      </c>
    </row>
    <row r="96" customFormat="false" ht="42" hidden="false" customHeight="true" outlineLevel="0" collapsed="false">
      <c r="A96" s="11" t="s">
        <v>389</v>
      </c>
      <c r="B96" s="12" t="s">
        <v>486</v>
      </c>
      <c r="C96" s="12" t="s">
        <v>487</v>
      </c>
      <c r="D96" s="13" t="n">
        <v>5</v>
      </c>
      <c r="E96" s="14" t="s">
        <v>397</v>
      </c>
      <c r="F96" s="12" t="s">
        <v>488</v>
      </c>
      <c r="G96" s="15" t="s">
        <v>38</v>
      </c>
      <c r="H96" s="12" t="s">
        <v>489</v>
      </c>
      <c r="I96" s="12" t="s">
        <v>490</v>
      </c>
    </row>
    <row r="97" customFormat="false" ht="42" hidden="false" customHeight="true" outlineLevel="0" collapsed="false">
      <c r="A97" s="11" t="s">
        <v>389</v>
      </c>
      <c r="B97" s="12" t="s">
        <v>491</v>
      </c>
      <c r="C97" s="12" t="s">
        <v>492</v>
      </c>
      <c r="D97" s="13" t="n">
        <v>1</v>
      </c>
      <c r="E97" s="14" t="s">
        <v>402</v>
      </c>
      <c r="F97" s="12" t="s">
        <v>488</v>
      </c>
      <c r="G97" s="15" t="s">
        <v>38</v>
      </c>
      <c r="H97" s="12" t="s">
        <v>493</v>
      </c>
      <c r="I97" s="12" t="s">
        <v>494</v>
      </c>
    </row>
    <row r="98" customFormat="false" ht="42" hidden="false" customHeight="true" outlineLevel="0" collapsed="false">
      <c r="A98" s="11" t="s">
        <v>389</v>
      </c>
      <c r="B98" s="12" t="s">
        <v>495</v>
      </c>
      <c r="C98" s="12" t="s">
        <v>496</v>
      </c>
      <c r="D98" s="13" t="n">
        <v>2</v>
      </c>
      <c r="E98" s="14" t="s">
        <v>407</v>
      </c>
      <c r="F98" s="12" t="s">
        <v>488</v>
      </c>
      <c r="G98" s="15" t="s">
        <v>38</v>
      </c>
      <c r="H98" s="12" t="s">
        <v>497</v>
      </c>
      <c r="I98" s="12" t="s">
        <v>498</v>
      </c>
    </row>
    <row r="99" customFormat="false" ht="42" hidden="false" customHeight="true" outlineLevel="0" collapsed="false">
      <c r="A99" s="11" t="s">
        <v>389</v>
      </c>
      <c r="B99" s="12" t="s">
        <v>499</v>
      </c>
      <c r="C99" s="12" t="s">
        <v>500</v>
      </c>
      <c r="D99" s="13" t="n">
        <v>2</v>
      </c>
      <c r="E99" s="14" t="s">
        <v>501</v>
      </c>
      <c r="F99" s="12" t="s">
        <v>502</v>
      </c>
      <c r="G99" s="15" t="s">
        <v>38</v>
      </c>
      <c r="H99" s="12" t="s">
        <v>503</v>
      </c>
      <c r="I99" s="12" t="s">
        <v>504</v>
      </c>
    </row>
    <row r="100" customFormat="false" ht="42" hidden="false" customHeight="true" outlineLevel="0" collapsed="false">
      <c r="A100" s="11" t="s">
        <v>389</v>
      </c>
      <c r="B100" s="12" t="s">
        <v>505</v>
      </c>
      <c r="C100" s="12" t="s">
        <v>506</v>
      </c>
      <c r="D100" s="13" t="n">
        <v>6</v>
      </c>
      <c r="E100" s="14" t="s">
        <v>507</v>
      </c>
      <c r="F100" s="12" t="s">
        <v>502</v>
      </c>
      <c r="G100" s="15" t="s">
        <v>329</v>
      </c>
      <c r="H100" s="12" t="s">
        <v>508</v>
      </c>
      <c r="I100" s="12" t="s">
        <v>509</v>
      </c>
    </row>
    <row r="101" customFormat="false" ht="42" hidden="false" customHeight="true" outlineLevel="0" collapsed="false">
      <c r="A101" s="11" t="s">
        <v>389</v>
      </c>
      <c r="B101" s="12" t="s">
        <v>510</v>
      </c>
      <c r="C101" s="12" t="s">
        <v>511</v>
      </c>
      <c r="D101" s="13" t="n">
        <v>55</v>
      </c>
      <c r="E101" s="14" t="s">
        <v>263</v>
      </c>
      <c r="F101" s="12" t="s">
        <v>502</v>
      </c>
      <c r="G101" s="15" t="s">
        <v>329</v>
      </c>
      <c r="H101" s="12" t="s">
        <v>512</v>
      </c>
      <c r="I101" s="12" t="s">
        <v>513</v>
      </c>
    </row>
    <row r="102" customFormat="false" ht="42" hidden="false" customHeight="true" outlineLevel="0" collapsed="false">
      <c r="A102" s="11" t="s">
        <v>514</v>
      </c>
      <c r="B102" s="12" t="s">
        <v>515</v>
      </c>
      <c r="C102" s="12" t="s">
        <v>516</v>
      </c>
      <c r="D102" s="13" t="n">
        <v>1</v>
      </c>
      <c r="E102" s="14" t="s">
        <v>517</v>
      </c>
      <c r="F102" s="12" t="s">
        <v>518</v>
      </c>
      <c r="G102" s="15" t="s">
        <v>38</v>
      </c>
      <c r="H102" s="12" t="s">
        <v>519</v>
      </c>
      <c r="I102" s="12" t="s">
        <v>520</v>
      </c>
    </row>
    <row r="103" customFormat="false" ht="42" hidden="false" customHeight="true" outlineLevel="0" collapsed="false">
      <c r="A103" s="11" t="s">
        <v>514</v>
      </c>
      <c r="B103" s="12" t="s">
        <v>521</v>
      </c>
      <c r="C103" s="12" t="s">
        <v>522</v>
      </c>
      <c r="D103" s="13" t="n">
        <v>1</v>
      </c>
      <c r="E103" s="14" t="s">
        <v>523</v>
      </c>
      <c r="F103" s="12" t="s">
        <v>518</v>
      </c>
      <c r="G103" s="15" t="s">
        <v>38</v>
      </c>
      <c r="H103" s="12" t="s">
        <v>524</v>
      </c>
      <c r="I103" s="12" t="s">
        <v>525</v>
      </c>
    </row>
    <row r="104" customFormat="false" ht="42" hidden="false" customHeight="true" outlineLevel="0" collapsed="false">
      <c r="A104" s="11" t="s">
        <v>514</v>
      </c>
      <c r="B104" s="12" t="s">
        <v>526</v>
      </c>
      <c r="C104" s="12" t="s">
        <v>527</v>
      </c>
      <c r="D104" s="13" t="n">
        <v>35</v>
      </c>
      <c r="E104" s="14" t="s">
        <v>263</v>
      </c>
      <c r="F104" s="12" t="s">
        <v>518</v>
      </c>
      <c r="G104" s="15" t="s">
        <v>329</v>
      </c>
      <c r="H104" s="12" t="s">
        <v>528</v>
      </c>
      <c r="I104" s="12" t="s">
        <v>529</v>
      </c>
    </row>
    <row r="105" customFormat="false" ht="42" hidden="false" customHeight="true" outlineLevel="0" collapsed="false">
      <c r="A105" s="11" t="s">
        <v>514</v>
      </c>
      <c r="B105" s="12" t="s">
        <v>530</v>
      </c>
      <c r="C105" s="12" t="s">
        <v>531</v>
      </c>
      <c r="D105" s="13" t="n">
        <v>50</v>
      </c>
      <c r="E105" s="14" t="s">
        <v>421</v>
      </c>
      <c r="F105" s="12" t="s">
        <v>518</v>
      </c>
      <c r="G105" s="15" t="s">
        <v>38</v>
      </c>
      <c r="H105" s="12" t="s">
        <v>532</v>
      </c>
      <c r="I105" s="12" t="s">
        <v>533</v>
      </c>
    </row>
    <row r="106" customFormat="false" ht="42" hidden="false" customHeight="true" outlineLevel="0" collapsed="false">
      <c r="A106" s="11" t="s">
        <v>514</v>
      </c>
      <c r="B106" s="12" t="s">
        <v>534</v>
      </c>
      <c r="C106" s="12" t="s">
        <v>535</v>
      </c>
      <c r="D106" s="13" t="n">
        <v>1</v>
      </c>
      <c r="E106" s="14" t="s">
        <v>517</v>
      </c>
      <c r="F106" s="12" t="s">
        <v>536</v>
      </c>
      <c r="G106" s="15" t="s">
        <v>38</v>
      </c>
      <c r="H106" s="12" t="s">
        <v>537</v>
      </c>
      <c r="I106" s="12" t="s">
        <v>538</v>
      </c>
    </row>
    <row r="107" customFormat="false" ht="42" hidden="false" customHeight="true" outlineLevel="0" collapsed="false">
      <c r="A107" s="11" t="s">
        <v>514</v>
      </c>
      <c r="B107" s="12" t="s">
        <v>539</v>
      </c>
      <c r="C107" s="12" t="s">
        <v>540</v>
      </c>
      <c r="D107" s="13" t="n">
        <v>50</v>
      </c>
      <c r="E107" s="14" t="s">
        <v>263</v>
      </c>
      <c r="F107" s="12" t="s">
        <v>536</v>
      </c>
      <c r="G107" s="15" t="s">
        <v>38</v>
      </c>
      <c r="H107" s="12" t="s">
        <v>541</v>
      </c>
      <c r="I107" s="12" t="s">
        <v>542</v>
      </c>
    </row>
    <row r="108" customFormat="false" ht="42" hidden="false" customHeight="true" outlineLevel="0" collapsed="false">
      <c r="A108" s="11" t="s">
        <v>514</v>
      </c>
      <c r="B108" s="12" t="s">
        <v>543</v>
      </c>
      <c r="C108" s="12" t="s">
        <v>544</v>
      </c>
      <c r="D108" s="13" t="n">
        <v>25</v>
      </c>
      <c r="E108" s="14" t="s">
        <v>545</v>
      </c>
      <c r="F108" s="12" t="s">
        <v>536</v>
      </c>
      <c r="G108" s="15" t="s">
        <v>38</v>
      </c>
      <c r="H108" s="12" t="s">
        <v>546</v>
      </c>
      <c r="I108" s="12" t="s">
        <v>547</v>
      </c>
    </row>
    <row r="109" customFormat="false" ht="42" hidden="false" customHeight="true" outlineLevel="0" collapsed="false">
      <c r="A109" s="11" t="s">
        <v>514</v>
      </c>
      <c r="B109" s="12" t="s">
        <v>548</v>
      </c>
      <c r="C109" s="12" t="s">
        <v>549</v>
      </c>
      <c r="D109" s="13" t="n">
        <v>2</v>
      </c>
      <c r="E109" s="14" t="s">
        <v>517</v>
      </c>
      <c r="F109" s="12" t="s">
        <v>550</v>
      </c>
      <c r="G109" s="15" t="s">
        <v>38</v>
      </c>
      <c r="H109" s="12" t="s">
        <v>551</v>
      </c>
      <c r="I109" s="12" t="s">
        <v>552</v>
      </c>
    </row>
    <row r="110" customFormat="false" ht="42" hidden="false" customHeight="true" outlineLevel="0" collapsed="false">
      <c r="A110" s="11" t="s">
        <v>514</v>
      </c>
      <c r="B110" s="12" t="s">
        <v>553</v>
      </c>
      <c r="C110" s="12" t="s">
        <v>554</v>
      </c>
      <c r="D110" s="13" t="n">
        <v>40</v>
      </c>
      <c r="E110" s="14" t="s">
        <v>263</v>
      </c>
      <c r="F110" s="12" t="s">
        <v>550</v>
      </c>
      <c r="G110" s="15" t="s">
        <v>38</v>
      </c>
      <c r="H110" s="12" t="s">
        <v>555</v>
      </c>
      <c r="I110" s="12" t="s">
        <v>556</v>
      </c>
    </row>
    <row r="111" customFormat="false" ht="42" hidden="false" customHeight="true" outlineLevel="0" collapsed="false">
      <c r="A111" s="11" t="s">
        <v>557</v>
      </c>
      <c r="B111" s="12" t="s">
        <v>558</v>
      </c>
      <c r="C111" s="12" t="s">
        <v>559</v>
      </c>
      <c r="D111" s="13" t="n">
        <v>3</v>
      </c>
      <c r="E111" s="14" t="s">
        <v>335</v>
      </c>
      <c r="F111" s="12" t="s">
        <v>560</v>
      </c>
      <c r="G111" s="15" t="s">
        <v>38</v>
      </c>
      <c r="H111" s="12" t="s">
        <v>561</v>
      </c>
      <c r="I111" s="12" t="s">
        <v>562</v>
      </c>
    </row>
    <row r="112" customFormat="false" ht="42" hidden="false" customHeight="true" outlineLevel="0" collapsed="false">
      <c r="A112" s="11" t="s">
        <v>557</v>
      </c>
      <c r="B112" s="12" t="s">
        <v>563</v>
      </c>
      <c r="C112" s="12" t="s">
        <v>564</v>
      </c>
      <c r="D112" s="13" t="n">
        <v>3</v>
      </c>
      <c r="E112" s="14" t="s">
        <v>565</v>
      </c>
      <c r="F112" s="12" t="s">
        <v>560</v>
      </c>
      <c r="G112" s="15" t="s">
        <v>566</v>
      </c>
      <c r="H112" s="12" t="s">
        <v>567</v>
      </c>
      <c r="I112" s="12" t="s">
        <v>568</v>
      </c>
    </row>
    <row r="113" customFormat="false" ht="42" hidden="false" customHeight="true" outlineLevel="0" collapsed="false">
      <c r="A113" s="11" t="s">
        <v>557</v>
      </c>
      <c r="B113" s="12" t="s">
        <v>569</v>
      </c>
      <c r="C113" s="12" t="s">
        <v>570</v>
      </c>
      <c r="D113" s="13" t="n">
        <v>1</v>
      </c>
      <c r="E113" s="14" t="s">
        <v>571</v>
      </c>
      <c r="F113" s="12" t="s">
        <v>560</v>
      </c>
      <c r="G113" s="15" t="s">
        <v>38</v>
      </c>
      <c r="H113" s="12" t="s">
        <v>572</v>
      </c>
      <c r="I113" s="12" t="s">
        <v>573</v>
      </c>
    </row>
    <row r="114" customFormat="false" ht="42" hidden="false" customHeight="true" outlineLevel="0" collapsed="false">
      <c r="A114" s="11" t="s">
        <v>557</v>
      </c>
      <c r="B114" s="12" t="s">
        <v>574</v>
      </c>
      <c r="C114" s="12" t="s">
        <v>575</v>
      </c>
      <c r="D114" s="13" t="n">
        <v>1</v>
      </c>
      <c r="E114" s="14" t="s">
        <v>565</v>
      </c>
      <c r="F114" s="12" t="s">
        <v>560</v>
      </c>
      <c r="G114" s="15" t="s">
        <v>566</v>
      </c>
      <c r="H114" s="12" t="s">
        <v>576</v>
      </c>
      <c r="I114" s="12" t="s">
        <v>577</v>
      </c>
    </row>
    <row r="115" customFormat="false" ht="42" hidden="false" customHeight="true" outlineLevel="0" collapsed="false">
      <c r="A115" s="11" t="s">
        <v>578</v>
      </c>
      <c r="B115" s="12" t="s">
        <v>579</v>
      </c>
      <c r="C115" s="12" t="s">
        <v>580</v>
      </c>
      <c r="D115" s="13" t="n">
        <v>1</v>
      </c>
      <c r="E115" s="14" t="s">
        <v>523</v>
      </c>
      <c r="F115" s="12" t="s">
        <v>37</v>
      </c>
      <c r="G115" s="15" t="s">
        <v>38</v>
      </c>
      <c r="H115" s="12" t="s">
        <v>581</v>
      </c>
      <c r="I115" s="12" t="s">
        <v>582</v>
      </c>
    </row>
    <row r="116" customFormat="false" ht="42" hidden="false" customHeight="true" outlineLevel="0" collapsed="false">
      <c r="A116" s="11" t="s">
        <v>578</v>
      </c>
      <c r="B116" s="12" t="s">
        <v>583</v>
      </c>
      <c r="C116" s="12" t="s">
        <v>584</v>
      </c>
      <c r="D116" s="13" t="n">
        <v>3</v>
      </c>
      <c r="E116" s="14" t="s">
        <v>585</v>
      </c>
      <c r="F116" s="12" t="s">
        <v>37</v>
      </c>
      <c r="G116" s="15" t="s">
        <v>38</v>
      </c>
      <c r="H116" s="12" t="s">
        <v>586</v>
      </c>
      <c r="I116" s="12" t="s">
        <v>587</v>
      </c>
    </row>
    <row r="117" customFormat="false" ht="42" hidden="false" customHeight="true" outlineLevel="0" collapsed="false">
      <c r="A117" s="11" t="s">
        <v>578</v>
      </c>
      <c r="B117" s="12" t="s">
        <v>588</v>
      </c>
      <c r="C117" s="12" t="s">
        <v>589</v>
      </c>
      <c r="D117" s="13" t="n">
        <v>5</v>
      </c>
      <c r="E117" s="14" t="s">
        <v>585</v>
      </c>
      <c r="F117" s="12" t="s">
        <v>590</v>
      </c>
      <c r="G117" s="15" t="s">
        <v>591</v>
      </c>
      <c r="H117" s="12" t="s">
        <v>592</v>
      </c>
      <c r="I117" s="12" t="s">
        <v>593</v>
      </c>
    </row>
    <row r="118" customFormat="false" ht="42" hidden="false" customHeight="true" outlineLevel="0" collapsed="false">
      <c r="A118" s="11" t="s">
        <v>578</v>
      </c>
      <c r="B118" s="12" t="s">
        <v>594</v>
      </c>
      <c r="C118" s="12" t="s">
        <v>595</v>
      </c>
      <c r="D118" s="13" t="n">
        <v>6</v>
      </c>
      <c r="E118" s="14" t="s">
        <v>596</v>
      </c>
      <c r="F118" s="12" t="s">
        <v>597</v>
      </c>
      <c r="G118" s="15" t="s">
        <v>598</v>
      </c>
      <c r="H118" s="12" t="s">
        <v>599</v>
      </c>
      <c r="I118" s="12" t="s">
        <v>600</v>
      </c>
    </row>
    <row r="119" customFormat="false" ht="42" hidden="false" customHeight="true" outlineLevel="0" collapsed="false">
      <c r="A119" s="11" t="s">
        <v>578</v>
      </c>
      <c r="B119" s="12" t="s">
        <v>601</v>
      </c>
      <c r="C119" s="12" t="s">
        <v>602</v>
      </c>
      <c r="D119" s="13" t="n">
        <v>70</v>
      </c>
      <c r="E119" s="14" t="s">
        <v>263</v>
      </c>
      <c r="F119" s="12" t="s">
        <v>603</v>
      </c>
      <c r="G119" s="15" t="s">
        <v>604</v>
      </c>
      <c r="H119" s="12" t="s">
        <v>605</v>
      </c>
      <c r="I119" s="12" t="s">
        <v>606</v>
      </c>
    </row>
    <row r="120" customFormat="false" ht="42" hidden="false" customHeight="true" outlineLevel="0" collapsed="false">
      <c r="A120" s="11" t="s">
        <v>578</v>
      </c>
      <c r="B120" s="12" t="s">
        <v>607</v>
      </c>
      <c r="C120" s="12" t="s">
        <v>608</v>
      </c>
      <c r="D120" s="13" t="n">
        <v>50</v>
      </c>
      <c r="E120" s="14" t="s">
        <v>263</v>
      </c>
      <c r="F120" s="12" t="s">
        <v>603</v>
      </c>
      <c r="G120" s="15" t="s">
        <v>604</v>
      </c>
      <c r="H120" s="12" t="s">
        <v>605</v>
      </c>
      <c r="I120" s="12" t="s">
        <v>609</v>
      </c>
    </row>
    <row r="121" customFormat="false" ht="42" hidden="false" customHeight="true" outlineLevel="0" collapsed="false">
      <c r="A121" s="11" t="s">
        <v>578</v>
      </c>
      <c r="B121" s="12" t="s">
        <v>610</v>
      </c>
      <c r="C121" s="12" t="s">
        <v>611</v>
      </c>
      <c r="D121" s="13" t="n">
        <v>40</v>
      </c>
      <c r="E121" s="14" t="s">
        <v>263</v>
      </c>
      <c r="F121" s="12" t="s">
        <v>612</v>
      </c>
      <c r="G121" s="15" t="s">
        <v>604</v>
      </c>
      <c r="H121" s="12" t="s">
        <v>613</v>
      </c>
      <c r="I121" s="12" t="s">
        <v>614</v>
      </c>
    </row>
    <row r="122" customFormat="false" ht="42" hidden="false" customHeight="true" outlineLevel="0" collapsed="false">
      <c r="A122" s="11" t="s">
        <v>615</v>
      </c>
      <c r="B122" s="12" t="s">
        <v>616</v>
      </c>
      <c r="C122" s="12" t="s">
        <v>617</v>
      </c>
      <c r="D122" s="13" t="n">
        <v>33.333333</v>
      </c>
      <c r="E122" s="14" t="s">
        <v>263</v>
      </c>
      <c r="F122" s="12" t="s">
        <v>618</v>
      </c>
      <c r="G122" s="15" t="s">
        <v>38</v>
      </c>
      <c r="H122" s="12" t="s">
        <v>619</v>
      </c>
      <c r="I122" s="12" t="s">
        <v>620</v>
      </c>
    </row>
    <row r="123" customFormat="false" ht="42" hidden="false" customHeight="true" outlineLevel="0" collapsed="false">
      <c r="A123" s="11" t="s">
        <v>578</v>
      </c>
      <c r="B123" s="12" t="s">
        <v>621</v>
      </c>
      <c r="C123" s="12" t="s">
        <v>622</v>
      </c>
      <c r="D123" s="13" t="n">
        <v>60</v>
      </c>
      <c r="E123" s="14" t="s">
        <v>263</v>
      </c>
      <c r="F123" s="12" t="s">
        <v>623</v>
      </c>
      <c r="G123" s="15" t="s">
        <v>38</v>
      </c>
      <c r="H123" s="12" t="s">
        <v>624</v>
      </c>
      <c r="I123" s="12" t="s">
        <v>625</v>
      </c>
    </row>
    <row r="124" customFormat="false" ht="42" hidden="false" customHeight="true" outlineLevel="0" collapsed="false">
      <c r="A124" s="11" t="s">
        <v>626</v>
      </c>
      <c r="B124" s="12" t="s">
        <v>627</v>
      </c>
      <c r="C124" s="12" t="s">
        <v>628</v>
      </c>
      <c r="D124" s="13" t="n">
        <v>1</v>
      </c>
      <c r="E124" s="14" t="s">
        <v>629</v>
      </c>
      <c r="F124" s="12" t="s">
        <v>630</v>
      </c>
      <c r="G124" s="15" t="s">
        <v>428</v>
      </c>
      <c r="H124" s="12" t="s">
        <v>631</v>
      </c>
      <c r="I124" s="12" t="s">
        <v>632</v>
      </c>
    </row>
    <row r="125" customFormat="false" ht="42" hidden="false" customHeight="true" outlineLevel="0" collapsed="false">
      <c r="A125" s="11" t="s">
        <v>626</v>
      </c>
      <c r="B125" s="12" t="s">
        <v>633</v>
      </c>
      <c r="C125" s="12" t="s">
        <v>634</v>
      </c>
      <c r="D125" s="13" t="n">
        <v>1</v>
      </c>
      <c r="E125" s="14" t="s">
        <v>635</v>
      </c>
      <c r="F125" s="12" t="s">
        <v>630</v>
      </c>
      <c r="G125" s="15" t="s">
        <v>428</v>
      </c>
      <c r="H125" s="12" t="s">
        <v>636</v>
      </c>
      <c r="I125" s="12" t="s">
        <v>637</v>
      </c>
    </row>
    <row r="126" customFormat="false" ht="42" hidden="false" customHeight="true" outlineLevel="0" collapsed="false">
      <c r="A126" s="11" t="s">
        <v>638</v>
      </c>
      <c r="B126" s="12" t="s">
        <v>639</v>
      </c>
      <c r="C126" s="12" t="s">
        <v>640</v>
      </c>
      <c r="D126" s="13" t="n">
        <v>50</v>
      </c>
      <c r="E126" s="14" t="s">
        <v>385</v>
      </c>
      <c r="F126" s="12" t="s">
        <v>641</v>
      </c>
      <c r="G126" s="15" t="s">
        <v>38</v>
      </c>
      <c r="H126" s="12" t="s">
        <v>642</v>
      </c>
      <c r="I126" s="12" t="s">
        <v>643</v>
      </c>
    </row>
    <row r="127" customFormat="false" ht="42" hidden="false" customHeight="true" outlineLevel="0" collapsed="false">
      <c r="A127" s="11" t="s">
        <v>638</v>
      </c>
      <c r="B127" s="12" t="s">
        <v>644</v>
      </c>
      <c r="C127" s="12" t="s">
        <v>645</v>
      </c>
      <c r="D127" s="13" t="n">
        <v>5</v>
      </c>
      <c r="E127" s="14" t="s">
        <v>646</v>
      </c>
      <c r="F127" s="12" t="s">
        <v>641</v>
      </c>
      <c r="G127" s="15" t="s">
        <v>38</v>
      </c>
      <c r="H127" s="12" t="s">
        <v>647</v>
      </c>
      <c r="I127" s="12" t="s">
        <v>648</v>
      </c>
    </row>
    <row r="128" customFormat="false" ht="42" hidden="false" customHeight="true" outlineLevel="0" collapsed="false">
      <c r="A128" s="11" t="s">
        <v>638</v>
      </c>
      <c r="B128" s="12" t="s">
        <v>649</v>
      </c>
      <c r="C128" s="12" t="s">
        <v>650</v>
      </c>
      <c r="D128" s="13" t="n">
        <v>5</v>
      </c>
      <c r="E128" s="14" t="s">
        <v>263</v>
      </c>
      <c r="F128" s="12" t="s">
        <v>641</v>
      </c>
      <c r="G128" s="15" t="s">
        <v>38</v>
      </c>
      <c r="H128" s="12" t="s">
        <v>651</v>
      </c>
      <c r="I128" s="12" t="s">
        <v>652</v>
      </c>
    </row>
    <row r="129" customFormat="false" ht="42" hidden="false" customHeight="true" outlineLevel="0" collapsed="false">
      <c r="A129" s="11" t="s">
        <v>638</v>
      </c>
      <c r="B129" s="12" t="s">
        <v>653</v>
      </c>
      <c r="C129" s="12" t="s">
        <v>654</v>
      </c>
      <c r="D129" s="13" t="n">
        <v>95</v>
      </c>
      <c r="E129" s="14" t="s">
        <v>263</v>
      </c>
      <c r="F129" s="12" t="s">
        <v>641</v>
      </c>
      <c r="G129" s="15" t="s">
        <v>38</v>
      </c>
      <c r="H129" s="12" t="s">
        <v>655</v>
      </c>
      <c r="I129" s="12" t="s">
        <v>656</v>
      </c>
    </row>
    <row r="130" customFormat="false" ht="42" hidden="false" customHeight="true" outlineLevel="0" collapsed="false">
      <c r="A130" s="11" t="s">
        <v>638</v>
      </c>
      <c r="B130" s="12" t="s">
        <v>657</v>
      </c>
      <c r="C130" s="12" t="s">
        <v>658</v>
      </c>
      <c r="D130" s="13" t="n">
        <v>5</v>
      </c>
      <c r="E130" s="14" t="s">
        <v>385</v>
      </c>
      <c r="F130" s="12" t="s">
        <v>386</v>
      </c>
      <c r="G130" s="15" t="s">
        <v>38</v>
      </c>
      <c r="H130" s="12" t="s">
        <v>659</v>
      </c>
      <c r="I130" s="12" t="s">
        <v>660</v>
      </c>
    </row>
    <row r="131" customFormat="false" ht="42" hidden="false" customHeight="true" outlineLevel="0" collapsed="false">
      <c r="A131" s="11" t="s">
        <v>638</v>
      </c>
      <c r="B131" s="12" t="s">
        <v>661</v>
      </c>
      <c r="C131" s="12" t="s">
        <v>662</v>
      </c>
      <c r="D131" s="13" t="n">
        <v>10</v>
      </c>
      <c r="E131" s="14" t="s">
        <v>385</v>
      </c>
      <c r="F131" s="12" t="s">
        <v>663</v>
      </c>
      <c r="G131" s="15" t="s">
        <v>38</v>
      </c>
      <c r="H131" s="12" t="s">
        <v>664</v>
      </c>
      <c r="I131" s="12" t="s">
        <v>665</v>
      </c>
    </row>
    <row r="132" customFormat="false" ht="42" hidden="false" customHeight="true" outlineLevel="0" collapsed="false">
      <c r="A132" s="11" t="s">
        <v>638</v>
      </c>
      <c r="B132" s="12" t="s">
        <v>666</v>
      </c>
      <c r="C132" s="12" t="s">
        <v>667</v>
      </c>
      <c r="D132" s="13" t="n">
        <v>5</v>
      </c>
      <c r="E132" s="14" t="s">
        <v>385</v>
      </c>
      <c r="F132" s="12" t="s">
        <v>663</v>
      </c>
      <c r="G132" s="15" t="s">
        <v>38</v>
      </c>
      <c r="H132" s="12" t="s">
        <v>668</v>
      </c>
      <c r="I132" s="12" t="s">
        <v>669</v>
      </c>
    </row>
    <row r="133" customFormat="false" ht="42" hidden="false" customHeight="true" outlineLevel="0" collapsed="false">
      <c r="A133" s="11" t="s">
        <v>638</v>
      </c>
      <c r="B133" s="12" t="s">
        <v>670</v>
      </c>
      <c r="C133" s="12" t="s">
        <v>671</v>
      </c>
      <c r="D133" s="13" t="n">
        <v>10</v>
      </c>
      <c r="E133" s="14" t="s">
        <v>385</v>
      </c>
      <c r="F133" s="12" t="s">
        <v>672</v>
      </c>
      <c r="G133" s="15" t="s">
        <v>38</v>
      </c>
      <c r="H133" s="12" t="s">
        <v>673</v>
      </c>
      <c r="I133" s="12" t="s">
        <v>674</v>
      </c>
    </row>
    <row r="134" customFormat="false" ht="42" hidden="false" customHeight="true" outlineLevel="0" collapsed="false">
      <c r="A134" s="11" t="s">
        <v>638</v>
      </c>
      <c r="B134" s="12" t="s">
        <v>675</v>
      </c>
      <c r="C134" s="12" t="s">
        <v>676</v>
      </c>
      <c r="D134" s="13" t="n">
        <v>1</v>
      </c>
      <c r="E134" s="14" t="s">
        <v>677</v>
      </c>
      <c r="F134" s="12" t="s">
        <v>641</v>
      </c>
      <c r="G134" s="15" t="s">
        <v>38</v>
      </c>
      <c r="H134" s="12" t="s">
        <v>678</v>
      </c>
      <c r="I134" s="12" t="s">
        <v>679</v>
      </c>
    </row>
    <row r="135" customFormat="false" ht="42" hidden="false" customHeight="true" outlineLevel="0" collapsed="false">
      <c r="A135" s="11" t="s">
        <v>638</v>
      </c>
      <c r="B135" s="12" t="s">
        <v>680</v>
      </c>
      <c r="C135" s="12" t="s">
        <v>681</v>
      </c>
      <c r="D135" s="13" t="n">
        <v>100</v>
      </c>
      <c r="E135" s="14" t="s">
        <v>677</v>
      </c>
      <c r="F135" s="12" t="s">
        <v>641</v>
      </c>
      <c r="G135" s="15" t="s">
        <v>38</v>
      </c>
      <c r="H135" s="12" t="s">
        <v>678</v>
      </c>
      <c r="I135" s="12" t="s">
        <v>682</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5"/>
    <col collapsed="false" customWidth="true" hidden="false" outlineLevel="0" max="2" min="2" style="1" width="30"/>
    <col collapsed="false" customWidth="true" hidden="false" outlineLevel="0" max="3" min="3" style="1" width="27"/>
    <col collapsed="false" customWidth="true" hidden="false" outlineLevel="0" max="4" min="4" style="1" width="28"/>
    <col collapsed="false" customWidth="true" hidden="false" outlineLevel="0" max="6" min="5" style="1" width="25"/>
    <col collapsed="false" customWidth="true" hidden="false" outlineLevel="0" max="7" min="7" style="1" width="18"/>
    <col collapsed="false" customWidth="true" hidden="false" outlineLevel="0" max="8" min="8" style="1" width="28"/>
    <col collapsed="false" customWidth="true" hidden="false" outlineLevel="0" max="9" min="9" style="1" width="50"/>
  </cols>
  <sheetData>
    <row r="1" customFormat="false" ht="30" hidden="false" customHeight="true" outlineLevel="0" collapsed="false">
      <c r="A1" s="8" t="s">
        <v>683</v>
      </c>
      <c r="B1" s="8"/>
      <c r="C1" s="8"/>
      <c r="D1" s="8"/>
      <c r="E1" s="8"/>
      <c r="F1" s="8"/>
      <c r="G1" s="8"/>
      <c r="H1" s="8"/>
      <c r="I1" s="8"/>
      <c r="J1" s="8"/>
    </row>
    <row r="2" customFormat="false" ht="33.75" hidden="false" customHeight="true" outlineLevel="0" collapsed="false">
      <c r="A2" s="9" t="s">
        <v>684</v>
      </c>
      <c r="B2" s="9"/>
      <c r="C2" s="9"/>
      <c r="D2" s="9"/>
      <c r="E2" s="9"/>
      <c r="F2" s="9"/>
      <c r="G2" s="9"/>
      <c r="H2" s="9"/>
      <c r="I2" s="9"/>
      <c r="J2" s="9"/>
    </row>
    <row r="3" customFormat="false" ht="7.5" hidden="false" customHeight="true" outlineLevel="0" collapsed="false"/>
    <row r="4" customFormat="false" ht="30" hidden="false" customHeight="true" outlineLevel="0" collapsed="false">
      <c r="A4" s="10" t="s">
        <v>685</v>
      </c>
      <c r="B4" s="10" t="s">
        <v>686</v>
      </c>
      <c r="C4" s="10" t="s">
        <v>687</v>
      </c>
      <c r="D4" s="10" t="s">
        <v>688</v>
      </c>
      <c r="E4" s="10" t="s">
        <v>689</v>
      </c>
      <c r="F4" s="10" t="s">
        <v>690</v>
      </c>
      <c r="G4" s="10" t="s">
        <v>691</v>
      </c>
      <c r="H4" s="10" t="s">
        <v>692</v>
      </c>
      <c r="I4" s="10" t="s">
        <v>693</v>
      </c>
      <c r="J4" s="10" t="s">
        <v>694</v>
      </c>
    </row>
    <row r="5" customFormat="false" ht="42" hidden="false" customHeight="true" outlineLevel="0" collapsed="false">
      <c r="A5" s="16" t="s">
        <v>695</v>
      </c>
      <c r="B5" s="16" t="s">
        <v>696</v>
      </c>
      <c r="C5" s="16" t="s">
        <v>697</v>
      </c>
      <c r="D5" s="16" t="s">
        <v>698</v>
      </c>
      <c r="E5" s="16" t="s">
        <v>699</v>
      </c>
      <c r="F5" s="16" t="s">
        <v>700</v>
      </c>
      <c r="G5" s="16" t="s">
        <v>701</v>
      </c>
      <c r="H5" s="16" t="s">
        <v>702</v>
      </c>
      <c r="I5" s="16" t="s">
        <v>703</v>
      </c>
      <c r="J5" s="16" t="s">
        <v>704</v>
      </c>
    </row>
    <row r="6" customFormat="false" ht="42" hidden="false" customHeight="true" outlineLevel="0" collapsed="false">
      <c r="A6" s="16" t="s">
        <v>705</v>
      </c>
      <c r="B6" s="16" t="s">
        <v>706</v>
      </c>
      <c r="C6" s="16" t="s">
        <v>697</v>
      </c>
      <c r="D6" s="16" t="s">
        <v>707</v>
      </c>
      <c r="E6" s="16" t="s">
        <v>699</v>
      </c>
      <c r="F6" s="16" t="s">
        <v>708</v>
      </c>
      <c r="G6" s="16" t="s">
        <v>709</v>
      </c>
      <c r="H6" s="16" t="s">
        <v>702</v>
      </c>
      <c r="I6" s="16" t="s">
        <v>703</v>
      </c>
      <c r="J6" s="16" t="s">
        <v>710</v>
      </c>
    </row>
    <row r="7" customFormat="false" ht="42" hidden="false" customHeight="true" outlineLevel="0" collapsed="false">
      <c r="A7" s="16" t="s">
        <v>711</v>
      </c>
      <c r="B7" s="16" t="s">
        <v>712</v>
      </c>
      <c r="C7" s="16" t="s">
        <v>697</v>
      </c>
      <c r="D7" s="16" t="s">
        <v>713</v>
      </c>
      <c r="E7" s="16" t="s">
        <v>699</v>
      </c>
      <c r="F7" s="16" t="s">
        <v>714</v>
      </c>
      <c r="G7" s="16" t="s">
        <v>715</v>
      </c>
      <c r="H7" s="16" t="s">
        <v>702</v>
      </c>
      <c r="I7" s="16" t="s">
        <v>703</v>
      </c>
      <c r="J7" s="16" t="s">
        <v>716</v>
      </c>
    </row>
    <row r="8" customFormat="false" ht="42" hidden="false" customHeight="true" outlineLevel="0" collapsed="false">
      <c r="A8" s="16" t="s">
        <v>717</v>
      </c>
      <c r="B8" s="16" t="s">
        <v>718</v>
      </c>
      <c r="C8" s="16" t="s">
        <v>697</v>
      </c>
      <c r="D8" s="16" t="s">
        <v>719</v>
      </c>
      <c r="E8" s="16" t="s">
        <v>720</v>
      </c>
      <c r="F8" s="16" t="s">
        <v>721</v>
      </c>
      <c r="G8" s="16" t="s">
        <v>722</v>
      </c>
      <c r="H8" s="16" t="s">
        <v>702</v>
      </c>
      <c r="I8" s="16" t="s">
        <v>723</v>
      </c>
      <c r="J8" s="16" t="s">
        <v>724</v>
      </c>
    </row>
    <row r="9" customFormat="false" ht="42" hidden="false" customHeight="true" outlineLevel="0" collapsed="false">
      <c r="A9" s="16" t="s">
        <v>725</v>
      </c>
      <c r="B9" s="16" t="s">
        <v>726</v>
      </c>
      <c r="C9" s="16" t="s">
        <v>697</v>
      </c>
      <c r="D9" s="16" t="s">
        <v>719</v>
      </c>
      <c r="E9" s="16" t="s">
        <v>727</v>
      </c>
      <c r="F9" s="16" t="s">
        <v>721</v>
      </c>
      <c r="G9" s="16" t="s">
        <v>728</v>
      </c>
      <c r="H9" s="16" t="s">
        <v>702</v>
      </c>
      <c r="I9" s="16" t="s">
        <v>723</v>
      </c>
      <c r="J9" s="16" t="s">
        <v>729</v>
      </c>
    </row>
    <row r="10" customFormat="false" ht="42" hidden="false" customHeight="true" outlineLevel="0" collapsed="false">
      <c r="A10" s="16" t="s">
        <v>730</v>
      </c>
      <c r="B10" s="16" t="s">
        <v>731</v>
      </c>
      <c r="C10" s="16" t="s">
        <v>697</v>
      </c>
      <c r="D10" s="16" t="s">
        <v>719</v>
      </c>
      <c r="E10" s="16" t="s">
        <v>732</v>
      </c>
      <c r="F10" s="16" t="s">
        <v>721</v>
      </c>
      <c r="G10" s="16" t="s">
        <v>733</v>
      </c>
      <c r="H10" s="16" t="s">
        <v>702</v>
      </c>
      <c r="I10" s="16" t="s">
        <v>723</v>
      </c>
      <c r="J10" s="16" t="s">
        <v>734</v>
      </c>
    </row>
    <row r="11" customFormat="false" ht="42" hidden="false" customHeight="true" outlineLevel="0" collapsed="false">
      <c r="A11" s="16" t="s">
        <v>735</v>
      </c>
      <c r="B11" s="16" t="s">
        <v>736</v>
      </c>
      <c r="C11" s="16" t="s">
        <v>697</v>
      </c>
      <c r="D11" s="16" t="s">
        <v>719</v>
      </c>
      <c r="E11" s="16" t="s">
        <v>737</v>
      </c>
      <c r="F11" s="16" t="s">
        <v>721</v>
      </c>
      <c r="G11" s="16" t="s">
        <v>738</v>
      </c>
      <c r="H11" s="16" t="s">
        <v>702</v>
      </c>
      <c r="I11" s="16" t="s">
        <v>739</v>
      </c>
      <c r="J11" s="16" t="s">
        <v>740</v>
      </c>
    </row>
    <row r="12" customFormat="false" ht="42" hidden="false" customHeight="true" outlineLevel="0" collapsed="false">
      <c r="A12" s="16" t="s">
        <v>741</v>
      </c>
      <c r="B12" s="16" t="s">
        <v>742</v>
      </c>
      <c r="C12" s="16" t="s">
        <v>697</v>
      </c>
      <c r="D12" s="16" t="s">
        <v>719</v>
      </c>
      <c r="E12" s="16" t="s">
        <v>743</v>
      </c>
      <c r="F12" s="16" t="s">
        <v>721</v>
      </c>
      <c r="G12" s="16" t="s">
        <v>738</v>
      </c>
      <c r="H12" s="16" t="s">
        <v>702</v>
      </c>
      <c r="I12" s="16" t="s">
        <v>739</v>
      </c>
      <c r="J12" s="16" t="s">
        <v>744</v>
      </c>
    </row>
    <row r="13" customFormat="false" ht="42" hidden="false" customHeight="true" outlineLevel="0" collapsed="false">
      <c r="A13" s="16" t="s">
        <v>745</v>
      </c>
      <c r="B13" s="16" t="s">
        <v>746</v>
      </c>
      <c r="C13" s="16" t="s">
        <v>697</v>
      </c>
      <c r="D13" s="16" t="s">
        <v>719</v>
      </c>
      <c r="E13" s="16" t="s">
        <v>747</v>
      </c>
      <c r="F13" s="16" t="s">
        <v>721</v>
      </c>
      <c r="G13" s="16" t="s">
        <v>738</v>
      </c>
      <c r="H13" s="16" t="s">
        <v>702</v>
      </c>
      <c r="I13" s="16" t="s">
        <v>748</v>
      </c>
      <c r="J13" s="16" t="s">
        <v>749</v>
      </c>
    </row>
    <row r="14" customFormat="false" ht="42" hidden="false" customHeight="true" outlineLevel="0" collapsed="false">
      <c r="A14" s="16" t="s">
        <v>750</v>
      </c>
      <c r="B14" s="16" t="s">
        <v>751</v>
      </c>
      <c r="C14" s="16" t="s">
        <v>697</v>
      </c>
      <c r="D14" s="16" t="s">
        <v>719</v>
      </c>
      <c r="E14" s="16" t="s">
        <v>752</v>
      </c>
      <c r="F14" s="16" t="s">
        <v>721</v>
      </c>
      <c r="G14" s="16" t="s">
        <v>738</v>
      </c>
      <c r="H14" s="16" t="s">
        <v>753</v>
      </c>
      <c r="I14" s="16" t="s">
        <v>754</v>
      </c>
      <c r="J14" s="16" t="s">
        <v>755</v>
      </c>
    </row>
    <row r="15" customFormat="false" ht="42" hidden="false" customHeight="true" outlineLevel="0" collapsed="false">
      <c r="A15" s="16" t="s">
        <v>756</v>
      </c>
      <c r="B15" s="16" t="s">
        <v>757</v>
      </c>
      <c r="C15" s="16" t="s">
        <v>697</v>
      </c>
      <c r="D15" s="16" t="s">
        <v>719</v>
      </c>
      <c r="E15" s="16" t="s">
        <v>758</v>
      </c>
      <c r="F15" s="16" t="s">
        <v>721</v>
      </c>
      <c r="G15" s="16" t="s">
        <v>738</v>
      </c>
      <c r="H15" s="16" t="s">
        <v>702</v>
      </c>
      <c r="I15" s="16" t="s">
        <v>754</v>
      </c>
      <c r="J15" s="16" t="s">
        <v>759</v>
      </c>
    </row>
    <row r="16" customFormat="false" ht="42" hidden="false" customHeight="true" outlineLevel="0" collapsed="false">
      <c r="A16" s="16" t="s">
        <v>760</v>
      </c>
      <c r="B16" s="16" t="s">
        <v>761</v>
      </c>
      <c r="C16" s="16" t="s">
        <v>697</v>
      </c>
      <c r="D16" s="16" t="s">
        <v>719</v>
      </c>
      <c r="E16" s="16" t="s">
        <v>762</v>
      </c>
      <c r="F16" s="16" t="s">
        <v>721</v>
      </c>
      <c r="G16" s="16" t="s">
        <v>738</v>
      </c>
      <c r="H16" s="16" t="s">
        <v>763</v>
      </c>
      <c r="I16" s="16" t="s">
        <v>754</v>
      </c>
      <c r="J16" s="16" t="s">
        <v>764</v>
      </c>
    </row>
    <row r="17" customFormat="false" ht="42" hidden="false" customHeight="true" outlineLevel="0" collapsed="false">
      <c r="A17" s="16" t="s">
        <v>765</v>
      </c>
      <c r="B17" s="16" t="s">
        <v>766</v>
      </c>
      <c r="C17" s="16" t="s">
        <v>697</v>
      </c>
      <c r="D17" s="16" t="s">
        <v>719</v>
      </c>
      <c r="E17" s="16" t="s">
        <v>767</v>
      </c>
      <c r="F17" s="16" t="s">
        <v>721</v>
      </c>
      <c r="G17" s="16" t="s">
        <v>738</v>
      </c>
      <c r="H17" s="16" t="s">
        <v>702</v>
      </c>
      <c r="I17" s="16" t="s">
        <v>768</v>
      </c>
      <c r="J17" s="16" t="s">
        <v>769</v>
      </c>
    </row>
  </sheetData>
  <mergeCells count="2">
    <mergeCell ref="A1:J1"/>
    <mergeCell ref="A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R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0"/>
    <col collapsed="false" customWidth="true" hidden="false" outlineLevel="0" max="4" min="4" style="1" width="22"/>
    <col collapsed="false" customWidth="true" hidden="false" outlineLevel="0" max="6" min="5" style="1" width="24"/>
    <col collapsed="false" customWidth="true" hidden="false" outlineLevel="0" max="7" min="7" style="1" width="15"/>
    <col collapsed="false" customWidth="true" hidden="false" outlineLevel="0" max="8" min="8" style="1" width="18"/>
    <col collapsed="false" customWidth="true" hidden="false" outlineLevel="0" max="10" min="9" style="1" width="22"/>
    <col collapsed="false" customWidth="true" hidden="false" outlineLevel="0" max="11" min="11" style="1" width="16"/>
    <col collapsed="false" customWidth="true" hidden="false" outlineLevel="0" max="12" min="12" style="1" width="18"/>
    <col collapsed="false" customWidth="true" hidden="false" outlineLevel="0" max="13" min="13" style="1" width="14"/>
    <col collapsed="false" customWidth="true" hidden="false" outlineLevel="0" max="14" min="14" style="1" width="34"/>
    <col collapsed="false" customWidth="true" hidden="false" outlineLevel="0" max="15" min="15" style="1" width="54"/>
    <col collapsed="false" customWidth="true" hidden="false" outlineLevel="0" max="16" min="16" style="1" width="28"/>
    <col collapsed="false" customWidth="true" hidden="false" outlineLevel="0" max="17" min="17" style="1" width="62"/>
    <col collapsed="false" customWidth="true" hidden="false" outlineLevel="0" max="18" min="18" style="1" width="16"/>
  </cols>
  <sheetData>
    <row r="1" customFormat="false" ht="30" hidden="false" customHeight="true" outlineLevel="0" collapsed="false">
      <c r="A1" s="8" t="s">
        <v>770</v>
      </c>
      <c r="B1" s="8"/>
      <c r="C1" s="8"/>
      <c r="D1" s="8"/>
      <c r="E1" s="8"/>
      <c r="F1" s="8"/>
      <c r="G1" s="8"/>
      <c r="H1" s="8"/>
      <c r="I1" s="8"/>
      <c r="J1" s="8"/>
      <c r="K1" s="8"/>
      <c r="L1" s="8"/>
      <c r="M1" s="8"/>
      <c r="N1" s="8"/>
      <c r="O1" s="8"/>
      <c r="P1" s="8"/>
      <c r="Q1" s="8"/>
      <c r="R1" s="8"/>
    </row>
    <row r="2" customFormat="false" ht="33.75" hidden="false" customHeight="true" outlineLevel="0" collapsed="false">
      <c r="A2" s="9" t="s">
        <v>771</v>
      </c>
      <c r="B2" s="9"/>
      <c r="C2" s="9"/>
      <c r="D2" s="9"/>
      <c r="E2" s="9"/>
      <c r="F2" s="9"/>
      <c r="G2" s="9"/>
      <c r="H2" s="9"/>
      <c r="I2" s="9"/>
      <c r="J2" s="9"/>
      <c r="K2" s="9"/>
      <c r="L2" s="9"/>
      <c r="M2" s="9"/>
      <c r="N2" s="9"/>
      <c r="O2" s="9"/>
      <c r="P2" s="9"/>
      <c r="Q2" s="9"/>
      <c r="R2" s="9"/>
    </row>
    <row r="3" customFormat="false" ht="7.5" hidden="false" customHeight="true" outlineLevel="0" collapsed="false"/>
    <row r="4" customFormat="false" ht="30" hidden="false" customHeight="true" outlineLevel="0" collapsed="false">
      <c r="A4" s="10" t="s">
        <v>772</v>
      </c>
      <c r="B4" s="10" t="s">
        <v>773</v>
      </c>
      <c r="C4" s="10" t="s">
        <v>686</v>
      </c>
      <c r="D4" s="10" t="s">
        <v>774</v>
      </c>
      <c r="E4" s="10" t="s">
        <v>775</v>
      </c>
      <c r="F4" s="10" t="s">
        <v>776</v>
      </c>
      <c r="G4" s="10" t="s">
        <v>777</v>
      </c>
      <c r="H4" s="10" t="s">
        <v>778</v>
      </c>
      <c r="I4" s="10" t="s">
        <v>693</v>
      </c>
      <c r="J4" s="10" t="s">
        <v>779</v>
      </c>
      <c r="K4" s="10" t="s">
        <v>780</v>
      </c>
      <c r="L4" s="10" t="s">
        <v>781</v>
      </c>
      <c r="M4" s="10" t="s">
        <v>782</v>
      </c>
      <c r="N4" s="10" t="s">
        <v>783</v>
      </c>
      <c r="O4" s="10" t="s">
        <v>784</v>
      </c>
      <c r="P4" s="10" t="s">
        <v>785</v>
      </c>
      <c r="Q4" s="1" t="s">
        <v>786</v>
      </c>
      <c r="R4" s="1" t="s">
        <v>787</v>
      </c>
    </row>
    <row r="5" customFormat="false" ht="42" hidden="false" customHeight="true" outlineLevel="0" collapsed="false">
      <c r="A5" s="11" t="s">
        <v>788</v>
      </c>
      <c r="B5" s="12" t="s">
        <v>789</v>
      </c>
      <c r="C5" s="12" t="s">
        <v>790</v>
      </c>
      <c r="D5" s="12" t="s">
        <v>791</v>
      </c>
      <c r="E5" s="12" t="s">
        <v>792</v>
      </c>
      <c r="F5" s="12" t="s">
        <v>697</v>
      </c>
      <c r="G5" s="13" t="n">
        <v>0</v>
      </c>
      <c r="H5" s="12" t="s">
        <v>793</v>
      </c>
      <c r="I5" s="12" t="s">
        <v>794</v>
      </c>
      <c r="J5" s="12" t="s">
        <v>795</v>
      </c>
      <c r="K5" s="12" t="s">
        <v>796</v>
      </c>
      <c r="L5" s="12" t="s">
        <v>797</v>
      </c>
      <c r="M5" s="13" t="n">
        <v>1</v>
      </c>
      <c r="N5" s="12" t="s">
        <v>798</v>
      </c>
      <c r="O5" s="12" t="s">
        <v>799</v>
      </c>
      <c r="P5" s="15" t="s">
        <v>800</v>
      </c>
      <c r="Q5" s="1" t="s">
        <v>801</v>
      </c>
      <c r="R5" s="1" t="n">
        <v>5</v>
      </c>
    </row>
    <row r="6" customFormat="false" ht="42" hidden="false" customHeight="true" outlineLevel="0" collapsed="false">
      <c r="A6" s="16" t="s">
        <v>802</v>
      </c>
      <c r="B6" s="16" t="s">
        <v>789</v>
      </c>
      <c r="C6" s="16" t="s">
        <v>803</v>
      </c>
      <c r="D6" s="16" t="s">
        <v>791</v>
      </c>
      <c r="E6" s="16" t="s">
        <v>792</v>
      </c>
      <c r="F6" s="16" t="s">
        <v>697</v>
      </c>
      <c r="G6" s="17" t="n">
        <v>0</v>
      </c>
      <c r="H6" s="16" t="s">
        <v>793</v>
      </c>
      <c r="I6" s="16" t="s">
        <v>794</v>
      </c>
      <c r="J6" s="16" t="s">
        <v>804</v>
      </c>
      <c r="K6" s="16" t="s">
        <v>796</v>
      </c>
      <c r="L6" s="16" t="s">
        <v>797</v>
      </c>
      <c r="M6" s="17" t="n">
        <v>1</v>
      </c>
      <c r="N6" s="16" t="s">
        <v>805</v>
      </c>
      <c r="O6" s="16" t="s">
        <v>806</v>
      </c>
      <c r="P6" s="18" t="s">
        <v>800</v>
      </c>
      <c r="Q6" s="1" t="s">
        <v>807</v>
      </c>
      <c r="R6" s="1" t="n">
        <v>5</v>
      </c>
    </row>
    <row r="7" customFormat="false" ht="42" hidden="false" customHeight="true" outlineLevel="0" collapsed="false">
      <c r="A7" s="16" t="s">
        <v>808</v>
      </c>
      <c r="B7" s="16" t="s">
        <v>789</v>
      </c>
      <c r="C7" s="16" t="s">
        <v>809</v>
      </c>
      <c r="D7" s="16" t="s">
        <v>791</v>
      </c>
      <c r="E7" s="16" t="s">
        <v>695</v>
      </c>
      <c r="F7" s="16" t="s">
        <v>695</v>
      </c>
      <c r="G7" s="17" t="n">
        <v>2</v>
      </c>
      <c r="H7" s="16" t="s">
        <v>793</v>
      </c>
      <c r="I7" s="16" t="s">
        <v>810</v>
      </c>
      <c r="J7" s="16" t="s">
        <v>811</v>
      </c>
      <c r="K7" s="16" t="s">
        <v>796</v>
      </c>
      <c r="L7" s="16" t="s">
        <v>797</v>
      </c>
      <c r="M7" s="17" t="n">
        <v>1</v>
      </c>
      <c r="N7" s="16" t="s">
        <v>812</v>
      </c>
      <c r="O7" s="16" t="s">
        <v>813</v>
      </c>
      <c r="P7" s="18" t="s">
        <v>800</v>
      </c>
      <c r="Q7" s="1" t="s">
        <v>814</v>
      </c>
      <c r="R7" s="1" t="n">
        <v>6</v>
      </c>
    </row>
    <row r="8" customFormat="false" ht="42" hidden="false" customHeight="true" outlineLevel="0" collapsed="false">
      <c r="A8" s="16" t="s">
        <v>815</v>
      </c>
      <c r="B8" s="16" t="s">
        <v>789</v>
      </c>
      <c r="C8" s="16" t="s">
        <v>816</v>
      </c>
      <c r="D8" s="16" t="s">
        <v>791</v>
      </c>
      <c r="E8" s="16" t="s">
        <v>817</v>
      </c>
      <c r="F8" s="16" t="s">
        <v>817</v>
      </c>
      <c r="G8" s="17" t="n">
        <v>0</v>
      </c>
      <c r="H8" s="16" t="s">
        <v>793</v>
      </c>
      <c r="I8" s="16" t="s">
        <v>818</v>
      </c>
      <c r="J8" s="16" t="s">
        <v>819</v>
      </c>
      <c r="K8" s="16" t="s">
        <v>796</v>
      </c>
      <c r="L8" s="16" t="s">
        <v>797</v>
      </c>
      <c r="M8" s="17" t="n">
        <v>1</v>
      </c>
      <c r="N8" s="16" t="s">
        <v>820</v>
      </c>
      <c r="O8" s="16" t="s">
        <v>821</v>
      </c>
      <c r="P8" s="18" t="s">
        <v>800</v>
      </c>
      <c r="Q8" s="1" t="s">
        <v>822</v>
      </c>
      <c r="R8" s="1" t="n">
        <v>4</v>
      </c>
    </row>
    <row r="9" customFormat="false" ht="42" hidden="false" customHeight="true" outlineLevel="0" collapsed="false">
      <c r="A9" s="16" t="s">
        <v>823</v>
      </c>
      <c r="B9" s="16" t="s">
        <v>789</v>
      </c>
      <c r="C9" s="16" t="s">
        <v>824</v>
      </c>
      <c r="D9" s="16" t="s">
        <v>791</v>
      </c>
      <c r="E9" s="16" t="s">
        <v>825</v>
      </c>
      <c r="F9" s="16" t="s">
        <v>826</v>
      </c>
      <c r="G9" s="17" t="n">
        <v>2</v>
      </c>
      <c r="H9" s="16" t="s">
        <v>793</v>
      </c>
      <c r="I9" s="16" t="s">
        <v>818</v>
      </c>
      <c r="J9" s="16" t="s">
        <v>827</v>
      </c>
      <c r="K9" s="16" t="s">
        <v>796</v>
      </c>
      <c r="L9" s="16" t="s">
        <v>797</v>
      </c>
      <c r="M9" s="17" t="n">
        <v>1</v>
      </c>
      <c r="N9" s="16" t="s">
        <v>828</v>
      </c>
      <c r="O9" s="16" t="s">
        <v>829</v>
      </c>
      <c r="P9" s="18" t="s">
        <v>800</v>
      </c>
      <c r="Q9" s="1" t="s">
        <v>830</v>
      </c>
      <c r="R9" s="1" t="n">
        <v>2</v>
      </c>
    </row>
    <row r="10" customFormat="false" ht="42" hidden="false" customHeight="true" outlineLevel="0" collapsed="false">
      <c r="A10" s="16" t="s">
        <v>831</v>
      </c>
      <c r="B10" s="16" t="s">
        <v>789</v>
      </c>
      <c r="C10" s="16" t="s">
        <v>832</v>
      </c>
      <c r="D10" s="16" t="s">
        <v>791</v>
      </c>
      <c r="E10" s="16" t="s">
        <v>833</v>
      </c>
      <c r="F10" s="16" t="s">
        <v>834</v>
      </c>
      <c r="G10" s="17" t="n">
        <v>2</v>
      </c>
      <c r="H10" s="16" t="s">
        <v>793</v>
      </c>
      <c r="I10" s="16" t="s">
        <v>835</v>
      </c>
      <c r="J10" s="16" t="s">
        <v>836</v>
      </c>
      <c r="K10" s="16" t="s">
        <v>837</v>
      </c>
      <c r="L10" s="16" t="s">
        <v>797</v>
      </c>
      <c r="M10" s="17" t="n">
        <v>1</v>
      </c>
      <c r="N10" s="16" t="s">
        <v>838</v>
      </c>
      <c r="O10" s="16" t="s">
        <v>839</v>
      </c>
      <c r="P10" s="18" t="s">
        <v>840</v>
      </c>
      <c r="Q10" s="1" t="s">
        <v>841</v>
      </c>
      <c r="R10" s="1" t="n">
        <v>2</v>
      </c>
    </row>
    <row r="11" customFormat="false" ht="42" hidden="false" customHeight="true" outlineLevel="0" collapsed="false">
      <c r="A11" s="16" t="s">
        <v>842</v>
      </c>
      <c r="B11" s="16" t="s">
        <v>789</v>
      </c>
      <c r="C11" s="16" t="s">
        <v>843</v>
      </c>
      <c r="D11" s="16" t="s">
        <v>791</v>
      </c>
      <c r="E11" s="16" t="s">
        <v>833</v>
      </c>
      <c r="F11" s="16" t="s">
        <v>711</v>
      </c>
      <c r="G11" s="17" t="n">
        <v>2</v>
      </c>
      <c r="H11" s="16" t="s">
        <v>793</v>
      </c>
      <c r="I11" s="16" t="s">
        <v>835</v>
      </c>
      <c r="J11" s="16" t="s">
        <v>836</v>
      </c>
      <c r="K11" s="16" t="s">
        <v>796</v>
      </c>
      <c r="L11" s="16" t="s">
        <v>797</v>
      </c>
      <c r="M11" s="17" t="n">
        <v>1</v>
      </c>
      <c r="N11" s="16" t="s">
        <v>844</v>
      </c>
      <c r="O11" s="16" t="s">
        <v>845</v>
      </c>
      <c r="P11" s="18" t="s">
        <v>840</v>
      </c>
      <c r="Q11" s="1" t="s">
        <v>846</v>
      </c>
      <c r="R11" s="1" t="n">
        <v>2</v>
      </c>
    </row>
    <row r="12" customFormat="false" ht="42" hidden="false" customHeight="true" outlineLevel="0" collapsed="false">
      <c r="A12" s="16" t="s">
        <v>847</v>
      </c>
      <c r="B12" s="16" t="s">
        <v>789</v>
      </c>
      <c r="C12" s="16" t="s">
        <v>848</v>
      </c>
      <c r="D12" s="16" t="s">
        <v>791</v>
      </c>
      <c r="E12" s="16" t="s">
        <v>817</v>
      </c>
      <c r="F12" s="16" t="s">
        <v>849</v>
      </c>
      <c r="G12" s="17" t="n">
        <v>2</v>
      </c>
      <c r="H12" s="16" t="s">
        <v>793</v>
      </c>
      <c r="I12" s="16" t="s">
        <v>850</v>
      </c>
      <c r="J12" s="16" t="s">
        <v>851</v>
      </c>
      <c r="K12" s="16" t="s">
        <v>796</v>
      </c>
      <c r="L12" s="16" t="s">
        <v>797</v>
      </c>
      <c r="M12" s="17" t="n">
        <v>1</v>
      </c>
      <c r="N12" s="16" t="s">
        <v>852</v>
      </c>
      <c r="O12" s="16" t="s">
        <v>853</v>
      </c>
      <c r="P12" s="18" t="s">
        <v>800</v>
      </c>
      <c r="Q12" s="1" t="s">
        <v>854</v>
      </c>
      <c r="R12" s="1" t="n">
        <v>3</v>
      </c>
    </row>
    <row r="13" customFormat="false" ht="42" hidden="false" customHeight="true" outlineLevel="0" collapsed="false">
      <c r="A13" s="16" t="s">
        <v>855</v>
      </c>
      <c r="B13" s="16" t="s">
        <v>789</v>
      </c>
      <c r="C13" s="16" t="s">
        <v>856</v>
      </c>
      <c r="D13" s="16" t="s">
        <v>791</v>
      </c>
      <c r="E13" s="16" t="s">
        <v>857</v>
      </c>
      <c r="F13" s="16" t="s">
        <v>699</v>
      </c>
      <c r="G13" s="17" t="n">
        <v>0</v>
      </c>
      <c r="H13" s="16" t="s">
        <v>793</v>
      </c>
      <c r="I13" s="16" t="s">
        <v>858</v>
      </c>
      <c r="J13" s="16" t="s">
        <v>859</v>
      </c>
      <c r="K13" s="16" t="s">
        <v>796</v>
      </c>
      <c r="L13" s="16" t="s">
        <v>797</v>
      </c>
      <c r="M13" s="17" t="n">
        <v>4</v>
      </c>
      <c r="N13" s="16" t="s">
        <v>860</v>
      </c>
      <c r="O13" s="16" t="s">
        <v>861</v>
      </c>
      <c r="P13" s="18" t="s">
        <v>800</v>
      </c>
      <c r="Q13" s="1" t="s">
        <v>862</v>
      </c>
      <c r="R13" s="1" t="n">
        <v>7</v>
      </c>
    </row>
    <row r="14" customFormat="false" ht="42" hidden="false" customHeight="true" outlineLevel="0" collapsed="false">
      <c r="A14" s="16" t="s">
        <v>863</v>
      </c>
      <c r="B14" s="16" t="s">
        <v>789</v>
      </c>
      <c r="C14" s="16" t="s">
        <v>864</v>
      </c>
      <c r="D14" s="16" t="s">
        <v>791</v>
      </c>
      <c r="E14" s="16" t="s">
        <v>865</v>
      </c>
      <c r="F14" s="16" t="s">
        <v>699</v>
      </c>
      <c r="G14" s="17" t="n">
        <v>0</v>
      </c>
      <c r="H14" s="16" t="s">
        <v>793</v>
      </c>
      <c r="I14" s="16" t="s">
        <v>866</v>
      </c>
      <c r="J14" s="16" t="s">
        <v>867</v>
      </c>
      <c r="K14" s="16" t="s">
        <v>796</v>
      </c>
      <c r="L14" s="16" t="s">
        <v>797</v>
      </c>
      <c r="M14" s="17" t="n">
        <v>2</v>
      </c>
      <c r="N14" s="16" t="s">
        <v>868</v>
      </c>
      <c r="O14" s="16" t="s">
        <v>869</v>
      </c>
      <c r="P14" s="18" t="s">
        <v>800</v>
      </c>
      <c r="Q14" s="1" t="s">
        <v>870</v>
      </c>
      <c r="R14" s="1" t="n">
        <v>2</v>
      </c>
    </row>
    <row r="15" customFormat="false" ht="42" hidden="false" customHeight="true" outlineLevel="0" collapsed="false">
      <c r="A15" s="16" t="s">
        <v>871</v>
      </c>
      <c r="B15" s="16" t="s">
        <v>789</v>
      </c>
      <c r="C15" s="16" t="s">
        <v>872</v>
      </c>
      <c r="D15" s="16" t="s">
        <v>791</v>
      </c>
      <c r="E15" s="16" t="s">
        <v>873</v>
      </c>
      <c r="F15" s="16" t="s">
        <v>697</v>
      </c>
      <c r="G15" s="17" t="n">
        <v>0</v>
      </c>
      <c r="H15" s="16" t="s">
        <v>793</v>
      </c>
      <c r="I15" s="16" t="s">
        <v>874</v>
      </c>
      <c r="J15" s="16" t="s">
        <v>875</v>
      </c>
      <c r="K15" s="16" t="s">
        <v>796</v>
      </c>
      <c r="L15" s="16" t="s">
        <v>797</v>
      </c>
      <c r="M15" s="17" t="n">
        <v>5</v>
      </c>
      <c r="N15" s="16" t="s">
        <v>876</v>
      </c>
      <c r="O15" s="16" t="s">
        <v>877</v>
      </c>
      <c r="P15" s="18" t="s">
        <v>840</v>
      </c>
      <c r="Q15" s="1" t="s">
        <v>878</v>
      </c>
      <c r="R15" s="1" t="n">
        <v>5</v>
      </c>
    </row>
    <row r="16" customFormat="false" ht="42" hidden="false" customHeight="true" outlineLevel="0" collapsed="false">
      <c r="A16" s="16" t="s">
        <v>879</v>
      </c>
      <c r="B16" s="16" t="s">
        <v>789</v>
      </c>
      <c r="C16" s="16" t="s">
        <v>880</v>
      </c>
      <c r="D16" s="16" t="s">
        <v>791</v>
      </c>
      <c r="E16" s="16" t="s">
        <v>881</v>
      </c>
      <c r="F16" s="16" t="s">
        <v>699</v>
      </c>
      <c r="G16" s="17" t="n">
        <v>0</v>
      </c>
      <c r="H16" s="16" t="s">
        <v>793</v>
      </c>
      <c r="I16" s="16" t="s">
        <v>882</v>
      </c>
      <c r="J16" s="16" t="s">
        <v>883</v>
      </c>
      <c r="K16" s="16" t="s">
        <v>796</v>
      </c>
      <c r="L16" s="16" t="s">
        <v>797</v>
      </c>
      <c r="M16" s="17" t="n">
        <v>11</v>
      </c>
      <c r="N16" s="16" t="s">
        <v>884</v>
      </c>
      <c r="O16" s="16" t="s">
        <v>885</v>
      </c>
      <c r="P16" s="18" t="s">
        <v>800</v>
      </c>
      <c r="Q16" s="1" t="s">
        <v>886</v>
      </c>
      <c r="R16" s="1" t="n">
        <v>11</v>
      </c>
    </row>
    <row r="17" customFormat="false" ht="42" hidden="false" customHeight="true" outlineLevel="0" collapsed="false">
      <c r="A17" s="16" t="s">
        <v>887</v>
      </c>
      <c r="B17" s="16" t="s">
        <v>888</v>
      </c>
      <c r="C17" s="16" t="s">
        <v>889</v>
      </c>
      <c r="D17" s="16" t="s">
        <v>791</v>
      </c>
      <c r="E17" s="16" t="s">
        <v>695</v>
      </c>
      <c r="F17" s="16" t="s">
        <v>695</v>
      </c>
      <c r="G17" s="17" t="n">
        <v>2</v>
      </c>
      <c r="H17" s="16" t="s">
        <v>890</v>
      </c>
      <c r="I17" s="16" t="s">
        <v>703</v>
      </c>
      <c r="J17" s="16" t="s">
        <v>891</v>
      </c>
      <c r="K17" s="16" t="s">
        <v>892</v>
      </c>
      <c r="L17" s="16" t="s">
        <v>893</v>
      </c>
      <c r="M17" s="17" t="n">
        <v>10000</v>
      </c>
      <c r="N17" s="16" t="s">
        <v>894</v>
      </c>
      <c r="O17" s="16" t="s">
        <v>895</v>
      </c>
      <c r="P17" s="18" t="s">
        <v>896</v>
      </c>
      <c r="R17" s="1" t="n">
        <v>0</v>
      </c>
    </row>
    <row r="18" customFormat="false" ht="42" hidden="false" customHeight="true" outlineLevel="0" collapsed="false">
      <c r="A18" s="16" t="s">
        <v>897</v>
      </c>
      <c r="B18" s="16" t="s">
        <v>888</v>
      </c>
      <c r="C18" s="16" t="s">
        <v>898</v>
      </c>
      <c r="D18" s="16" t="s">
        <v>791</v>
      </c>
      <c r="E18" s="16" t="s">
        <v>705</v>
      </c>
      <c r="F18" s="16" t="s">
        <v>705</v>
      </c>
      <c r="G18" s="17" t="n">
        <v>2</v>
      </c>
      <c r="H18" s="16" t="s">
        <v>890</v>
      </c>
      <c r="I18" s="16" t="s">
        <v>703</v>
      </c>
      <c r="J18" s="16" t="s">
        <v>891</v>
      </c>
      <c r="K18" s="16" t="s">
        <v>892</v>
      </c>
      <c r="L18" s="16" t="s">
        <v>893</v>
      </c>
      <c r="M18" s="17" t="n">
        <v>10000</v>
      </c>
      <c r="N18" s="16" t="s">
        <v>894</v>
      </c>
      <c r="O18" s="16" t="s">
        <v>895</v>
      </c>
      <c r="P18" s="18" t="s">
        <v>896</v>
      </c>
      <c r="R18" s="1" t="n">
        <v>0</v>
      </c>
    </row>
    <row r="19" customFormat="false" ht="42" hidden="false" customHeight="true" outlineLevel="0" collapsed="false">
      <c r="A19" s="16" t="s">
        <v>899</v>
      </c>
      <c r="B19" s="16" t="s">
        <v>888</v>
      </c>
      <c r="C19" s="16" t="s">
        <v>900</v>
      </c>
      <c r="D19" s="16" t="s">
        <v>791</v>
      </c>
      <c r="E19" s="16" t="s">
        <v>711</v>
      </c>
      <c r="F19" s="16" t="s">
        <v>711</v>
      </c>
      <c r="G19" s="17" t="n">
        <v>2</v>
      </c>
      <c r="H19" s="16" t="s">
        <v>890</v>
      </c>
      <c r="I19" s="16" t="s">
        <v>703</v>
      </c>
      <c r="J19" s="16" t="s">
        <v>891</v>
      </c>
      <c r="K19" s="16" t="s">
        <v>892</v>
      </c>
      <c r="L19" s="16" t="s">
        <v>893</v>
      </c>
      <c r="M19" s="17" t="n">
        <v>10000</v>
      </c>
      <c r="N19" s="16" t="s">
        <v>894</v>
      </c>
      <c r="O19" s="16" t="s">
        <v>895</v>
      </c>
      <c r="P19" s="18" t="s">
        <v>896</v>
      </c>
      <c r="R19" s="1" t="n">
        <v>0</v>
      </c>
    </row>
    <row r="20" customFormat="false" ht="42" hidden="false" customHeight="true" outlineLevel="0" collapsed="false">
      <c r="A20" s="16" t="s">
        <v>901</v>
      </c>
      <c r="B20" s="16" t="s">
        <v>888</v>
      </c>
      <c r="C20" s="16" t="s">
        <v>902</v>
      </c>
      <c r="D20" s="16" t="s">
        <v>791</v>
      </c>
      <c r="E20" s="16" t="s">
        <v>695</v>
      </c>
      <c r="F20" s="16" t="s">
        <v>705</v>
      </c>
      <c r="G20" s="17" t="n">
        <v>2</v>
      </c>
      <c r="H20" s="16" t="s">
        <v>890</v>
      </c>
      <c r="I20" s="16" t="s">
        <v>703</v>
      </c>
      <c r="J20" s="16" t="s">
        <v>891</v>
      </c>
      <c r="K20" s="16" t="s">
        <v>892</v>
      </c>
      <c r="L20" s="16" t="s">
        <v>893</v>
      </c>
      <c r="M20" s="17" t="n">
        <v>10000</v>
      </c>
      <c r="N20" s="16" t="s">
        <v>894</v>
      </c>
      <c r="O20" s="16" t="s">
        <v>895</v>
      </c>
      <c r="P20" s="18" t="s">
        <v>896</v>
      </c>
      <c r="R20" s="1" t="n">
        <v>0</v>
      </c>
    </row>
    <row r="21" customFormat="false" ht="42" hidden="false" customHeight="true" outlineLevel="0" collapsed="false">
      <c r="A21" s="16" t="s">
        <v>903</v>
      </c>
      <c r="B21" s="16" t="s">
        <v>888</v>
      </c>
      <c r="C21" s="16" t="s">
        <v>904</v>
      </c>
      <c r="D21" s="16" t="s">
        <v>791</v>
      </c>
      <c r="E21" s="16" t="s">
        <v>705</v>
      </c>
      <c r="F21" s="16" t="s">
        <v>695</v>
      </c>
      <c r="G21" s="17" t="n">
        <v>2</v>
      </c>
      <c r="H21" s="16" t="s">
        <v>890</v>
      </c>
      <c r="I21" s="16" t="s">
        <v>703</v>
      </c>
      <c r="J21" s="16" t="s">
        <v>891</v>
      </c>
      <c r="K21" s="16" t="s">
        <v>892</v>
      </c>
      <c r="L21" s="16" t="s">
        <v>893</v>
      </c>
      <c r="M21" s="17" t="n">
        <v>10000</v>
      </c>
      <c r="N21" s="16" t="s">
        <v>894</v>
      </c>
      <c r="O21" s="16" t="s">
        <v>895</v>
      </c>
      <c r="P21" s="18" t="s">
        <v>896</v>
      </c>
      <c r="R21" s="1" t="n">
        <v>0</v>
      </c>
    </row>
    <row r="22" customFormat="false" ht="42" hidden="false" customHeight="true" outlineLevel="0" collapsed="false">
      <c r="A22" s="16" t="s">
        <v>905</v>
      </c>
      <c r="B22" s="16" t="s">
        <v>888</v>
      </c>
      <c r="C22" s="16" t="s">
        <v>906</v>
      </c>
      <c r="D22" s="16" t="s">
        <v>791</v>
      </c>
      <c r="E22" s="16" t="s">
        <v>695</v>
      </c>
      <c r="F22" s="16" t="s">
        <v>711</v>
      </c>
      <c r="G22" s="17" t="n">
        <v>2</v>
      </c>
      <c r="H22" s="16" t="s">
        <v>890</v>
      </c>
      <c r="I22" s="16" t="s">
        <v>703</v>
      </c>
      <c r="J22" s="16" t="s">
        <v>891</v>
      </c>
      <c r="K22" s="16" t="s">
        <v>892</v>
      </c>
      <c r="L22" s="16" t="s">
        <v>893</v>
      </c>
      <c r="M22" s="17" t="n">
        <v>10000</v>
      </c>
      <c r="N22" s="16" t="s">
        <v>894</v>
      </c>
      <c r="O22" s="16" t="s">
        <v>895</v>
      </c>
      <c r="P22" s="18" t="s">
        <v>896</v>
      </c>
      <c r="R22" s="1" t="n">
        <v>0</v>
      </c>
    </row>
    <row r="23" customFormat="false" ht="42" hidden="false" customHeight="true" outlineLevel="0" collapsed="false">
      <c r="A23" s="16" t="s">
        <v>907</v>
      </c>
      <c r="B23" s="16" t="s">
        <v>888</v>
      </c>
      <c r="C23" s="16" t="s">
        <v>908</v>
      </c>
      <c r="D23" s="16" t="s">
        <v>791</v>
      </c>
      <c r="E23" s="16" t="s">
        <v>711</v>
      </c>
      <c r="F23" s="16" t="s">
        <v>695</v>
      </c>
      <c r="G23" s="17" t="n">
        <v>2</v>
      </c>
      <c r="H23" s="16" t="s">
        <v>890</v>
      </c>
      <c r="I23" s="16" t="s">
        <v>703</v>
      </c>
      <c r="J23" s="16" t="s">
        <v>891</v>
      </c>
      <c r="K23" s="16" t="s">
        <v>892</v>
      </c>
      <c r="L23" s="16" t="s">
        <v>893</v>
      </c>
      <c r="M23" s="17" t="n">
        <v>10000</v>
      </c>
      <c r="N23" s="16" t="s">
        <v>894</v>
      </c>
      <c r="O23" s="16" t="s">
        <v>895</v>
      </c>
      <c r="P23" s="18" t="s">
        <v>896</v>
      </c>
      <c r="R23" s="1" t="n">
        <v>0</v>
      </c>
    </row>
    <row r="24" customFormat="false" ht="42" hidden="false" customHeight="true" outlineLevel="0" collapsed="false">
      <c r="A24" s="16" t="s">
        <v>909</v>
      </c>
      <c r="B24" s="16" t="s">
        <v>888</v>
      </c>
      <c r="C24" s="16" t="s">
        <v>910</v>
      </c>
      <c r="D24" s="16" t="s">
        <v>791</v>
      </c>
      <c r="E24" s="16" t="s">
        <v>705</v>
      </c>
      <c r="F24" s="16" t="s">
        <v>711</v>
      </c>
      <c r="G24" s="17" t="n">
        <v>2</v>
      </c>
      <c r="H24" s="16" t="s">
        <v>890</v>
      </c>
      <c r="I24" s="16" t="s">
        <v>703</v>
      </c>
      <c r="J24" s="16" t="s">
        <v>891</v>
      </c>
      <c r="K24" s="16" t="s">
        <v>892</v>
      </c>
      <c r="L24" s="16" t="s">
        <v>893</v>
      </c>
      <c r="M24" s="17" t="n">
        <v>10000</v>
      </c>
      <c r="N24" s="16" t="s">
        <v>894</v>
      </c>
      <c r="O24" s="16" t="s">
        <v>895</v>
      </c>
      <c r="P24" s="18" t="s">
        <v>896</v>
      </c>
      <c r="R24" s="1" t="n">
        <v>0</v>
      </c>
    </row>
    <row r="25" customFormat="false" ht="42" hidden="false" customHeight="true" outlineLevel="0" collapsed="false">
      <c r="A25" s="16" t="s">
        <v>911</v>
      </c>
      <c r="B25" s="16" t="s">
        <v>888</v>
      </c>
      <c r="C25" s="16" t="s">
        <v>912</v>
      </c>
      <c r="D25" s="16" t="s">
        <v>791</v>
      </c>
      <c r="E25" s="16" t="s">
        <v>711</v>
      </c>
      <c r="F25" s="16" t="s">
        <v>705</v>
      </c>
      <c r="G25" s="17" t="n">
        <v>2</v>
      </c>
      <c r="H25" s="16" t="s">
        <v>890</v>
      </c>
      <c r="I25" s="16" t="s">
        <v>703</v>
      </c>
      <c r="J25" s="16" t="s">
        <v>891</v>
      </c>
      <c r="K25" s="16" t="s">
        <v>892</v>
      </c>
      <c r="L25" s="16" t="s">
        <v>893</v>
      </c>
      <c r="M25" s="17" t="n">
        <v>10000</v>
      </c>
      <c r="N25" s="16" t="s">
        <v>894</v>
      </c>
      <c r="O25" s="16" t="s">
        <v>895</v>
      </c>
      <c r="P25" s="18" t="s">
        <v>896</v>
      </c>
      <c r="R25" s="1" t="n">
        <v>0</v>
      </c>
    </row>
    <row r="26" customFormat="false" ht="42" hidden="false" customHeight="true" outlineLevel="0" collapsed="false">
      <c r="A26" s="16" t="s">
        <v>913</v>
      </c>
      <c r="B26" s="16" t="s">
        <v>914</v>
      </c>
      <c r="C26" s="16" t="s">
        <v>915</v>
      </c>
      <c r="D26" s="16" t="s">
        <v>791</v>
      </c>
      <c r="E26" s="16" t="s">
        <v>717</v>
      </c>
      <c r="F26" s="16" t="s">
        <v>695</v>
      </c>
      <c r="G26" s="17" t="n">
        <v>2</v>
      </c>
      <c r="H26" s="16" t="s">
        <v>793</v>
      </c>
      <c r="I26" s="16" t="s">
        <v>723</v>
      </c>
      <c r="J26" s="16" t="s">
        <v>720</v>
      </c>
      <c r="K26" s="16" t="s">
        <v>837</v>
      </c>
      <c r="L26" s="16" t="s">
        <v>893</v>
      </c>
      <c r="M26" s="17" t="n">
        <v>10000</v>
      </c>
      <c r="N26" s="16" t="s">
        <v>916</v>
      </c>
      <c r="O26" s="16" t="s">
        <v>917</v>
      </c>
      <c r="P26" s="18" t="s">
        <v>918</v>
      </c>
      <c r="Q26" s="1" t="s">
        <v>919</v>
      </c>
      <c r="R26" s="1" t="n">
        <v>2</v>
      </c>
    </row>
    <row r="27" customFormat="false" ht="42" hidden="false" customHeight="true" outlineLevel="0" collapsed="false">
      <c r="A27" s="16" t="s">
        <v>920</v>
      </c>
      <c r="B27" s="16" t="s">
        <v>914</v>
      </c>
      <c r="C27" s="16" t="s">
        <v>921</v>
      </c>
      <c r="D27" s="16" t="s">
        <v>791</v>
      </c>
      <c r="E27" s="16" t="s">
        <v>717</v>
      </c>
      <c r="F27" s="16" t="s">
        <v>711</v>
      </c>
      <c r="G27" s="17" t="n">
        <v>2</v>
      </c>
      <c r="H27" s="16" t="s">
        <v>793</v>
      </c>
      <c r="I27" s="16" t="s">
        <v>723</v>
      </c>
      <c r="J27" s="16" t="s">
        <v>720</v>
      </c>
      <c r="K27" s="16" t="s">
        <v>796</v>
      </c>
      <c r="L27" s="16" t="s">
        <v>893</v>
      </c>
      <c r="M27" s="17" t="n">
        <v>10000</v>
      </c>
      <c r="N27" s="16" t="s">
        <v>922</v>
      </c>
      <c r="O27" s="16" t="s">
        <v>923</v>
      </c>
      <c r="P27" s="18" t="s">
        <v>918</v>
      </c>
      <c r="Q27" s="1" t="s">
        <v>919</v>
      </c>
      <c r="R27" s="1" t="n">
        <v>6</v>
      </c>
    </row>
    <row r="28" customFormat="false" ht="42" hidden="false" customHeight="true" outlineLevel="0" collapsed="false">
      <c r="A28" s="16" t="s">
        <v>924</v>
      </c>
      <c r="B28" s="16" t="s">
        <v>914</v>
      </c>
      <c r="C28" s="16" t="s">
        <v>925</v>
      </c>
      <c r="D28" s="16" t="s">
        <v>791</v>
      </c>
      <c r="E28" s="16" t="s">
        <v>717</v>
      </c>
      <c r="F28" s="16" t="s">
        <v>926</v>
      </c>
      <c r="G28" s="17" t="n">
        <v>2</v>
      </c>
      <c r="H28" s="16" t="s">
        <v>793</v>
      </c>
      <c r="I28" s="16" t="s">
        <v>723</v>
      </c>
      <c r="J28" s="16" t="s">
        <v>927</v>
      </c>
      <c r="K28" s="16" t="s">
        <v>928</v>
      </c>
      <c r="L28" s="16" t="s">
        <v>893</v>
      </c>
      <c r="M28" s="17" t="n">
        <v>10000</v>
      </c>
      <c r="N28" s="16" t="s">
        <v>929</v>
      </c>
      <c r="O28" s="16" t="s">
        <v>930</v>
      </c>
      <c r="P28" s="18" t="s">
        <v>918</v>
      </c>
      <c r="Q28" s="1" t="s">
        <v>919</v>
      </c>
      <c r="R28" s="1" t="n">
        <v>2</v>
      </c>
    </row>
    <row r="29" customFormat="false" ht="42" hidden="false" customHeight="true" outlineLevel="0" collapsed="false">
      <c r="A29" s="16" t="s">
        <v>931</v>
      </c>
      <c r="B29" s="16" t="s">
        <v>914</v>
      </c>
      <c r="C29" s="16" t="s">
        <v>932</v>
      </c>
      <c r="D29" s="16" t="s">
        <v>791</v>
      </c>
      <c r="E29" s="16" t="s">
        <v>725</v>
      </c>
      <c r="F29" s="16" t="s">
        <v>711</v>
      </c>
      <c r="G29" s="17" t="n">
        <v>2</v>
      </c>
      <c r="H29" s="16" t="s">
        <v>793</v>
      </c>
      <c r="I29" s="16" t="s">
        <v>723</v>
      </c>
      <c r="J29" s="16" t="s">
        <v>933</v>
      </c>
      <c r="K29" s="16" t="s">
        <v>796</v>
      </c>
      <c r="L29" s="16" t="s">
        <v>893</v>
      </c>
      <c r="M29" s="17" t="n">
        <v>10000</v>
      </c>
      <c r="N29" s="16" t="s">
        <v>934</v>
      </c>
      <c r="O29" s="16" t="s">
        <v>935</v>
      </c>
      <c r="P29" s="18" t="s">
        <v>918</v>
      </c>
      <c r="Q29" s="1" t="s">
        <v>919</v>
      </c>
      <c r="R29" s="1" t="n">
        <v>6</v>
      </c>
    </row>
    <row r="30" customFormat="false" ht="42" hidden="false" customHeight="true" outlineLevel="0" collapsed="false">
      <c r="A30" s="16" t="s">
        <v>936</v>
      </c>
      <c r="B30" s="16" t="s">
        <v>914</v>
      </c>
      <c r="C30" s="16" t="s">
        <v>937</v>
      </c>
      <c r="D30" s="16" t="s">
        <v>791</v>
      </c>
      <c r="E30" s="16" t="s">
        <v>725</v>
      </c>
      <c r="F30" s="16" t="s">
        <v>926</v>
      </c>
      <c r="G30" s="17" t="n">
        <v>2</v>
      </c>
      <c r="H30" s="16" t="s">
        <v>793</v>
      </c>
      <c r="I30" s="16" t="s">
        <v>723</v>
      </c>
      <c r="J30" s="16" t="s">
        <v>927</v>
      </c>
      <c r="K30" s="16" t="s">
        <v>928</v>
      </c>
      <c r="L30" s="16" t="s">
        <v>893</v>
      </c>
      <c r="M30" s="17" t="n">
        <v>10000</v>
      </c>
      <c r="N30" s="16" t="s">
        <v>938</v>
      </c>
      <c r="O30" s="16" t="s">
        <v>939</v>
      </c>
      <c r="P30" s="18" t="s">
        <v>918</v>
      </c>
      <c r="Q30" s="1" t="s">
        <v>919</v>
      </c>
      <c r="R30" s="1" t="n">
        <v>2</v>
      </c>
    </row>
    <row r="31" customFormat="false" ht="42" hidden="false" customHeight="true" outlineLevel="0" collapsed="false">
      <c r="A31" s="16" t="s">
        <v>940</v>
      </c>
      <c r="B31" s="16" t="s">
        <v>914</v>
      </c>
      <c r="C31" s="16" t="s">
        <v>941</v>
      </c>
      <c r="D31" s="16" t="s">
        <v>791</v>
      </c>
      <c r="E31" s="16" t="s">
        <v>730</v>
      </c>
      <c r="F31" s="16" t="s">
        <v>705</v>
      </c>
      <c r="G31" s="17" t="n">
        <v>2</v>
      </c>
      <c r="H31" s="16" t="s">
        <v>793</v>
      </c>
      <c r="I31" s="16" t="s">
        <v>723</v>
      </c>
      <c r="J31" s="16" t="s">
        <v>732</v>
      </c>
      <c r="K31" s="16" t="s">
        <v>837</v>
      </c>
      <c r="L31" s="16" t="s">
        <v>893</v>
      </c>
      <c r="M31" s="17" t="n">
        <v>10000</v>
      </c>
      <c r="N31" s="16" t="s">
        <v>942</v>
      </c>
      <c r="O31" s="16" t="s">
        <v>943</v>
      </c>
      <c r="P31" s="18" t="s">
        <v>918</v>
      </c>
      <c r="Q31" s="1" t="s">
        <v>919</v>
      </c>
      <c r="R31" s="1" t="n">
        <v>2</v>
      </c>
    </row>
    <row r="32" customFormat="false" ht="42" hidden="false" customHeight="true" outlineLevel="0" collapsed="false">
      <c r="A32" s="16" t="s">
        <v>944</v>
      </c>
      <c r="B32" s="16" t="s">
        <v>914</v>
      </c>
      <c r="C32" s="16" t="s">
        <v>945</v>
      </c>
      <c r="D32" s="16" t="s">
        <v>791</v>
      </c>
      <c r="E32" s="16" t="s">
        <v>730</v>
      </c>
      <c r="F32" s="16" t="s">
        <v>711</v>
      </c>
      <c r="G32" s="17" t="n">
        <v>2</v>
      </c>
      <c r="H32" s="16" t="s">
        <v>793</v>
      </c>
      <c r="I32" s="16" t="s">
        <v>723</v>
      </c>
      <c r="J32" s="16" t="s">
        <v>732</v>
      </c>
      <c r="K32" s="16" t="s">
        <v>796</v>
      </c>
      <c r="L32" s="16" t="s">
        <v>893</v>
      </c>
      <c r="M32" s="17" t="n">
        <v>10000</v>
      </c>
      <c r="N32" s="16" t="s">
        <v>946</v>
      </c>
      <c r="O32" s="16" t="s">
        <v>947</v>
      </c>
      <c r="P32" s="18" t="s">
        <v>918</v>
      </c>
      <c r="Q32" s="1" t="s">
        <v>919</v>
      </c>
      <c r="R32" s="1" t="n">
        <v>8</v>
      </c>
    </row>
    <row r="33" customFormat="false" ht="42" hidden="false" customHeight="true" outlineLevel="0" collapsed="false">
      <c r="A33" s="16" t="s">
        <v>948</v>
      </c>
      <c r="B33" s="16" t="s">
        <v>914</v>
      </c>
      <c r="C33" s="16" t="s">
        <v>949</v>
      </c>
      <c r="D33" s="16" t="s">
        <v>791</v>
      </c>
      <c r="E33" s="16" t="s">
        <v>833</v>
      </c>
      <c r="F33" s="16" t="s">
        <v>711</v>
      </c>
      <c r="G33" s="17" t="n">
        <v>3</v>
      </c>
      <c r="H33" s="16" t="s">
        <v>793</v>
      </c>
      <c r="I33" s="16" t="s">
        <v>950</v>
      </c>
      <c r="J33" s="16" t="s">
        <v>951</v>
      </c>
      <c r="K33" s="16" t="s">
        <v>796</v>
      </c>
      <c r="L33" s="16" t="s">
        <v>893</v>
      </c>
      <c r="M33" s="17" t="n">
        <v>10000</v>
      </c>
      <c r="N33" s="16" t="s">
        <v>952</v>
      </c>
      <c r="O33" s="16" t="s">
        <v>953</v>
      </c>
      <c r="P33" s="18" t="s">
        <v>896</v>
      </c>
      <c r="R33" s="1" t="n">
        <v>0</v>
      </c>
    </row>
    <row r="34" customFormat="false" ht="42" hidden="false" customHeight="true" outlineLevel="0" collapsed="false">
      <c r="A34" s="16" t="s">
        <v>954</v>
      </c>
      <c r="B34" s="16" t="s">
        <v>914</v>
      </c>
      <c r="C34" s="16" t="s">
        <v>955</v>
      </c>
      <c r="D34" s="16" t="s">
        <v>791</v>
      </c>
      <c r="E34" s="16" t="s">
        <v>956</v>
      </c>
      <c r="F34" s="16" t="s">
        <v>926</v>
      </c>
      <c r="G34" s="17" t="n">
        <v>3</v>
      </c>
      <c r="H34" s="16" t="s">
        <v>793</v>
      </c>
      <c r="I34" s="16" t="s">
        <v>957</v>
      </c>
      <c r="J34" s="16" t="s">
        <v>958</v>
      </c>
      <c r="K34" s="16" t="s">
        <v>928</v>
      </c>
      <c r="L34" s="16" t="s">
        <v>893</v>
      </c>
      <c r="M34" s="17" t="n">
        <v>10000</v>
      </c>
      <c r="N34" s="16" t="s">
        <v>959</v>
      </c>
      <c r="O34" s="16" t="s">
        <v>960</v>
      </c>
      <c r="P34" s="18" t="s">
        <v>896</v>
      </c>
      <c r="R34" s="1" t="n">
        <v>0</v>
      </c>
    </row>
    <row r="35" customFormat="false" ht="42" hidden="false" customHeight="true" outlineLevel="0" collapsed="false">
      <c r="A35" s="16" t="s">
        <v>961</v>
      </c>
      <c r="B35" s="16" t="s">
        <v>962</v>
      </c>
      <c r="C35" s="16" t="s">
        <v>963</v>
      </c>
      <c r="D35" s="16" t="s">
        <v>791</v>
      </c>
      <c r="E35" s="16" t="s">
        <v>735</v>
      </c>
      <c r="F35" s="16" t="s">
        <v>964</v>
      </c>
      <c r="G35" s="17" t="n">
        <v>5</v>
      </c>
      <c r="H35" s="16" t="s">
        <v>965</v>
      </c>
      <c r="I35" s="16" t="s">
        <v>739</v>
      </c>
      <c r="J35" s="16" t="s">
        <v>368</v>
      </c>
      <c r="K35" s="16" t="s">
        <v>837</v>
      </c>
      <c r="L35" s="16" t="s">
        <v>893</v>
      </c>
      <c r="M35" s="17" t="n">
        <v>10000</v>
      </c>
      <c r="N35" s="16" t="s">
        <v>966</v>
      </c>
      <c r="O35" s="16" t="s">
        <v>967</v>
      </c>
      <c r="P35" s="18" t="s">
        <v>896</v>
      </c>
      <c r="R35" s="1" t="n">
        <v>0</v>
      </c>
    </row>
    <row r="36" customFormat="false" ht="42" hidden="false" customHeight="true" outlineLevel="0" collapsed="false">
      <c r="A36" s="16" t="s">
        <v>968</v>
      </c>
      <c r="B36" s="16" t="s">
        <v>962</v>
      </c>
      <c r="C36" s="16" t="s">
        <v>969</v>
      </c>
      <c r="D36" s="16" t="s">
        <v>791</v>
      </c>
      <c r="E36" s="16" t="s">
        <v>735</v>
      </c>
      <c r="F36" s="16" t="s">
        <v>705</v>
      </c>
      <c r="G36" s="17" t="n">
        <v>4</v>
      </c>
      <c r="H36" s="16" t="s">
        <v>793</v>
      </c>
      <c r="I36" s="16" t="s">
        <v>739</v>
      </c>
      <c r="J36" s="16" t="s">
        <v>368</v>
      </c>
      <c r="K36" s="16" t="s">
        <v>796</v>
      </c>
      <c r="L36" s="16" t="s">
        <v>893</v>
      </c>
      <c r="M36" s="17" t="n">
        <v>10000</v>
      </c>
      <c r="N36" s="16" t="s">
        <v>970</v>
      </c>
      <c r="O36" s="16" t="s">
        <v>971</v>
      </c>
      <c r="P36" s="18" t="s">
        <v>896</v>
      </c>
      <c r="R36" s="1" t="n">
        <v>0</v>
      </c>
    </row>
    <row r="37" customFormat="false" ht="42" hidden="false" customHeight="true" outlineLevel="0" collapsed="false">
      <c r="A37" s="16" t="s">
        <v>972</v>
      </c>
      <c r="B37" s="16" t="s">
        <v>962</v>
      </c>
      <c r="C37" s="16" t="s">
        <v>973</v>
      </c>
      <c r="D37" s="16" t="s">
        <v>791</v>
      </c>
      <c r="E37" s="16" t="s">
        <v>974</v>
      </c>
      <c r="F37" s="16" t="s">
        <v>975</v>
      </c>
      <c r="G37" s="17" t="n">
        <v>5</v>
      </c>
      <c r="H37" s="16" t="s">
        <v>793</v>
      </c>
      <c r="I37" s="16" t="s">
        <v>976</v>
      </c>
      <c r="J37" s="16" t="s">
        <v>977</v>
      </c>
      <c r="K37" s="16" t="s">
        <v>928</v>
      </c>
      <c r="L37" s="16" t="s">
        <v>893</v>
      </c>
      <c r="M37" s="17" t="n">
        <v>10000</v>
      </c>
      <c r="N37" s="16" t="s">
        <v>978</v>
      </c>
      <c r="O37" s="16" t="s">
        <v>979</v>
      </c>
      <c r="P37" s="18" t="s">
        <v>896</v>
      </c>
      <c r="R37" s="1" t="n">
        <v>0</v>
      </c>
    </row>
    <row r="38" customFormat="false" ht="42" hidden="false" customHeight="true" outlineLevel="0" collapsed="false">
      <c r="A38" s="16" t="s">
        <v>980</v>
      </c>
      <c r="B38" s="16" t="s">
        <v>962</v>
      </c>
      <c r="C38" s="16" t="s">
        <v>981</v>
      </c>
      <c r="D38" s="16" t="s">
        <v>791</v>
      </c>
      <c r="E38" s="16" t="s">
        <v>741</v>
      </c>
      <c r="F38" s="16" t="s">
        <v>695</v>
      </c>
      <c r="G38" s="17" t="n">
        <v>4</v>
      </c>
      <c r="H38" s="16" t="s">
        <v>793</v>
      </c>
      <c r="I38" s="16" t="s">
        <v>739</v>
      </c>
      <c r="J38" s="16" t="s">
        <v>374</v>
      </c>
      <c r="K38" s="16" t="s">
        <v>837</v>
      </c>
      <c r="L38" s="16" t="s">
        <v>893</v>
      </c>
      <c r="M38" s="17" t="n">
        <v>10000</v>
      </c>
      <c r="N38" s="16" t="s">
        <v>982</v>
      </c>
      <c r="O38" s="16" t="s">
        <v>983</v>
      </c>
      <c r="P38" s="18" t="s">
        <v>896</v>
      </c>
      <c r="R38" s="1" t="n">
        <v>0</v>
      </c>
    </row>
    <row r="39" customFormat="false" ht="42" hidden="false" customHeight="true" outlineLevel="0" collapsed="false">
      <c r="A39" s="16" t="s">
        <v>984</v>
      </c>
      <c r="B39" s="16" t="s">
        <v>962</v>
      </c>
      <c r="C39" s="16" t="s">
        <v>985</v>
      </c>
      <c r="D39" s="16" t="s">
        <v>791</v>
      </c>
      <c r="E39" s="16" t="s">
        <v>741</v>
      </c>
      <c r="F39" s="16" t="s">
        <v>735</v>
      </c>
      <c r="G39" s="17" t="n">
        <v>4</v>
      </c>
      <c r="H39" s="16" t="s">
        <v>965</v>
      </c>
      <c r="I39" s="16" t="s">
        <v>739</v>
      </c>
      <c r="J39" s="16" t="s">
        <v>986</v>
      </c>
      <c r="K39" s="16" t="s">
        <v>796</v>
      </c>
      <c r="L39" s="16" t="s">
        <v>893</v>
      </c>
      <c r="M39" s="17" t="n">
        <v>10000</v>
      </c>
      <c r="N39" s="16" t="s">
        <v>987</v>
      </c>
      <c r="O39" s="16" t="s">
        <v>988</v>
      </c>
      <c r="P39" s="18" t="s">
        <v>896</v>
      </c>
      <c r="R39" s="1" t="n">
        <v>0</v>
      </c>
    </row>
    <row r="40" customFormat="false" ht="42" hidden="false" customHeight="true" outlineLevel="0" collapsed="false">
      <c r="A40" s="16" t="s">
        <v>989</v>
      </c>
      <c r="B40" s="16" t="s">
        <v>962</v>
      </c>
      <c r="C40" s="16" t="s">
        <v>990</v>
      </c>
      <c r="D40" s="16" t="s">
        <v>791</v>
      </c>
      <c r="E40" s="16" t="s">
        <v>991</v>
      </c>
      <c r="F40" s="16" t="s">
        <v>991</v>
      </c>
      <c r="G40" s="17" t="n">
        <v>4</v>
      </c>
      <c r="H40" s="16" t="s">
        <v>965</v>
      </c>
      <c r="I40" s="16" t="s">
        <v>739</v>
      </c>
      <c r="J40" s="16" t="s">
        <v>992</v>
      </c>
      <c r="K40" s="16" t="s">
        <v>796</v>
      </c>
      <c r="L40" s="16" t="s">
        <v>893</v>
      </c>
      <c r="M40" s="17" t="n">
        <v>10000</v>
      </c>
      <c r="N40" s="16" t="s">
        <v>993</v>
      </c>
      <c r="O40" s="16" t="s">
        <v>994</v>
      </c>
      <c r="P40" s="18" t="s">
        <v>896</v>
      </c>
      <c r="R40" s="1" t="n">
        <v>0</v>
      </c>
    </row>
    <row r="41" customFormat="false" ht="42" hidden="false" customHeight="true" outlineLevel="0" collapsed="false">
      <c r="A41" s="16" t="s">
        <v>995</v>
      </c>
      <c r="B41" s="16" t="s">
        <v>962</v>
      </c>
      <c r="C41" s="16" t="s">
        <v>996</v>
      </c>
      <c r="D41" s="16" t="s">
        <v>791</v>
      </c>
      <c r="E41" s="16" t="s">
        <v>997</v>
      </c>
      <c r="F41" s="16" t="s">
        <v>705</v>
      </c>
      <c r="G41" s="17" t="n">
        <v>4</v>
      </c>
      <c r="H41" s="16" t="s">
        <v>998</v>
      </c>
      <c r="I41" s="16" t="s">
        <v>999</v>
      </c>
      <c r="J41" s="16" t="s">
        <v>1000</v>
      </c>
      <c r="K41" s="16" t="s">
        <v>796</v>
      </c>
      <c r="L41" s="16" t="s">
        <v>1001</v>
      </c>
      <c r="M41" s="17" t="n">
        <v>10000</v>
      </c>
      <c r="N41" s="16" t="s">
        <v>1002</v>
      </c>
      <c r="O41" s="16" t="s">
        <v>1003</v>
      </c>
      <c r="P41" s="18" t="s">
        <v>896</v>
      </c>
      <c r="R41" s="1" t="n">
        <v>0</v>
      </c>
    </row>
    <row r="42" customFormat="false" ht="42" hidden="false" customHeight="true" outlineLevel="0" collapsed="false">
      <c r="A42" s="16" t="s">
        <v>1004</v>
      </c>
      <c r="B42" s="16" t="s">
        <v>962</v>
      </c>
      <c r="C42" s="16" t="s">
        <v>1005</v>
      </c>
      <c r="D42" s="16" t="s">
        <v>791</v>
      </c>
      <c r="E42" s="16" t="s">
        <v>1006</v>
      </c>
      <c r="F42" s="16" t="s">
        <v>1007</v>
      </c>
      <c r="G42" s="17" t="n">
        <v>8</v>
      </c>
      <c r="H42" s="16" t="s">
        <v>1008</v>
      </c>
      <c r="I42" s="16" t="s">
        <v>1009</v>
      </c>
      <c r="J42" s="16" t="s">
        <v>1010</v>
      </c>
      <c r="K42" s="16" t="s">
        <v>796</v>
      </c>
      <c r="L42" s="16" t="s">
        <v>893</v>
      </c>
      <c r="M42" s="17" t="n">
        <v>10000</v>
      </c>
      <c r="N42" s="16" t="s">
        <v>1011</v>
      </c>
      <c r="O42" s="16" t="s">
        <v>1012</v>
      </c>
      <c r="P42" s="18" t="s">
        <v>896</v>
      </c>
      <c r="R42" s="1" t="n">
        <v>0</v>
      </c>
    </row>
    <row r="43" customFormat="false" ht="42" hidden="false" customHeight="true" outlineLevel="0" collapsed="false">
      <c r="A43" s="16" t="s">
        <v>1013</v>
      </c>
      <c r="B43" s="16" t="s">
        <v>1014</v>
      </c>
      <c r="C43" s="16" t="s">
        <v>1015</v>
      </c>
      <c r="D43" s="16" t="s">
        <v>791</v>
      </c>
      <c r="E43" s="16" t="s">
        <v>750</v>
      </c>
      <c r="F43" s="16" t="s">
        <v>705</v>
      </c>
      <c r="G43" s="17" t="n">
        <v>2</v>
      </c>
      <c r="H43" s="16" t="s">
        <v>793</v>
      </c>
      <c r="I43" s="16" t="s">
        <v>1016</v>
      </c>
      <c r="J43" s="16" t="s">
        <v>1017</v>
      </c>
      <c r="K43" s="16" t="s">
        <v>796</v>
      </c>
      <c r="L43" s="16" t="s">
        <v>893</v>
      </c>
      <c r="M43" s="17" t="n">
        <v>10000</v>
      </c>
      <c r="N43" s="16" t="s">
        <v>1018</v>
      </c>
      <c r="O43" s="16" t="s">
        <v>1019</v>
      </c>
      <c r="P43" s="18" t="s">
        <v>896</v>
      </c>
      <c r="R43" s="1" t="n">
        <v>0</v>
      </c>
    </row>
    <row r="44" customFormat="false" ht="42" hidden="false" customHeight="true" outlineLevel="0" collapsed="false">
      <c r="A44" s="16" t="s">
        <v>1020</v>
      </c>
      <c r="B44" s="16" t="s">
        <v>1014</v>
      </c>
      <c r="C44" s="16" t="s">
        <v>1021</v>
      </c>
      <c r="D44" s="16" t="s">
        <v>791</v>
      </c>
      <c r="E44" s="16" t="s">
        <v>750</v>
      </c>
      <c r="F44" s="16" t="s">
        <v>695</v>
      </c>
      <c r="G44" s="17" t="n">
        <v>2</v>
      </c>
      <c r="H44" s="16" t="s">
        <v>793</v>
      </c>
      <c r="I44" s="16" t="s">
        <v>1016</v>
      </c>
      <c r="J44" s="16" t="s">
        <v>1017</v>
      </c>
      <c r="K44" s="16" t="s">
        <v>837</v>
      </c>
      <c r="L44" s="16" t="s">
        <v>893</v>
      </c>
      <c r="M44" s="17" t="n">
        <v>10000</v>
      </c>
      <c r="N44" s="16" t="s">
        <v>1022</v>
      </c>
      <c r="O44" s="16" t="s">
        <v>1023</v>
      </c>
      <c r="P44" s="18" t="s">
        <v>896</v>
      </c>
      <c r="R44" s="1" t="n">
        <v>0</v>
      </c>
    </row>
    <row r="45" customFormat="false" ht="42" hidden="false" customHeight="true" outlineLevel="0" collapsed="false">
      <c r="A45" s="16" t="s">
        <v>1024</v>
      </c>
      <c r="B45" s="16" t="s">
        <v>1014</v>
      </c>
      <c r="C45" s="16" t="s">
        <v>1025</v>
      </c>
      <c r="D45" s="16" t="s">
        <v>791</v>
      </c>
      <c r="E45" s="16" t="s">
        <v>756</v>
      </c>
      <c r="F45" s="16" t="s">
        <v>705</v>
      </c>
      <c r="G45" s="17" t="n">
        <v>2</v>
      </c>
      <c r="H45" s="16" t="s">
        <v>793</v>
      </c>
      <c r="I45" s="16" t="s">
        <v>1026</v>
      </c>
      <c r="J45" s="16" t="s">
        <v>1027</v>
      </c>
      <c r="K45" s="16" t="s">
        <v>796</v>
      </c>
      <c r="L45" s="16" t="s">
        <v>893</v>
      </c>
      <c r="M45" s="17" t="n">
        <v>10000</v>
      </c>
      <c r="N45" s="16" t="s">
        <v>1028</v>
      </c>
      <c r="O45" s="16" t="s">
        <v>1029</v>
      </c>
      <c r="P45" s="18" t="s">
        <v>896</v>
      </c>
      <c r="R45" s="1" t="n">
        <v>0</v>
      </c>
    </row>
    <row r="46" customFormat="false" ht="42" hidden="false" customHeight="true" outlineLevel="0" collapsed="false">
      <c r="A46" s="16" t="s">
        <v>1030</v>
      </c>
      <c r="B46" s="16" t="s">
        <v>1014</v>
      </c>
      <c r="C46" s="16" t="s">
        <v>1031</v>
      </c>
      <c r="D46" s="16" t="s">
        <v>791</v>
      </c>
      <c r="E46" s="16" t="s">
        <v>756</v>
      </c>
      <c r="F46" s="16" t="s">
        <v>705</v>
      </c>
      <c r="G46" s="17" t="n">
        <v>2</v>
      </c>
      <c r="H46" s="16" t="s">
        <v>793</v>
      </c>
      <c r="I46" s="16" t="s">
        <v>1032</v>
      </c>
      <c r="J46" s="16" t="s">
        <v>1033</v>
      </c>
      <c r="K46" s="16" t="s">
        <v>796</v>
      </c>
      <c r="L46" s="16" t="s">
        <v>893</v>
      </c>
      <c r="M46" s="17" t="n">
        <v>10000</v>
      </c>
      <c r="N46" s="16" t="s">
        <v>1034</v>
      </c>
      <c r="O46" s="16" t="s">
        <v>1035</v>
      </c>
      <c r="P46" s="18" t="s">
        <v>896</v>
      </c>
      <c r="R46" s="1" t="n">
        <v>0</v>
      </c>
    </row>
    <row r="47" customFormat="false" ht="42" hidden="false" customHeight="true" outlineLevel="0" collapsed="false">
      <c r="A47" s="16" t="s">
        <v>1036</v>
      </c>
      <c r="B47" s="16" t="s">
        <v>1014</v>
      </c>
      <c r="C47" s="16" t="s">
        <v>1037</v>
      </c>
      <c r="D47" s="16" t="s">
        <v>791</v>
      </c>
      <c r="E47" s="16" t="s">
        <v>760</v>
      </c>
      <c r="F47" s="16" t="s">
        <v>705</v>
      </c>
      <c r="G47" s="17" t="n">
        <v>2</v>
      </c>
      <c r="H47" s="16" t="s">
        <v>793</v>
      </c>
      <c r="I47" s="16" t="s">
        <v>754</v>
      </c>
      <c r="J47" s="16" t="s">
        <v>1038</v>
      </c>
      <c r="K47" s="16" t="s">
        <v>796</v>
      </c>
      <c r="L47" s="16" t="s">
        <v>893</v>
      </c>
      <c r="M47" s="17" t="n">
        <v>10000</v>
      </c>
      <c r="N47" s="16" t="s">
        <v>1039</v>
      </c>
      <c r="O47" s="16" t="s">
        <v>1040</v>
      </c>
      <c r="P47" s="18" t="s">
        <v>840</v>
      </c>
      <c r="Q47" s="1" t="s">
        <v>1041</v>
      </c>
      <c r="R47" s="1" t="n">
        <v>10</v>
      </c>
    </row>
    <row r="48" customFormat="false" ht="42" hidden="false" customHeight="true" outlineLevel="0" collapsed="false">
      <c r="A48" s="16" t="s">
        <v>1042</v>
      </c>
      <c r="B48" s="16" t="s">
        <v>1014</v>
      </c>
      <c r="C48" s="16" t="s">
        <v>1043</v>
      </c>
      <c r="D48" s="16" t="s">
        <v>791</v>
      </c>
      <c r="E48" s="16" t="s">
        <v>760</v>
      </c>
      <c r="F48" s="16" t="s">
        <v>1044</v>
      </c>
      <c r="G48" s="17" t="n">
        <v>2</v>
      </c>
      <c r="H48" s="16" t="s">
        <v>793</v>
      </c>
      <c r="I48" s="16" t="s">
        <v>1045</v>
      </c>
      <c r="J48" s="16" t="s">
        <v>1046</v>
      </c>
      <c r="K48" s="16" t="s">
        <v>928</v>
      </c>
      <c r="L48" s="16" t="s">
        <v>1001</v>
      </c>
      <c r="M48" s="17" t="n">
        <v>10000</v>
      </c>
      <c r="N48" s="16" t="s">
        <v>1047</v>
      </c>
      <c r="O48" s="16" t="s">
        <v>1048</v>
      </c>
      <c r="P48" s="18" t="s">
        <v>896</v>
      </c>
      <c r="R48" s="1" t="n">
        <v>0</v>
      </c>
    </row>
    <row r="49" customFormat="false" ht="42" hidden="false" customHeight="true" outlineLevel="0" collapsed="false">
      <c r="A49" s="16" t="s">
        <v>1049</v>
      </c>
      <c r="B49" s="16" t="s">
        <v>1014</v>
      </c>
      <c r="C49" s="16" t="s">
        <v>1050</v>
      </c>
      <c r="D49" s="16" t="s">
        <v>791</v>
      </c>
      <c r="E49" s="16" t="s">
        <v>1051</v>
      </c>
      <c r="F49" s="16" t="s">
        <v>1044</v>
      </c>
      <c r="G49" s="17" t="n">
        <v>2</v>
      </c>
      <c r="H49" s="16" t="s">
        <v>793</v>
      </c>
      <c r="I49" s="16" t="s">
        <v>1052</v>
      </c>
      <c r="J49" s="16" t="s">
        <v>1046</v>
      </c>
      <c r="K49" s="16" t="s">
        <v>928</v>
      </c>
      <c r="L49" s="16" t="s">
        <v>797</v>
      </c>
      <c r="M49" s="17" t="n">
        <v>1</v>
      </c>
      <c r="N49" s="16" t="s">
        <v>1053</v>
      </c>
      <c r="O49" s="16" t="s">
        <v>1054</v>
      </c>
      <c r="P49" s="18" t="s">
        <v>896</v>
      </c>
      <c r="R49" s="1" t="n">
        <v>0</v>
      </c>
    </row>
    <row r="50" customFormat="false" ht="42" hidden="false" customHeight="true" outlineLevel="0" collapsed="false">
      <c r="A50" s="16" t="s">
        <v>1055</v>
      </c>
      <c r="B50" s="16" t="s">
        <v>1014</v>
      </c>
      <c r="C50" s="16" t="s">
        <v>1056</v>
      </c>
      <c r="D50" s="16" t="s">
        <v>791</v>
      </c>
      <c r="E50" s="16" t="s">
        <v>1057</v>
      </c>
      <c r="F50" s="16" t="s">
        <v>705</v>
      </c>
      <c r="G50" s="17" t="n">
        <v>2</v>
      </c>
      <c r="H50" s="16" t="s">
        <v>793</v>
      </c>
      <c r="I50" s="16" t="s">
        <v>1058</v>
      </c>
      <c r="J50" s="16" t="s">
        <v>1059</v>
      </c>
      <c r="K50" s="16" t="s">
        <v>796</v>
      </c>
      <c r="L50" s="16" t="s">
        <v>893</v>
      </c>
      <c r="M50" s="17" t="n">
        <v>10000</v>
      </c>
      <c r="N50" s="16" t="s">
        <v>1060</v>
      </c>
      <c r="O50" s="16" t="s">
        <v>1061</v>
      </c>
      <c r="P50" s="18" t="s">
        <v>896</v>
      </c>
      <c r="R50" s="1" t="n">
        <v>0</v>
      </c>
    </row>
    <row r="51" customFormat="false" ht="42" hidden="false" customHeight="true" outlineLevel="0" collapsed="false">
      <c r="A51" s="16" t="s">
        <v>1062</v>
      </c>
      <c r="B51" s="16" t="s">
        <v>1063</v>
      </c>
      <c r="C51" s="16" t="s">
        <v>1064</v>
      </c>
      <c r="D51" s="16" t="s">
        <v>791</v>
      </c>
      <c r="E51" s="16" t="s">
        <v>1065</v>
      </c>
      <c r="F51" s="16" t="s">
        <v>699</v>
      </c>
      <c r="G51" s="17" t="n">
        <v>0</v>
      </c>
      <c r="H51" s="16" t="s">
        <v>1066</v>
      </c>
      <c r="I51" s="16" t="s">
        <v>1067</v>
      </c>
      <c r="J51" s="16" t="s">
        <v>1068</v>
      </c>
      <c r="K51" s="16" t="s">
        <v>796</v>
      </c>
      <c r="L51" s="16" t="s">
        <v>797</v>
      </c>
      <c r="M51" s="17" t="n">
        <v>4</v>
      </c>
      <c r="N51" s="16" t="s">
        <v>1069</v>
      </c>
      <c r="O51" s="16" t="s">
        <v>1070</v>
      </c>
      <c r="P51" s="18" t="s">
        <v>896</v>
      </c>
      <c r="R51" s="1" t="n">
        <v>0</v>
      </c>
    </row>
    <row r="52" customFormat="false" ht="42" hidden="false" customHeight="true" outlineLevel="0" collapsed="false">
      <c r="A52" s="16" t="s">
        <v>1071</v>
      </c>
      <c r="B52" s="16" t="s">
        <v>1063</v>
      </c>
      <c r="C52" s="16" t="s">
        <v>1072</v>
      </c>
      <c r="D52" s="16" t="s">
        <v>791</v>
      </c>
      <c r="E52" s="16" t="s">
        <v>1073</v>
      </c>
      <c r="F52" s="16" t="s">
        <v>849</v>
      </c>
      <c r="G52" s="17" t="n">
        <v>0</v>
      </c>
      <c r="H52" s="16" t="s">
        <v>1066</v>
      </c>
      <c r="I52" s="16" t="s">
        <v>1074</v>
      </c>
      <c r="J52" s="16" t="s">
        <v>1075</v>
      </c>
      <c r="K52" s="16" t="s">
        <v>796</v>
      </c>
      <c r="L52" s="16" t="s">
        <v>893</v>
      </c>
      <c r="M52" s="17" t="n">
        <v>10000</v>
      </c>
      <c r="N52" s="16" t="s">
        <v>1076</v>
      </c>
      <c r="O52" s="16" t="s">
        <v>1077</v>
      </c>
      <c r="P52" s="18" t="s">
        <v>896</v>
      </c>
      <c r="R52" s="1" t="n">
        <v>0</v>
      </c>
    </row>
    <row r="53" customFormat="false" ht="42" hidden="false" customHeight="true" outlineLevel="0" collapsed="false">
      <c r="A53" s="16" t="s">
        <v>1078</v>
      </c>
      <c r="B53" s="16" t="s">
        <v>1063</v>
      </c>
      <c r="C53" s="16" t="s">
        <v>1079</v>
      </c>
      <c r="D53" s="16" t="s">
        <v>791</v>
      </c>
      <c r="E53" s="16" t="s">
        <v>1080</v>
      </c>
      <c r="F53" s="16" t="s">
        <v>849</v>
      </c>
      <c r="G53" s="17" t="n">
        <v>0</v>
      </c>
      <c r="H53" s="16" t="s">
        <v>1066</v>
      </c>
      <c r="I53" s="16" t="s">
        <v>1074</v>
      </c>
      <c r="J53" s="16" t="s">
        <v>1081</v>
      </c>
      <c r="K53" s="16" t="s">
        <v>928</v>
      </c>
      <c r="L53" s="16" t="s">
        <v>893</v>
      </c>
      <c r="M53" s="17" t="n">
        <v>10000</v>
      </c>
      <c r="N53" s="16" t="s">
        <v>1082</v>
      </c>
      <c r="O53" s="16" t="s">
        <v>1083</v>
      </c>
      <c r="P53" s="18" t="s">
        <v>896</v>
      </c>
      <c r="R53" s="1" t="n">
        <v>0</v>
      </c>
    </row>
    <row r="54" customFormat="false" ht="42" hidden="false" customHeight="true" outlineLevel="0" collapsed="false">
      <c r="A54" s="16" t="s">
        <v>1084</v>
      </c>
      <c r="B54" s="16" t="s">
        <v>1063</v>
      </c>
      <c r="C54" s="16" t="s">
        <v>1085</v>
      </c>
      <c r="D54" s="16" t="s">
        <v>791</v>
      </c>
      <c r="E54" s="16" t="s">
        <v>1086</v>
      </c>
      <c r="F54" s="16" t="s">
        <v>699</v>
      </c>
      <c r="G54" s="17" t="n">
        <v>0</v>
      </c>
      <c r="H54" s="16" t="s">
        <v>1066</v>
      </c>
      <c r="I54" s="16" t="s">
        <v>1087</v>
      </c>
      <c r="J54" s="16" t="s">
        <v>1088</v>
      </c>
      <c r="K54" s="16" t="s">
        <v>928</v>
      </c>
      <c r="L54" s="16" t="s">
        <v>797</v>
      </c>
      <c r="M54" s="17" t="n">
        <v>1</v>
      </c>
      <c r="N54" s="16" t="s">
        <v>1089</v>
      </c>
      <c r="O54" s="16" t="s">
        <v>1090</v>
      </c>
      <c r="P54" s="18" t="s">
        <v>896</v>
      </c>
      <c r="R54" s="1" t="n">
        <v>0</v>
      </c>
    </row>
    <row r="55" customFormat="false" ht="42" hidden="false" customHeight="true" outlineLevel="0" collapsed="false">
      <c r="A55" s="16" t="s">
        <v>1091</v>
      </c>
      <c r="B55" s="16" t="s">
        <v>1063</v>
      </c>
      <c r="C55" s="16" t="s">
        <v>1092</v>
      </c>
      <c r="D55" s="16" t="s">
        <v>791</v>
      </c>
      <c r="E55" s="16" t="s">
        <v>1093</v>
      </c>
      <c r="F55" s="16" t="s">
        <v>699</v>
      </c>
      <c r="G55" s="17" t="n">
        <v>0</v>
      </c>
      <c r="H55" s="16" t="s">
        <v>1066</v>
      </c>
      <c r="I55" s="16" t="s">
        <v>1094</v>
      </c>
      <c r="J55" s="16" t="s">
        <v>1095</v>
      </c>
      <c r="K55" s="16" t="s">
        <v>796</v>
      </c>
      <c r="L55" s="16" t="s">
        <v>893</v>
      </c>
      <c r="M55" s="17" t="n">
        <v>10000</v>
      </c>
      <c r="N55" s="16" t="s">
        <v>1096</v>
      </c>
      <c r="O55" s="16" t="s">
        <v>1097</v>
      </c>
      <c r="P55" s="18" t="s">
        <v>896</v>
      </c>
      <c r="R55" s="1" t="n">
        <v>0</v>
      </c>
    </row>
    <row r="56" customFormat="false" ht="42" hidden="false" customHeight="true" outlineLevel="0" collapsed="false">
      <c r="A56" s="16" t="s">
        <v>1098</v>
      </c>
      <c r="B56" s="16" t="s">
        <v>1063</v>
      </c>
      <c r="C56" s="16" t="s">
        <v>1099</v>
      </c>
      <c r="D56" s="16" t="s">
        <v>791</v>
      </c>
      <c r="E56" s="16" t="s">
        <v>1100</v>
      </c>
      <c r="F56" s="16" t="s">
        <v>1101</v>
      </c>
      <c r="G56" s="17" t="n">
        <v>0</v>
      </c>
      <c r="H56" s="16" t="s">
        <v>1066</v>
      </c>
      <c r="I56" s="16" t="s">
        <v>850</v>
      </c>
      <c r="J56" s="16" t="s">
        <v>1102</v>
      </c>
      <c r="K56" s="16" t="s">
        <v>796</v>
      </c>
      <c r="L56" s="16" t="s">
        <v>797</v>
      </c>
      <c r="M56" s="17" t="n">
        <v>1</v>
      </c>
      <c r="N56" s="16" t="s">
        <v>1103</v>
      </c>
      <c r="O56" s="16" t="s">
        <v>1104</v>
      </c>
      <c r="P56" s="18" t="s">
        <v>896</v>
      </c>
      <c r="R56" s="1" t="n">
        <v>0</v>
      </c>
    </row>
    <row r="57" customFormat="false" ht="42" hidden="false" customHeight="true" outlineLevel="0" collapsed="false">
      <c r="A57" s="16" t="s">
        <v>1105</v>
      </c>
      <c r="B57" s="16" t="s">
        <v>1063</v>
      </c>
      <c r="C57" s="16" t="s">
        <v>1106</v>
      </c>
      <c r="D57" s="16" t="s">
        <v>791</v>
      </c>
      <c r="E57" s="16" t="s">
        <v>1107</v>
      </c>
      <c r="F57" s="16" t="s">
        <v>1101</v>
      </c>
      <c r="G57" s="17" t="n">
        <v>0</v>
      </c>
      <c r="H57" s="16" t="s">
        <v>1066</v>
      </c>
      <c r="I57" s="16" t="s">
        <v>850</v>
      </c>
      <c r="J57" s="16" t="s">
        <v>1108</v>
      </c>
      <c r="K57" s="16" t="s">
        <v>796</v>
      </c>
      <c r="L57" s="16" t="s">
        <v>797</v>
      </c>
      <c r="M57" s="17" t="n">
        <v>1</v>
      </c>
      <c r="N57" s="16" t="s">
        <v>1109</v>
      </c>
      <c r="O57" s="16" t="s">
        <v>1110</v>
      </c>
      <c r="P57" s="18" t="s">
        <v>896</v>
      </c>
      <c r="R57" s="1" t="n">
        <v>0</v>
      </c>
    </row>
    <row r="58" customFormat="false" ht="42" hidden="false" customHeight="true" outlineLevel="0" collapsed="false">
      <c r="A58" s="16" t="s">
        <v>1111</v>
      </c>
      <c r="B58" s="16" t="s">
        <v>1063</v>
      </c>
      <c r="C58" s="16" t="s">
        <v>1112</v>
      </c>
      <c r="D58" s="16" t="s">
        <v>791</v>
      </c>
      <c r="E58" s="16" t="s">
        <v>881</v>
      </c>
      <c r="F58" s="16" t="s">
        <v>1113</v>
      </c>
      <c r="G58" s="17" t="n">
        <v>0</v>
      </c>
      <c r="H58" s="16" t="s">
        <v>1066</v>
      </c>
      <c r="I58" s="16" t="s">
        <v>850</v>
      </c>
      <c r="J58" s="16" t="s">
        <v>1114</v>
      </c>
      <c r="K58" s="16" t="s">
        <v>928</v>
      </c>
      <c r="L58" s="16" t="s">
        <v>797</v>
      </c>
      <c r="M58" s="17" t="n">
        <v>1</v>
      </c>
      <c r="N58" s="16" t="s">
        <v>1115</v>
      </c>
      <c r="O58" s="16" t="s">
        <v>1116</v>
      </c>
      <c r="P58" s="18" t="s">
        <v>896</v>
      </c>
      <c r="R58" s="1" t="n">
        <v>0</v>
      </c>
    </row>
    <row r="59" customFormat="false" ht="42" hidden="false" customHeight="true" outlineLevel="0" collapsed="false">
      <c r="A59" s="16" t="s">
        <v>1117</v>
      </c>
      <c r="B59" s="16" t="s">
        <v>1118</v>
      </c>
      <c r="C59" s="16" t="s">
        <v>1119</v>
      </c>
      <c r="D59" s="16" t="s">
        <v>791</v>
      </c>
      <c r="E59" s="16" t="s">
        <v>1120</v>
      </c>
      <c r="F59" s="16" t="s">
        <v>695</v>
      </c>
      <c r="G59" s="17" t="n">
        <v>4</v>
      </c>
      <c r="H59" s="16" t="s">
        <v>793</v>
      </c>
      <c r="I59" s="16" t="s">
        <v>1121</v>
      </c>
      <c r="J59" s="16" t="s">
        <v>1122</v>
      </c>
      <c r="K59" s="16" t="s">
        <v>796</v>
      </c>
      <c r="L59" s="16" t="s">
        <v>893</v>
      </c>
      <c r="M59" s="17" t="n">
        <v>10000</v>
      </c>
      <c r="N59" s="16" t="s">
        <v>1123</v>
      </c>
      <c r="O59" s="16" t="s">
        <v>1124</v>
      </c>
      <c r="P59" s="18" t="s">
        <v>896</v>
      </c>
      <c r="R59" s="1" t="n">
        <v>0</v>
      </c>
    </row>
    <row r="60" customFormat="false" ht="42" hidden="false" customHeight="true" outlineLevel="0" collapsed="false">
      <c r="A60" s="16" t="s">
        <v>1125</v>
      </c>
      <c r="B60" s="16" t="s">
        <v>1118</v>
      </c>
      <c r="C60" s="16" t="s">
        <v>1126</v>
      </c>
      <c r="D60" s="16" t="s">
        <v>791</v>
      </c>
      <c r="E60" s="16" t="s">
        <v>1127</v>
      </c>
      <c r="F60" s="16" t="s">
        <v>695</v>
      </c>
      <c r="G60" s="17" t="n">
        <v>5</v>
      </c>
      <c r="H60" s="16" t="s">
        <v>793</v>
      </c>
      <c r="I60" s="16" t="s">
        <v>1128</v>
      </c>
      <c r="J60" s="16" t="s">
        <v>1129</v>
      </c>
      <c r="K60" s="16" t="s">
        <v>796</v>
      </c>
      <c r="L60" s="16" t="s">
        <v>893</v>
      </c>
      <c r="M60" s="17" t="n">
        <v>10000</v>
      </c>
      <c r="N60" s="16" t="s">
        <v>1130</v>
      </c>
      <c r="O60" s="16" t="s">
        <v>1131</v>
      </c>
      <c r="P60" s="18" t="s">
        <v>1132</v>
      </c>
      <c r="R60" s="1" t="n">
        <v>0</v>
      </c>
    </row>
    <row r="61" customFormat="false" ht="42" hidden="false" customHeight="true" outlineLevel="0" collapsed="false">
      <c r="A61" s="16" t="s">
        <v>1133</v>
      </c>
      <c r="B61" s="16" t="s">
        <v>1118</v>
      </c>
      <c r="C61" s="16" t="s">
        <v>1134</v>
      </c>
      <c r="D61" s="16" t="s">
        <v>791</v>
      </c>
      <c r="E61" s="16" t="s">
        <v>765</v>
      </c>
      <c r="F61" s="16" t="s">
        <v>695</v>
      </c>
      <c r="G61" s="17" t="n">
        <v>3</v>
      </c>
      <c r="H61" s="16" t="s">
        <v>793</v>
      </c>
      <c r="I61" s="16" t="s">
        <v>1135</v>
      </c>
      <c r="J61" s="16" t="s">
        <v>1136</v>
      </c>
      <c r="K61" s="16" t="s">
        <v>796</v>
      </c>
      <c r="L61" s="16" t="s">
        <v>1001</v>
      </c>
      <c r="M61" s="17" t="n">
        <v>10000</v>
      </c>
      <c r="N61" s="16" t="s">
        <v>1137</v>
      </c>
      <c r="O61" s="16" t="s">
        <v>1138</v>
      </c>
      <c r="P61" s="18" t="s">
        <v>566</v>
      </c>
      <c r="R61" s="1" t="n">
        <v>0</v>
      </c>
    </row>
    <row r="62" customFormat="false" ht="42" hidden="false" customHeight="true" outlineLevel="0" collapsed="false">
      <c r="A62" s="16" t="s">
        <v>1139</v>
      </c>
      <c r="B62" s="16" t="s">
        <v>1118</v>
      </c>
      <c r="C62" s="16" t="s">
        <v>1140</v>
      </c>
      <c r="D62" s="16" t="s">
        <v>791</v>
      </c>
      <c r="E62" s="16" t="s">
        <v>1141</v>
      </c>
      <c r="F62" s="16" t="s">
        <v>695</v>
      </c>
      <c r="G62" s="17" t="n">
        <v>3</v>
      </c>
      <c r="H62" s="16" t="s">
        <v>793</v>
      </c>
      <c r="I62" s="16" t="s">
        <v>1135</v>
      </c>
      <c r="J62" s="16" t="s">
        <v>1142</v>
      </c>
      <c r="K62" s="16" t="s">
        <v>796</v>
      </c>
      <c r="L62" s="16" t="s">
        <v>1001</v>
      </c>
      <c r="M62" s="17" t="n">
        <v>10000</v>
      </c>
      <c r="N62" s="16" t="s">
        <v>1143</v>
      </c>
      <c r="O62" s="16" t="s">
        <v>1144</v>
      </c>
      <c r="P62" s="18" t="s">
        <v>566</v>
      </c>
      <c r="R62" s="1" t="n">
        <v>0</v>
      </c>
    </row>
    <row r="63" customFormat="false" ht="42" hidden="false" customHeight="true" outlineLevel="0" collapsed="false">
      <c r="A63" s="16" t="s">
        <v>1145</v>
      </c>
      <c r="B63" s="16" t="s">
        <v>1118</v>
      </c>
      <c r="C63" s="16" t="s">
        <v>1146</v>
      </c>
      <c r="D63" s="16" t="s">
        <v>791</v>
      </c>
      <c r="E63" s="16" t="s">
        <v>1147</v>
      </c>
      <c r="F63" s="16" t="s">
        <v>695</v>
      </c>
      <c r="G63" s="17" t="n">
        <v>3</v>
      </c>
      <c r="H63" s="16" t="s">
        <v>793</v>
      </c>
      <c r="I63" s="16" t="s">
        <v>1135</v>
      </c>
      <c r="J63" s="16" t="s">
        <v>1148</v>
      </c>
      <c r="K63" s="16" t="s">
        <v>796</v>
      </c>
      <c r="L63" s="16" t="s">
        <v>797</v>
      </c>
      <c r="M63" s="17" t="n">
        <v>1</v>
      </c>
      <c r="N63" s="16" t="s">
        <v>1149</v>
      </c>
      <c r="O63" s="16" t="s">
        <v>1150</v>
      </c>
      <c r="P63" s="18" t="s">
        <v>566</v>
      </c>
      <c r="R63" s="1" t="n">
        <v>0</v>
      </c>
    </row>
    <row r="64" customFormat="false" ht="42" hidden="false" customHeight="true" outlineLevel="0" collapsed="false">
      <c r="A64" s="16" t="s">
        <v>1151</v>
      </c>
      <c r="B64" s="16" t="s">
        <v>1118</v>
      </c>
      <c r="C64" s="16" t="s">
        <v>1152</v>
      </c>
      <c r="D64" s="16" t="s">
        <v>791</v>
      </c>
      <c r="E64" s="16" t="s">
        <v>1153</v>
      </c>
      <c r="F64" s="16" t="s">
        <v>695</v>
      </c>
      <c r="G64" s="17" t="n">
        <v>3</v>
      </c>
      <c r="H64" s="16" t="s">
        <v>793</v>
      </c>
      <c r="I64" s="16" t="s">
        <v>1135</v>
      </c>
      <c r="J64" s="16" t="s">
        <v>1154</v>
      </c>
      <c r="K64" s="16" t="s">
        <v>928</v>
      </c>
      <c r="L64" s="16" t="s">
        <v>797</v>
      </c>
      <c r="M64" s="17" t="n">
        <v>1</v>
      </c>
      <c r="N64" s="16" t="s">
        <v>1155</v>
      </c>
      <c r="O64" s="16" t="s">
        <v>1156</v>
      </c>
      <c r="P64" s="18" t="s">
        <v>566</v>
      </c>
      <c r="R64" s="1" t="n">
        <v>0</v>
      </c>
    </row>
    <row r="65" customFormat="false" ht="39" hidden="false" customHeight="true" outlineLevel="0" collapsed="false">
      <c r="A65" s="16" t="s">
        <v>1157</v>
      </c>
      <c r="B65" s="16" t="s">
        <v>1118</v>
      </c>
      <c r="C65" s="16" t="s">
        <v>1158</v>
      </c>
      <c r="D65" s="16" t="s">
        <v>791</v>
      </c>
      <c r="E65" s="16" t="s">
        <v>765</v>
      </c>
      <c r="F65" s="16" t="s">
        <v>1127</v>
      </c>
      <c r="G65" s="17" t="n">
        <v>3</v>
      </c>
      <c r="H65" s="16" t="s">
        <v>793</v>
      </c>
      <c r="I65" s="16" t="s">
        <v>1159</v>
      </c>
      <c r="J65" s="16" t="s">
        <v>1160</v>
      </c>
      <c r="K65" s="16" t="s">
        <v>796</v>
      </c>
      <c r="L65" s="16" t="s">
        <v>1001</v>
      </c>
      <c r="M65" s="17" t="n">
        <v>10000</v>
      </c>
      <c r="N65" s="16" t="s">
        <v>1161</v>
      </c>
      <c r="O65" s="16" t="s">
        <v>1162</v>
      </c>
      <c r="P65" s="18" t="s">
        <v>566</v>
      </c>
      <c r="R65" s="1" t="n">
        <v>0</v>
      </c>
    </row>
    <row r="66" customFormat="false" ht="26.25" hidden="false" customHeight="true" outlineLevel="0" collapsed="false">
      <c r="A66" s="16" t="s">
        <v>1163</v>
      </c>
      <c r="B66" s="16" t="s">
        <v>1118</v>
      </c>
      <c r="C66" s="16" t="s">
        <v>1164</v>
      </c>
      <c r="D66" s="16" t="s">
        <v>791</v>
      </c>
      <c r="E66" s="16" t="s">
        <v>765</v>
      </c>
      <c r="F66" s="16" t="s">
        <v>1165</v>
      </c>
      <c r="G66" s="17" t="n">
        <v>2</v>
      </c>
      <c r="H66" s="16" t="s">
        <v>793</v>
      </c>
      <c r="I66" s="16" t="s">
        <v>1166</v>
      </c>
      <c r="J66" s="16" t="s">
        <v>1167</v>
      </c>
      <c r="K66" s="16" t="s">
        <v>837</v>
      </c>
      <c r="L66" s="16" t="s">
        <v>797</v>
      </c>
      <c r="M66" s="17" t="n">
        <v>1</v>
      </c>
      <c r="N66" s="16" t="s">
        <v>1168</v>
      </c>
      <c r="O66" s="16" t="s">
        <v>1169</v>
      </c>
      <c r="P66" s="18" t="s">
        <v>896</v>
      </c>
      <c r="R66" s="1" t="n">
        <v>0</v>
      </c>
    </row>
  </sheetData>
  <mergeCells count="2">
    <mergeCell ref="A1:R1"/>
    <mergeCell ref="A2:R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46"/>
    <col collapsed="false" customWidth="true" hidden="false" outlineLevel="0" max="4" min="4" style="1" width="12"/>
    <col collapsed="false" customWidth="true" hidden="false" outlineLevel="0" max="5" min="5" style="1" width="34"/>
    <col collapsed="false" customWidth="true" hidden="false" outlineLevel="0" max="6" min="6" style="1" width="24"/>
    <col collapsed="false" customWidth="true" hidden="false" outlineLevel="0" max="7" min="7" style="1" width="32"/>
  </cols>
  <sheetData>
    <row r="1" customFormat="false" ht="27.75" hidden="false" customHeight="true" outlineLevel="0" collapsed="false">
      <c r="A1" s="8" t="s">
        <v>1170</v>
      </c>
      <c r="B1" s="8"/>
      <c r="C1" s="8"/>
      <c r="D1" s="8"/>
      <c r="E1" s="8"/>
      <c r="F1" s="8"/>
      <c r="G1" s="8"/>
    </row>
    <row r="2" customFormat="false" ht="33.75" hidden="false" customHeight="true" outlineLevel="0" collapsed="false">
      <c r="A2" s="9" t="s">
        <v>1171</v>
      </c>
      <c r="B2" s="9"/>
      <c r="C2" s="9"/>
      <c r="D2" s="9"/>
      <c r="E2" s="9"/>
      <c r="F2" s="9"/>
      <c r="G2" s="9"/>
    </row>
    <row r="4" customFormat="false" ht="15" hidden="false" customHeight="true" outlineLevel="0" collapsed="false">
      <c r="A4" s="10" t="s">
        <v>1172</v>
      </c>
      <c r="B4" s="10" t="s">
        <v>1173</v>
      </c>
      <c r="C4" s="10" t="s">
        <v>1174</v>
      </c>
      <c r="D4" s="10" t="s">
        <v>1175</v>
      </c>
      <c r="E4" s="10" t="s">
        <v>1176</v>
      </c>
      <c r="F4" s="10" t="s">
        <v>774</v>
      </c>
      <c r="G4" s="10" t="s">
        <v>30</v>
      </c>
    </row>
    <row r="5" customFormat="false" ht="15" hidden="false" customHeight="true" outlineLevel="0" collapsed="false">
      <c r="A5" s="11" t="s">
        <v>788</v>
      </c>
      <c r="B5" s="12" t="s">
        <v>1177</v>
      </c>
      <c r="C5" s="12" t="s">
        <v>1178</v>
      </c>
      <c r="D5" s="12" t="n">
        <v>5</v>
      </c>
      <c r="E5" s="12" t="s">
        <v>1179</v>
      </c>
      <c r="F5" s="12" t="s">
        <v>1180</v>
      </c>
      <c r="G5" s="13" t="s">
        <v>1181</v>
      </c>
    </row>
    <row r="6" customFormat="false" ht="15" hidden="false" customHeight="true" outlineLevel="0" collapsed="false">
      <c r="A6" s="16" t="s">
        <v>802</v>
      </c>
      <c r="B6" s="16" t="s">
        <v>1182</v>
      </c>
      <c r="C6" s="16" t="s">
        <v>1183</v>
      </c>
      <c r="D6" s="16" t="n">
        <v>5</v>
      </c>
      <c r="E6" s="16" t="s">
        <v>1179</v>
      </c>
      <c r="F6" s="16" t="s">
        <v>1180</v>
      </c>
      <c r="G6" s="17" t="s">
        <v>1181</v>
      </c>
    </row>
    <row r="7" customFormat="false" ht="15" hidden="false" customHeight="true" outlineLevel="0" collapsed="false">
      <c r="A7" s="16" t="s">
        <v>808</v>
      </c>
      <c r="B7" s="16" t="s">
        <v>1184</v>
      </c>
      <c r="C7" s="16" t="s">
        <v>1185</v>
      </c>
      <c r="D7" s="16" t="n">
        <v>6</v>
      </c>
      <c r="E7" s="16" t="s">
        <v>1186</v>
      </c>
      <c r="F7" s="16" t="s">
        <v>1180</v>
      </c>
      <c r="G7" s="17" t="s">
        <v>1181</v>
      </c>
    </row>
    <row r="8" customFormat="false" ht="15" hidden="false" customHeight="true" outlineLevel="0" collapsed="false">
      <c r="A8" s="16" t="s">
        <v>815</v>
      </c>
      <c r="B8" s="16" t="s">
        <v>1187</v>
      </c>
      <c r="C8" s="16" t="s">
        <v>1188</v>
      </c>
      <c r="D8" s="16" t="n">
        <v>4</v>
      </c>
      <c r="E8" s="16" t="s">
        <v>1189</v>
      </c>
      <c r="F8" s="16" t="s">
        <v>1180</v>
      </c>
      <c r="G8" s="17" t="s">
        <v>1181</v>
      </c>
    </row>
    <row r="9" customFormat="false" ht="15" hidden="false" customHeight="true" outlineLevel="0" collapsed="false">
      <c r="A9" s="16" t="s">
        <v>823</v>
      </c>
      <c r="B9" s="16" t="s">
        <v>1190</v>
      </c>
      <c r="C9" s="16" t="s">
        <v>1191</v>
      </c>
      <c r="D9" s="16" t="n">
        <v>2</v>
      </c>
      <c r="E9" s="16" t="s">
        <v>1189</v>
      </c>
      <c r="F9" s="16" t="s">
        <v>1180</v>
      </c>
      <c r="G9" s="17" t="s">
        <v>1181</v>
      </c>
    </row>
    <row r="10" customFormat="false" ht="15" hidden="false" customHeight="true" outlineLevel="0" collapsed="false">
      <c r="A10" s="16" t="s">
        <v>831</v>
      </c>
      <c r="B10" s="16" t="s">
        <v>1192</v>
      </c>
      <c r="C10" s="16" t="s">
        <v>1193</v>
      </c>
      <c r="D10" s="16" t="n">
        <v>2</v>
      </c>
      <c r="E10" s="16" t="s">
        <v>1194</v>
      </c>
      <c r="F10" s="16" t="s">
        <v>1180</v>
      </c>
      <c r="G10" s="17" t="s">
        <v>1181</v>
      </c>
    </row>
    <row r="11" customFormat="false" ht="15" hidden="false" customHeight="true" outlineLevel="0" collapsed="false">
      <c r="A11" s="16" t="s">
        <v>842</v>
      </c>
      <c r="B11" s="16" t="s">
        <v>1195</v>
      </c>
      <c r="C11" s="16" t="s">
        <v>1196</v>
      </c>
      <c r="D11" s="16" t="n">
        <v>2</v>
      </c>
      <c r="E11" s="16" t="s">
        <v>1194</v>
      </c>
      <c r="F11" s="16" t="s">
        <v>1180</v>
      </c>
      <c r="G11" s="17" t="s">
        <v>1181</v>
      </c>
    </row>
    <row r="12" customFormat="false" ht="15" hidden="false" customHeight="true" outlineLevel="0" collapsed="false">
      <c r="A12" s="16" t="s">
        <v>847</v>
      </c>
      <c r="B12" s="16" t="s">
        <v>1197</v>
      </c>
      <c r="C12" s="16" t="s">
        <v>1198</v>
      </c>
      <c r="D12" s="16" t="n">
        <v>3</v>
      </c>
      <c r="E12" s="16" t="s">
        <v>1199</v>
      </c>
      <c r="F12" s="16" t="s">
        <v>1180</v>
      </c>
      <c r="G12" s="17" t="s">
        <v>1181</v>
      </c>
    </row>
    <row r="13" customFormat="false" ht="15" hidden="false" customHeight="true" outlineLevel="0" collapsed="false">
      <c r="A13" s="16" t="s">
        <v>855</v>
      </c>
      <c r="B13" s="16" t="s">
        <v>1200</v>
      </c>
      <c r="C13" s="16" t="s">
        <v>1201</v>
      </c>
      <c r="D13" s="16" t="n">
        <v>7</v>
      </c>
      <c r="E13" s="16" t="s">
        <v>1202</v>
      </c>
      <c r="F13" s="16" t="s">
        <v>1180</v>
      </c>
      <c r="G13" s="17" t="s">
        <v>1181</v>
      </c>
    </row>
    <row r="14" customFormat="false" ht="15" hidden="false" customHeight="true" outlineLevel="0" collapsed="false">
      <c r="A14" s="16" t="s">
        <v>863</v>
      </c>
      <c r="B14" s="16" t="s">
        <v>1203</v>
      </c>
      <c r="C14" s="16" t="s">
        <v>1204</v>
      </c>
      <c r="D14" s="16" t="n">
        <v>2</v>
      </c>
      <c r="E14" s="16" t="s">
        <v>1205</v>
      </c>
      <c r="F14" s="16" t="s">
        <v>1180</v>
      </c>
      <c r="G14" s="17" t="s">
        <v>1181</v>
      </c>
    </row>
    <row r="15" customFormat="false" ht="15" hidden="false" customHeight="true" outlineLevel="0" collapsed="false">
      <c r="A15" s="16" t="s">
        <v>871</v>
      </c>
      <c r="B15" s="16" t="s">
        <v>1206</v>
      </c>
      <c r="C15" s="16" t="s">
        <v>1207</v>
      </c>
      <c r="D15" s="16" t="n">
        <v>5</v>
      </c>
      <c r="E15" s="16" t="s">
        <v>1208</v>
      </c>
      <c r="F15" s="16" t="s">
        <v>1180</v>
      </c>
      <c r="G15" s="17" t="s">
        <v>1181</v>
      </c>
    </row>
    <row r="16" customFormat="false" ht="26.25" hidden="false" customHeight="true" outlineLevel="0" collapsed="false">
      <c r="A16" s="16" t="s">
        <v>879</v>
      </c>
      <c r="B16" s="16" t="s">
        <v>1209</v>
      </c>
      <c r="C16" s="16" t="s">
        <v>1210</v>
      </c>
      <c r="D16" s="16" t="n">
        <v>11</v>
      </c>
      <c r="E16" s="16" t="s">
        <v>1211</v>
      </c>
      <c r="F16" s="16" t="s">
        <v>1180</v>
      </c>
      <c r="G16" s="17" t="s">
        <v>1181</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10"/>
  </cols>
  <sheetData>
    <row r="1" customFormat="false" ht="30" hidden="false" customHeight="true" outlineLevel="0" collapsed="false">
      <c r="A1" s="8" t="s">
        <v>1212</v>
      </c>
      <c r="B1" s="8"/>
      <c r="C1" s="8"/>
    </row>
    <row r="2" customFormat="false" ht="33.75" hidden="false" customHeight="true" outlineLevel="0" collapsed="false">
      <c r="A2" s="9" t="s">
        <v>1213</v>
      </c>
      <c r="B2" s="9"/>
      <c r="C2" s="9"/>
    </row>
    <row r="3" customFormat="false" ht="7.5" hidden="false" customHeight="true" outlineLevel="0" collapsed="false"/>
    <row r="4" customFormat="false" ht="30" hidden="false" customHeight="true" outlineLevel="0" collapsed="false">
      <c r="A4" s="10" t="s">
        <v>1214</v>
      </c>
      <c r="B4" s="10" t="s">
        <v>1215</v>
      </c>
      <c r="C4" s="10" t="s">
        <v>1216</v>
      </c>
    </row>
    <row r="5" customFormat="false" ht="42" hidden="false" customHeight="true" outlineLevel="0" collapsed="false">
      <c r="A5" s="11" t="s">
        <v>1217</v>
      </c>
      <c r="B5" s="12" t="s">
        <v>1218</v>
      </c>
      <c r="C5" s="12" t="s">
        <v>1219</v>
      </c>
    </row>
    <row r="6" customFormat="false" ht="42" hidden="false" customHeight="true" outlineLevel="0" collapsed="false">
      <c r="A6" s="16" t="s">
        <v>1217</v>
      </c>
      <c r="B6" s="16" t="s">
        <v>1220</v>
      </c>
      <c r="C6" s="16" t="s">
        <v>1221</v>
      </c>
    </row>
    <row r="7" customFormat="false" ht="42" hidden="false" customHeight="true" outlineLevel="0" collapsed="false">
      <c r="A7" s="16" t="s">
        <v>1217</v>
      </c>
      <c r="B7" s="16" t="s">
        <v>1222</v>
      </c>
      <c r="C7" s="16" t="s">
        <v>1223</v>
      </c>
    </row>
    <row r="8" customFormat="false" ht="42" hidden="false" customHeight="true" outlineLevel="0" collapsed="false">
      <c r="A8" s="16" t="s">
        <v>1217</v>
      </c>
      <c r="B8" s="16" t="s">
        <v>1224</v>
      </c>
      <c r="C8" s="16" t="s">
        <v>1225</v>
      </c>
    </row>
    <row r="9" customFormat="false" ht="42" hidden="false" customHeight="true" outlineLevel="0" collapsed="false">
      <c r="A9" s="11" t="s">
        <v>1226</v>
      </c>
      <c r="B9" s="12" t="s">
        <v>1227</v>
      </c>
      <c r="C9" s="12" t="s">
        <v>1228</v>
      </c>
    </row>
    <row r="10" customFormat="false" ht="42" hidden="false" customHeight="true" outlineLevel="0" collapsed="false">
      <c r="A10" s="11" t="s">
        <v>1229</v>
      </c>
      <c r="B10" s="12" t="s">
        <v>1230</v>
      </c>
      <c r="C10" s="12" t="s">
        <v>1231</v>
      </c>
    </row>
    <row r="11" customFormat="false" ht="42" hidden="false" customHeight="true" outlineLevel="0" collapsed="false">
      <c r="A11" s="11" t="s">
        <v>1232</v>
      </c>
      <c r="B11" s="12" t="s">
        <v>195</v>
      </c>
      <c r="C11" s="12" t="s">
        <v>1233</v>
      </c>
    </row>
    <row r="12" customFormat="false" ht="42" hidden="false" customHeight="true" outlineLevel="0" collapsed="false">
      <c r="A12" s="16" t="s">
        <v>1232</v>
      </c>
      <c r="B12" s="16" t="s">
        <v>389</v>
      </c>
      <c r="C12" s="16" t="s">
        <v>1234</v>
      </c>
    </row>
    <row r="13" customFormat="false" ht="42" hidden="false" customHeight="true" outlineLevel="0" collapsed="false">
      <c r="A13" s="16" t="s">
        <v>1232</v>
      </c>
      <c r="B13" s="16" t="s">
        <v>94</v>
      </c>
      <c r="C13" s="16" t="s">
        <v>1235</v>
      </c>
    </row>
    <row r="14" customFormat="false" ht="42" hidden="false" customHeight="true" outlineLevel="0" collapsed="false">
      <c r="A14" s="16" t="s">
        <v>1232</v>
      </c>
      <c r="B14" s="16" t="s">
        <v>1236</v>
      </c>
      <c r="C14" s="16" t="s">
        <v>1237</v>
      </c>
    </row>
    <row r="15" customFormat="false" ht="42" hidden="false" customHeight="true" outlineLevel="0" collapsed="false">
      <c r="A15" s="16" t="s">
        <v>1232</v>
      </c>
      <c r="B15" s="16" t="s">
        <v>514</v>
      </c>
      <c r="C15" s="16" t="s">
        <v>1238</v>
      </c>
    </row>
    <row r="16" customFormat="false" ht="42" hidden="false" customHeight="true" outlineLevel="0" collapsed="false">
      <c r="A16" s="16" t="s">
        <v>1232</v>
      </c>
      <c r="B16" s="16" t="s">
        <v>1239</v>
      </c>
      <c r="C16" s="16" t="s">
        <v>1240</v>
      </c>
    </row>
    <row r="17" customFormat="false" ht="42" hidden="false" customHeight="true" outlineLevel="0" collapsed="false">
      <c r="A17" s="16" t="s">
        <v>1232</v>
      </c>
      <c r="B17" s="16" t="s">
        <v>1241</v>
      </c>
      <c r="C17" s="16" t="s">
        <v>1242</v>
      </c>
    </row>
    <row r="18" customFormat="false" ht="42" hidden="false" customHeight="true" outlineLevel="0" collapsed="false">
      <c r="A18" s="16" t="s">
        <v>1232</v>
      </c>
      <c r="B18" s="16" t="s">
        <v>52</v>
      </c>
      <c r="C18" s="16" t="s">
        <v>1243</v>
      </c>
    </row>
    <row r="19" customFormat="false" ht="42" hidden="false" customHeight="true" outlineLevel="0" collapsed="false">
      <c r="A19" s="16" t="s">
        <v>1232</v>
      </c>
      <c r="B19" s="16" t="s">
        <v>1244</v>
      </c>
      <c r="C19" s="16" t="s">
        <v>1245</v>
      </c>
    </row>
    <row r="20" customFormat="false" ht="42" hidden="false" customHeight="true" outlineLevel="0" collapsed="false">
      <c r="A20" s="16" t="s">
        <v>1232</v>
      </c>
      <c r="B20" s="16" t="s">
        <v>1246</v>
      </c>
      <c r="C20" s="16" t="s">
        <v>1247</v>
      </c>
    </row>
    <row r="21" customFormat="false" ht="42" hidden="false" customHeight="true" outlineLevel="0" collapsed="false">
      <c r="A21" s="16" t="s">
        <v>1232</v>
      </c>
      <c r="B21" s="16" t="s">
        <v>1248</v>
      </c>
      <c r="C21" s="16" t="s">
        <v>1249</v>
      </c>
    </row>
    <row r="22" customFormat="false" ht="42" hidden="false" customHeight="true" outlineLevel="0" collapsed="false">
      <c r="A22" s="16" t="s">
        <v>1232</v>
      </c>
      <c r="B22" s="16" t="s">
        <v>626</v>
      </c>
      <c r="C22" s="16" t="s">
        <v>1250</v>
      </c>
    </row>
    <row r="23" customFormat="false" ht="42" hidden="false" customHeight="true" outlineLevel="0" collapsed="false">
      <c r="A23" s="11" t="s">
        <v>1251</v>
      </c>
      <c r="B23" s="12" t="s">
        <v>1252</v>
      </c>
      <c r="C23" s="12" t="s">
        <v>1253</v>
      </c>
    </row>
    <row r="24" customFormat="false" ht="15" hidden="false" customHeight="true" outlineLevel="0" collapsed="false">
      <c r="A24" s="11" t="s">
        <v>1254</v>
      </c>
      <c r="B24" s="12" t="s">
        <v>1255</v>
      </c>
      <c r="C24" s="12" t="s">
        <v>1256</v>
      </c>
    </row>
    <row r="25" customFormat="false" ht="15" hidden="false" customHeight="true" outlineLevel="0" collapsed="false">
      <c r="A25" s="11" t="s">
        <v>1254</v>
      </c>
      <c r="B25" s="12" t="s">
        <v>1257</v>
      </c>
      <c r="C25" s="12" t="s">
        <v>1258</v>
      </c>
    </row>
    <row r="26" customFormat="false" ht="15" hidden="false" customHeight="true" outlineLevel="0" collapsed="false">
      <c r="A26" s="11" t="s">
        <v>1254</v>
      </c>
      <c r="B26" s="12" t="s">
        <v>1259</v>
      </c>
      <c r="C26" s="12" t="s">
        <v>1260</v>
      </c>
    </row>
    <row r="27" customFormat="false" ht="15" hidden="false" customHeight="true" outlineLevel="0" collapsed="false">
      <c r="A27" s="11" t="s">
        <v>1254</v>
      </c>
      <c r="B27" s="12" t="s">
        <v>1261</v>
      </c>
      <c r="C27" s="12" t="s">
        <v>1262</v>
      </c>
    </row>
    <row r="28" customFormat="false" ht="15" hidden="false" customHeight="true" outlineLevel="0" collapsed="false">
      <c r="A28" s="11" t="s">
        <v>1254</v>
      </c>
      <c r="B28" s="12" t="s">
        <v>1263</v>
      </c>
      <c r="C28" s="12" t="s">
        <v>1264</v>
      </c>
    </row>
    <row r="29" customFormat="false" ht="15" hidden="false" customHeight="true" outlineLevel="0" collapsed="false">
      <c r="A29" s="11" t="s">
        <v>1254</v>
      </c>
      <c r="B29" s="12" t="s">
        <v>1265</v>
      </c>
      <c r="C29" s="12" t="s">
        <v>1266</v>
      </c>
    </row>
    <row r="30" customFormat="false" ht="15" hidden="false" customHeight="true" outlineLevel="0" collapsed="false">
      <c r="A30" s="11" t="s">
        <v>1254</v>
      </c>
      <c r="B30" s="12" t="s">
        <v>1267</v>
      </c>
      <c r="C30" s="12" t="s">
        <v>1268</v>
      </c>
    </row>
    <row r="31" customFormat="false" ht="15" hidden="false" customHeight="true" outlineLevel="0" collapsed="false">
      <c r="A31" s="11" t="s">
        <v>1269</v>
      </c>
      <c r="B31" s="12" t="s">
        <v>1270</v>
      </c>
      <c r="C31" s="12" t="s">
        <v>1271</v>
      </c>
    </row>
  </sheetData>
  <mergeCells count="2">
    <mergeCell ref="A1:C1"/>
    <mergeCell ref="A2:C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75"/>
    <col collapsed="false" customWidth="true" hidden="false" outlineLevel="0" max="4" min="4" style="1" width="65"/>
  </cols>
  <sheetData>
    <row r="1" customFormat="false" ht="30" hidden="false" customHeight="true" outlineLevel="0" collapsed="false">
      <c r="A1" s="8" t="s">
        <v>1272</v>
      </c>
      <c r="B1" s="8"/>
      <c r="C1" s="8"/>
      <c r="D1" s="8"/>
    </row>
    <row r="2" customFormat="false" ht="33.75" hidden="false" customHeight="true" outlineLevel="0" collapsed="false">
      <c r="A2" s="9" t="s">
        <v>1273</v>
      </c>
      <c r="B2" s="9"/>
      <c r="C2" s="9"/>
      <c r="D2" s="9"/>
    </row>
    <row r="3" customFormat="false" ht="7.5" hidden="false" customHeight="true" outlineLevel="0" collapsed="false"/>
    <row r="4" customFormat="false" ht="30" hidden="false" customHeight="true" outlineLevel="0" collapsed="false">
      <c r="A4" s="10" t="s">
        <v>1274</v>
      </c>
      <c r="B4" s="10" t="s">
        <v>1275</v>
      </c>
      <c r="C4" s="10" t="s">
        <v>1276</v>
      </c>
      <c r="D4" s="10" t="s">
        <v>1277</v>
      </c>
    </row>
    <row r="5" customFormat="false" ht="42" hidden="false" customHeight="true" outlineLevel="0" collapsed="false">
      <c r="A5" s="16" t="n">
        <v>1</v>
      </c>
      <c r="B5" s="16" t="s">
        <v>1278</v>
      </c>
      <c r="C5" s="16" t="s">
        <v>1279</v>
      </c>
      <c r="D5" s="16" t="s">
        <v>1280</v>
      </c>
    </row>
    <row r="6" customFormat="false" ht="42" hidden="false" customHeight="true" outlineLevel="0" collapsed="false">
      <c r="A6" s="16" t="n">
        <v>2</v>
      </c>
      <c r="B6" s="16" t="s">
        <v>1281</v>
      </c>
      <c r="C6" s="16" t="s">
        <v>1282</v>
      </c>
      <c r="D6" s="16" t="s">
        <v>1283</v>
      </c>
    </row>
    <row r="7" customFormat="false" ht="42" hidden="false" customHeight="true" outlineLevel="0" collapsed="false">
      <c r="A7" s="16" t="n">
        <v>3</v>
      </c>
      <c r="B7" s="16" t="s">
        <v>1284</v>
      </c>
      <c r="C7" s="16" t="s">
        <v>1285</v>
      </c>
      <c r="D7" s="16" t="s">
        <v>1286</v>
      </c>
    </row>
    <row r="8" customFormat="false" ht="42" hidden="false" customHeight="true" outlineLevel="0" collapsed="false">
      <c r="A8" s="16" t="n">
        <v>4</v>
      </c>
      <c r="B8" s="16" t="s">
        <v>1287</v>
      </c>
      <c r="C8" s="16" t="s">
        <v>1288</v>
      </c>
      <c r="D8" s="16" t="s">
        <v>1289</v>
      </c>
    </row>
    <row r="9" customFormat="false" ht="42" hidden="false" customHeight="true" outlineLevel="0" collapsed="false">
      <c r="A9" s="16" t="n">
        <v>5</v>
      </c>
      <c r="B9" s="16" t="s">
        <v>1290</v>
      </c>
      <c r="C9" s="16" t="s">
        <v>1291</v>
      </c>
      <c r="D9" s="16" t="s">
        <v>1292</v>
      </c>
    </row>
    <row r="10" customFormat="false" ht="42" hidden="false" customHeight="true" outlineLevel="0" collapsed="false">
      <c r="A10" s="16" t="n">
        <v>6</v>
      </c>
      <c r="B10" s="16" t="s">
        <v>1293</v>
      </c>
      <c r="C10" s="16" t="s">
        <v>1294</v>
      </c>
      <c r="D10" s="16" t="s">
        <v>1295</v>
      </c>
    </row>
    <row r="11" customFormat="false" ht="42" hidden="false" customHeight="true" outlineLevel="0" collapsed="false">
      <c r="A11" s="16" t="n">
        <v>7</v>
      </c>
      <c r="B11" s="16" t="s">
        <v>1296</v>
      </c>
      <c r="C11" s="16" t="s">
        <v>1297</v>
      </c>
      <c r="D11" s="16" t="s">
        <v>1298</v>
      </c>
    </row>
    <row r="12" customFormat="false" ht="42" hidden="false" customHeight="true" outlineLevel="0" collapsed="false">
      <c r="A12" s="16" t="n">
        <v>8</v>
      </c>
      <c r="B12" s="16" t="s">
        <v>1299</v>
      </c>
      <c r="C12" s="16" t="s">
        <v>1300</v>
      </c>
      <c r="D12" s="16" t="s">
        <v>1301</v>
      </c>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13" min="3" style="1" width="27"/>
  </cols>
  <sheetData>
    <row r="1" customFormat="false" ht="30" hidden="false" customHeight="true" outlineLevel="0" collapsed="false">
      <c r="A1" s="8" t="s">
        <v>1302</v>
      </c>
      <c r="B1" s="8"/>
      <c r="C1" s="8"/>
      <c r="D1" s="8"/>
      <c r="E1" s="8"/>
      <c r="F1" s="8"/>
      <c r="G1" s="8"/>
      <c r="H1" s="8"/>
      <c r="I1" s="8"/>
      <c r="J1" s="8"/>
      <c r="K1" s="8"/>
      <c r="L1" s="8"/>
      <c r="M1" s="8"/>
    </row>
    <row r="2" customFormat="false" ht="33.75" hidden="false" customHeight="true" outlineLevel="0" collapsed="false">
      <c r="A2" s="19" t="s">
        <v>1303</v>
      </c>
      <c r="B2" s="19"/>
      <c r="C2" s="19"/>
      <c r="D2" s="19"/>
      <c r="E2" s="19"/>
      <c r="F2" s="19"/>
      <c r="G2" s="19"/>
      <c r="H2" s="19"/>
      <c r="I2" s="19"/>
      <c r="J2" s="19"/>
      <c r="K2" s="19"/>
      <c r="L2" s="19"/>
      <c r="M2" s="19"/>
    </row>
    <row r="4" customFormat="false" ht="33.75" hidden="false" customHeight="true" outlineLevel="0" collapsed="false">
      <c r="A4" s="10" t="s">
        <v>1304</v>
      </c>
      <c r="B4" s="10" t="s">
        <v>1305</v>
      </c>
      <c r="C4" s="10" t="s">
        <v>1306</v>
      </c>
      <c r="D4" s="10" t="s">
        <v>1307</v>
      </c>
      <c r="E4" s="10" t="s">
        <v>1308</v>
      </c>
      <c r="F4" s="10" t="s">
        <v>1309</v>
      </c>
      <c r="G4" s="10" t="s">
        <v>1310</v>
      </c>
      <c r="H4" s="10" t="s">
        <v>1311</v>
      </c>
      <c r="I4" s="10" t="s">
        <v>1312</v>
      </c>
      <c r="J4" s="10" t="s">
        <v>1313</v>
      </c>
      <c r="K4" s="10" t="s">
        <v>1314</v>
      </c>
      <c r="L4" s="10" t="s">
        <v>1315</v>
      </c>
      <c r="M4" s="10" t="s">
        <v>1316</v>
      </c>
    </row>
    <row r="5" customFormat="false" ht="48" hidden="false" customHeight="true" outlineLevel="0" collapsed="false">
      <c r="A5" s="20" t="n">
        <v>1</v>
      </c>
      <c r="B5" s="20" t="s">
        <v>1317</v>
      </c>
      <c r="C5" s="20" t="s">
        <v>1318</v>
      </c>
      <c r="D5" s="20" t="s">
        <v>1319</v>
      </c>
      <c r="E5" s="20" t="s">
        <v>1320</v>
      </c>
      <c r="F5" s="20" t="s">
        <v>1321</v>
      </c>
      <c r="G5" s="20" t="s">
        <v>1322</v>
      </c>
      <c r="H5" s="20" t="s">
        <v>1323</v>
      </c>
      <c r="I5" s="20" t="s">
        <v>1324</v>
      </c>
      <c r="J5" s="20" t="s">
        <v>1325</v>
      </c>
      <c r="K5" s="20" t="s">
        <v>1326</v>
      </c>
      <c r="L5" s="20" t="s">
        <v>1327</v>
      </c>
      <c r="M5" s="20" t="s">
        <v>1328</v>
      </c>
    </row>
    <row r="6" customFormat="false" ht="48" hidden="false" customHeight="true" outlineLevel="0" collapsed="false">
      <c r="A6" s="21" t="n">
        <v>2</v>
      </c>
      <c r="B6" s="21" t="s">
        <v>1329</v>
      </c>
      <c r="C6" s="21" t="s">
        <v>1330</v>
      </c>
      <c r="D6" s="21" t="s">
        <v>1331</v>
      </c>
      <c r="E6" s="21" t="s">
        <v>1332</v>
      </c>
      <c r="F6" s="21" t="s">
        <v>1333</v>
      </c>
      <c r="G6" s="21" t="s">
        <v>1334</v>
      </c>
      <c r="H6" s="21" t="s">
        <v>1335</v>
      </c>
      <c r="I6" s="21" t="s">
        <v>1336</v>
      </c>
      <c r="J6" s="21" t="s">
        <v>1337</v>
      </c>
      <c r="K6" s="21" t="s">
        <v>1338</v>
      </c>
      <c r="L6" s="21" t="s">
        <v>1339</v>
      </c>
      <c r="M6" s="21" t="s">
        <v>1340</v>
      </c>
    </row>
    <row r="7" customFormat="false" ht="48" hidden="false" customHeight="true" outlineLevel="0" collapsed="false">
      <c r="A7" s="20" t="n">
        <v>3</v>
      </c>
      <c r="B7" s="20" t="s">
        <v>1341</v>
      </c>
      <c r="C7" s="20" t="s">
        <v>1342</v>
      </c>
      <c r="D7" s="20" t="s">
        <v>1343</v>
      </c>
      <c r="E7" s="20" t="s">
        <v>1344</v>
      </c>
      <c r="F7" s="20" t="s">
        <v>1345</v>
      </c>
      <c r="G7" s="20" t="s">
        <v>1346</v>
      </c>
      <c r="H7" s="20" t="s">
        <v>1347</v>
      </c>
      <c r="I7" s="20" t="s">
        <v>1348</v>
      </c>
      <c r="J7" s="20" t="s">
        <v>1349</v>
      </c>
      <c r="K7" s="20" t="s">
        <v>1350</v>
      </c>
      <c r="L7" s="20" t="s">
        <v>1351</v>
      </c>
      <c r="M7" s="20" t="s">
        <v>1352</v>
      </c>
    </row>
    <row r="8" customFormat="false" ht="48" hidden="false" customHeight="true" outlineLevel="0" collapsed="false">
      <c r="A8" s="21" t="n">
        <v>4</v>
      </c>
      <c r="B8" s="21" t="s">
        <v>1353</v>
      </c>
      <c r="C8" s="21" t="s">
        <v>1354</v>
      </c>
      <c r="D8" s="21" t="s">
        <v>1355</v>
      </c>
      <c r="E8" s="21" t="s">
        <v>1356</v>
      </c>
      <c r="F8" s="21" t="s">
        <v>1357</v>
      </c>
      <c r="G8" s="21" t="s">
        <v>1358</v>
      </c>
      <c r="H8" s="21" t="s">
        <v>1359</v>
      </c>
      <c r="I8" s="21" t="s">
        <v>1360</v>
      </c>
      <c r="J8" s="21" t="s">
        <v>1361</v>
      </c>
      <c r="K8" s="21" t="s">
        <v>1362</v>
      </c>
      <c r="L8" s="21" t="s">
        <v>1363</v>
      </c>
      <c r="M8" s="21" t="s">
        <v>1364</v>
      </c>
    </row>
    <row r="9" customFormat="false" ht="48" hidden="false" customHeight="true" outlineLevel="0" collapsed="false">
      <c r="A9" s="20" t="n">
        <v>5</v>
      </c>
      <c r="B9" s="20" t="s">
        <v>1365</v>
      </c>
      <c r="C9" s="20" t="s">
        <v>1366</v>
      </c>
      <c r="D9" s="20" t="s">
        <v>1367</v>
      </c>
      <c r="E9" s="20" t="s">
        <v>1368</v>
      </c>
      <c r="F9" s="20" t="s">
        <v>1369</v>
      </c>
      <c r="G9" s="20" t="s">
        <v>1370</v>
      </c>
      <c r="H9" s="20" t="s">
        <v>1371</v>
      </c>
      <c r="I9" s="20" t="s">
        <v>1372</v>
      </c>
      <c r="J9" s="20" t="s">
        <v>1373</v>
      </c>
      <c r="K9" s="20" t="s">
        <v>1374</v>
      </c>
      <c r="L9" s="20" t="s">
        <v>1375</v>
      </c>
      <c r="M9" s="20" t="s">
        <v>1376</v>
      </c>
    </row>
    <row r="10" customFormat="false" ht="48" hidden="false" customHeight="true" outlineLevel="0" collapsed="false">
      <c r="A10" s="21" t="n">
        <v>6</v>
      </c>
      <c r="B10" s="21" t="s">
        <v>1377</v>
      </c>
      <c r="C10" s="21" t="s">
        <v>1378</v>
      </c>
      <c r="D10" s="21" t="s">
        <v>1379</v>
      </c>
      <c r="E10" s="21" t="s">
        <v>1380</v>
      </c>
      <c r="F10" s="21" t="s">
        <v>1381</v>
      </c>
      <c r="G10" s="21" t="s">
        <v>1382</v>
      </c>
      <c r="H10" s="21" t="s">
        <v>1383</v>
      </c>
      <c r="I10" s="21" t="s">
        <v>1384</v>
      </c>
      <c r="J10" s="21" t="s">
        <v>1385</v>
      </c>
      <c r="K10" s="21" t="s">
        <v>1386</v>
      </c>
      <c r="L10" s="21" t="s">
        <v>1387</v>
      </c>
      <c r="M10" s="21" t="s">
        <v>1388</v>
      </c>
    </row>
    <row r="11" customFormat="false" ht="48" hidden="false" customHeight="true" outlineLevel="0" collapsed="false">
      <c r="A11" s="20" t="n">
        <v>7</v>
      </c>
      <c r="B11" s="20" t="s">
        <v>1389</v>
      </c>
      <c r="C11" s="20" t="s">
        <v>1390</v>
      </c>
      <c r="D11" s="20" t="s">
        <v>1391</v>
      </c>
      <c r="E11" s="20" t="s">
        <v>1392</v>
      </c>
      <c r="F11" s="20" t="s">
        <v>1393</v>
      </c>
      <c r="G11" s="20" t="s">
        <v>1394</v>
      </c>
      <c r="H11" s="20" t="s">
        <v>1395</v>
      </c>
      <c r="I11" s="20" t="s">
        <v>1396</v>
      </c>
      <c r="J11" s="20" t="s">
        <v>1397</v>
      </c>
      <c r="K11" s="20" t="s">
        <v>1398</v>
      </c>
      <c r="L11" s="20" t="s">
        <v>1399</v>
      </c>
      <c r="M11" s="20" t="s">
        <v>1400</v>
      </c>
    </row>
    <row r="12" customFormat="false" ht="48" hidden="false" customHeight="true" outlineLevel="0" collapsed="false">
      <c r="A12" s="21" t="n">
        <v>8</v>
      </c>
      <c r="B12" s="21" t="s">
        <v>1401</v>
      </c>
      <c r="C12" s="21" t="s">
        <v>1402</v>
      </c>
      <c r="D12" s="21" t="s">
        <v>1403</v>
      </c>
      <c r="E12" s="21" t="s">
        <v>1404</v>
      </c>
      <c r="F12" s="21" t="s">
        <v>1405</v>
      </c>
      <c r="G12" s="21" t="s">
        <v>1406</v>
      </c>
      <c r="H12" s="21" t="s">
        <v>1407</v>
      </c>
      <c r="I12" s="21" t="s">
        <v>1408</v>
      </c>
      <c r="J12" s="21" t="s">
        <v>1409</v>
      </c>
      <c r="K12" s="21" t="s">
        <v>1410</v>
      </c>
      <c r="L12" s="21" t="s">
        <v>1411</v>
      </c>
      <c r="M12" s="21" t="s">
        <v>1412</v>
      </c>
    </row>
    <row r="13" customFormat="false" ht="48" hidden="false" customHeight="true" outlineLevel="0" collapsed="false">
      <c r="A13" s="20" t="n">
        <v>9</v>
      </c>
      <c r="B13" s="20" t="s">
        <v>1413</v>
      </c>
      <c r="C13" s="20" t="s">
        <v>1414</v>
      </c>
      <c r="D13" s="20" t="s">
        <v>1415</v>
      </c>
      <c r="E13" s="20" t="s">
        <v>1416</v>
      </c>
      <c r="F13" s="20" t="s">
        <v>1417</v>
      </c>
      <c r="G13" s="20" t="s">
        <v>1418</v>
      </c>
      <c r="H13" s="20" t="s">
        <v>1419</v>
      </c>
      <c r="I13" s="20" t="s">
        <v>1420</v>
      </c>
      <c r="J13" s="20" t="s">
        <v>1421</v>
      </c>
      <c r="K13" s="20" t="s">
        <v>1422</v>
      </c>
      <c r="L13" s="20" t="s">
        <v>1423</v>
      </c>
      <c r="M13" s="20" t="s">
        <v>1424</v>
      </c>
    </row>
  </sheetData>
  <mergeCells count="2">
    <mergeCell ref="A1:M1"/>
    <mergeCell ref="A2:M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20"/>
    <col collapsed="false" customWidth="true" hidden="false" outlineLevel="0" max="4" min="4" style="1" width="30"/>
    <col collapsed="false" customWidth="true" hidden="false" outlineLevel="0" max="5" min="5" style="1" width="6"/>
    <col collapsed="false" customWidth="true" hidden="false" outlineLevel="0" max="6" min="6" style="1" width="31"/>
    <col collapsed="false" customWidth="true" hidden="false" outlineLevel="0" max="7" min="7" style="1" width="30"/>
    <col collapsed="false" customWidth="true" hidden="false" outlineLevel="0" max="8" min="8" style="1" width="25"/>
    <col collapsed="false" customWidth="true" hidden="false" outlineLevel="0" max="9" min="9" style="1" width="24"/>
    <col collapsed="false" customWidth="true" hidden="false" outlineLevel="0" max="10" min="10" style="1" width="55"/>
    <col collapsed="false" customWidth="true" hidden="false" outlineLevel="0" max="11" min="11" style="1" width="34"/>
    <col collapsed="false" customWidth="true" hidden="false" outlineLevel="0" max="13" min="12" style="1" width="20"/>
    <col collapsed="false" customWidth="true" hidden="false" outlineLevel="0" max="14" min="14" style="1" width="52"/>
    <col collapsed="false" customWidth="true" hidden="false" outlineLevel="0" max="15" min="15" style="1" width="12"/>
    <col collapsed="false" customWidth="true" hidden="false" outlineLevel="0" max="16" min="16" style="1" width="30"/>
    <col collapsed="false" customWidth="true" hidden="false" outlineLevel="0" max="17" min="17" style="1" width="28"/>
    <col collapsed="false" customWidth="true" hidden="false" outlineLevel="0" max="18" min="18" style="1" width="34"/>
    <col collapsed="false" customWidth="true" hidden="false" outlineLevel="0" max="19" min="19" style="1" width="26"/>
    <col collapsed="false" customWidth="true" hidden="false" outlineLevel="0" max="20" min="20" style="1" width="55"/>
    <col collapsed="false" customWidth="true" hidden="false" outlineLevel="0" max="21" min="21" style="1" width="48"/>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1425</v>
      </c>
      <c r="B1" s="8"/>
      <c r="C1" s="8"/>
      <c r="D1" s="8"/>
      <c r="E1" s="8"/>
      <c r="F1" s="8"/>
      <c r="G1" s="8"/>
      <c r="H1" s="8"/>
      <c r="I1" s="8"/>
      <c r="J1" s="8"/>
      <c r="K1" s="8"/>
      <c r="L1" s="8"/>
      <c r="M1" s="8"/>
      <c r="N1" s="8"/>
      <c r="O1" s="8"/>
      <c r="P1" s="8"/>
      <c r="Q1" s="8"/>
      <c r="R1" s="8"/>
      <c r="S1" s="8"/>
      <c r="T1" s="8"/>
      <c r="U1" s="8"/>
      <c r="V1" s="8"/>
      <c r="W1" s="8"/>
      <c r="X1" s="8"/>
    </row>
    <row r="2" customFormat="false" ht="33.75" hidden="false" customHeight="true" outlineLevel="0" collapsed="false">
      <c r="A2" s="19" t="s">
        <v>1426</v>
      </c>
      <c r="B2" s="19"/>
      <c r="C2" s="19"/>
      <c r="D2" s="19"/>
      <c r="E2" s="19"/>
      <c r="F2" s="19"/>
      <c r="G2" s="19"/>
      <c r="H2" s="19"/>
      <c r="I2" s="19"/>
      <c r="J2" s="19"/>
      <c r="K2" s="19"/>
      <c r="L2" s="19"/>
      <c r="M2" s="19"/>
      <c r="N2" s="19"/>
      <c r="O2" s="19"/>
      <c r="P2" s="19"/>
      <c r="Q2" s="19"/>
      <c r="R2" s="19"/>
      <c r="S2" s="19"/>
      <c r="T2" s="19"/>
      <c r="U2" s="19"/>
      <c r="V2" s="19"/>
      <c r="W2" s="19"/>
      <c r="X2" s="19"/>
    </row>
    <row r="4" customFormat="false" ht="33.75" hidden="false" customHeight="true" outlineLevel="0" collapsed="false">
      <c r="A4" s="10" t="s">
        <v>1427</v>
      </c>
      <c r="B4" s="10" t="s">
        <v>1428</v>
      </c>
      <c r="C4" s="10" t="s">
        <v>1429</v>
      </c>
      <c r="D4" s="10" t="s">
        <v>1430</v>
      </c>
      <c r="E4" s="10" t="s">
        <v>1304</v>
      </c>
      <c r="F4" s="10" t="s">
        <v>1431</v>
      </c>
      <c r="G4" s="10" t="s">
        <v>26</v>
      </c>
      <c r="H4" s="10" t="s">
        <v>1432</v>
      </c>
      <c r="I4" s="10" t="s">
        <v>1433</v>
      </c>
      <c r="J4" s="10" t="s">
        <v>1434</v>
      </c>
      <c r="K4" s="10" t="s">
        <v>1435</v>
      </c>
      <c r="L4" s="10" t="s">
        <v>1436</v>
      </c>
      <c r="M4" s="10" t="s">
        <v>1437</v>
      </c>
      <c r="N4" s="10" t="s">
        <v>1438</v>
      </c>
      <c r="O4" s="10" t="s">
        <v>1439</v>
      </c>
      <c r="P4" s="10" t="s">
        <v>1440</v>
      </c>
      <c r="Q4" s="10" t="s">
        <v>1441</v>
      </c>
      <c r="R4" s="10" t="s">
        <v>1442</v>
      </c>
      <c r="S4" s="10" t="s">
        <v>1443</v>
      </c>
      <c r="T4" s="10" t="s">
        <v>1444</v>
      </c>
      <c r="U4" s="10" t="s">
        <v>1445</v>
      </c>
      <c r="V4" s="10" t="s">
        <v>1446</v>
      </c>
      <c r="W4" s="10" t="s">
        <v>1447</v>
      </c>
      <c r="X4" s="10" t="s">
        <v>1448</v>
      </c>
    </row>
    <row r="5" customFormat="false" ht="39" hidden="false" customHeight="true" outlineLevel="0" collapsed="false">
      <c r="A5" s="20" t="s">
        <v>1449</v>
      </c>
      <c r="B5" s="20" t="s">
        <v>36</v>
      </c>
      <c r="C5" s="20" t="s">
        <v>1449</v>
      </c>
      <c r="D5" s="20" t="s">
        <v>1306</v>
      </c>
      <c r="E5" s="20" t="s">
        <v>1450</v>
      </c>
      <c r="F5" s="20" t="s">
        <v>1451</v>
      </c>
      <c r="G5" s="20" t="s">
        <v>1318</v>
      </c>
      <c r="H5" s="20" t="s">
        <v>1452</v>
      </c>
      <c r="I5" s="20" t="s">
        <v>1453</v>
      </c>
      <c r="J5" s="20" t="s">
        <v>1454</v>
      </c>
      <c r="K5" s="20" t="s">
        <v>1455</v>
      </c>
      <c r="L5" s="22" t="s">
        <v>1456</v>
      </c>
      <c r="M5" s="22" t="s">
        <v>1457</v>
      </c>
      <c r="N5" s="22"/>
      <c r="O5" s="20" t="s">
        <v>1458</v>
      </c>
      <c r="P5" s="20" t="s">
        <v>1459</v>
      </c>
      <c r="Q5" s="20"/>
      <c r="R5" s="20"/>
      <c r="S5" s="20" t="s">
        <v>1460</v>
      </c>
      <c r="T5" s="20" t="s">
        <v>1461</v>
      </c>
      <c r="U5" s="23" t="s">
        <v>1462</v>
      </c>
      <c r="V5" s="20" t="s">
        <v>1463</v>
      </c>
      <c r="W5" s="22" t="s">
        <v>1464</v>
      </c>
      <c r="X5" s="22" t="s">
        <v>1465</v>
      </c>
    </row>
    <row r="6" customFormat="false" ht="39" hidden="false" customHeight="true" outlineLevel="0" collapsed="false">
      <c r="A6" s="21" t="s">
        <v>1449</v>
      </c>
      <c r="B6" s="21" t="s">
        <v>36</v>
      </c>
      <c r="C6" s="21" t="s">
        <v>1449</v>
      </c>
      <c r="D6" s="21" t="s">
        <v>1306</v>
      </c>
      <c r="E6" s="21" t="s">
        <v>1466</v>
      </c>
      <c r="F6" s="21" t="s">
        <v>1467</v>
      </c>
      <c r="G6" s="21" t="s">
        <v>1330</v>
      </c>
      <c r="H6" s="21" t="s">
        <v>1330</v>
      </c>
      <c r="I6" s="21" t="s">
        <v>1453</v>
      </c>
      <c r="J6" s="21" t="s">
        <v>1468</v>
      </c>
      <c r="K6" s="21" t="s">
        <v>1469</v>
      </c>
      <c r="L6" s="24" t="s">
        <v>1456</v>
      </c>
      <c r="M6" s="24" t="s">
        <v>1457</v>
      </c>
      <c r="N6" s="24"/>
      <c r="O6" s="21" t="s">
        <v>1458</v>
      </c>
      <c r="P6" s="21" t="s">
        <v>1459</v>
      </c>
      <c r="Q6" s="21"/>
      <c r="R6" s="21"/>
      <c r="S6" s="21" t="s">
        <v>1460</v>
      </c>
      <c r="T6" s="21" t="s">
        <v>1461</v>
      </c>
      <c r="U6" s="25" t="s">
        <v>1462</v>
      </c>
      <c r="V6" s="21" t="s">
        <v>1463</v>
      </c>
      <c r="W6" s="24" t="s">
        <v>1464</v>
      </c>
      <c r="X6" s="24" t="s">
        <v>1465</v>
      </c>
    </row>
    <row r="7" customFormat="false" ht="39" hidden="false" customHeight="true" outlineLevel="0" collapsed="false">
      <c r="A7" s="20" t="s">
        <v>1449</v>
      </c>
      <c r="B7" s="20" t="s">
        <v>36</v>
      </c>
      <c r="C7" s="20" t="s">
        <v>1449</v>
      </c>
      <c r="D7" s="20" t="s">
        <v>1306</v>
      </c>
      <c r="E7" s="20" t="s">
        <v>1470</v>
      </c>
      <c r="F7" s="20" t="s">
        <v>1471</v>
      </c>
      <c r="G7" s="20" t="s">
        <v>1342</v>
      </c>
      <c r="H7" s="20" t="s">
        <v>1472</v>
      </c>
      <c r="I7" s="20" t="s">
        <v>1453</v>
      </c>
      <c r="J7" s="20" t="s">
        <v>1473</v>
      </c>
      <c r="K7" s="20" t="s">
        <v>1474</v>
      </c>
      <c r="L7" s="22" t="s">
        <v>1456</v>
      </c>
      <c r="M7" s="22" t="s">
        <v>1457</v>
      </c>
      <c r="N7" s="22" t="s">
        <v>1475</v>
      </c>
      <c r="O7" s="20" t="s">
        <v>1458</v>
      </c>
      <c r="P7" s="20" t="s">
        <v>1459</v>
      </c>
      <c r="Q7" s="20"/>
      <c r="R7" s="20"/>
      <c r="S7" s="20" t="s">
        <v>1460</v>
      </c>
      <c r="T7" s="20" t="s">
        <v>1461</v>
      </c>
      <c r="U7" s="23" t="s">
        <v>1462</v>
      </c>
      <c r="V7" s="20" t="s">
        <v>1463</v>
      </c>
      <c r="W7" s="22" t="s">
        <v>1464</v>
      </c>
      <c r="X7" s="22" t="s">
        <v>1465</v>
      </c>
    </row>
    <row r="8" customFormat="false" ht="39" hidden="false" customHeight="true" outlineLevel="0" collapsed="false">
      <c r="A8" s="21" t="s">
        <v>1449</v>
      </c>
      <c r="B8" s="21" t="s">
        <v>36</v>
      </c>
      <c r="C8" s="21" t="s">
        <v>1449</v>
      </c>
      <c r="D8" s="21" t="s">
        <v>1306</v>
      </c>
      <c r="E8" s="21" t="s">
        <v>1476</v>
      </c>
      <c r="F8" s="21" t="s">
        <v>1477</v>
      </c>
      <c r="G8" s="21" t="s">
        <v>1354</v>
      </c>
      <c r="H8" s="21" t="s">
        <v>1478</v>
      </c>
      <c r="I8" s="21" t="s">
        <v>1479</v>
      </c>
      <c r="J8" s="21" t="s">
        <v>1480</v>
      </c>
      <c r="K8" s="21" t="s">
        <v>1481</v>
      </c>
      <c r="L8" s="24" t="s">
        <v>1456</v>
      </c>
      <c r="M8" s="24" t="s">
        <v>1457</v>
      </c>
      <c r="N8" s="24"/>
      <c r="O8" s="21" t="s">
        <v>1458</v>
      </c>
      <c r="P8" s="21" t="s">
        <v>1459</v>
      </c>
      <c r="Q8" s="21"/>
      <c r="R8" s="21"/>
      <c r="S8" s="21" t="s">
        <v>1460</v>
      </c>
      <c r="T8" s="21" t="s">
        <v>1461</v>
      </c>
      <c r="U8" s="25" t="s">
        <v>1462</v>
      </c>
      <c r="V8" s="21" t="s">
        <v>1463</v>
      </c>
      <c r="W8" s="24" t="s">
        <v>1464</v>
      </c>
      <c r="X8" s="24" t="s">
        <v>1465</v>
      </c>
    </row>
    <row r="9" customFormat="false" ht="39" hidden="false" customHeight="true" outlineLevel="0" collapsed="false">
      <c r="A9" s="20" t="s">
        <v>1449</v>
      </c>
      <c r="B9" s="20" t="s">
        <v>36</v>
      </c>
      <c r="C9" s="20" t="s">
        <v>1449</v>
      </c>
      <c r="D9" s="20" t="s">
        <v>1306</v>
      </c>
      <c r="E9" s="20" t="s">
        <v>1482</v>
      </c>
      <c r="F9" s="20" t="s">
        <v>1483</v>
      </c>
      <c r="G9" s="20" t="s">
        <v>1366</v>
      </c>
      <c r="H9" s="20" t="s">
        <v>1484</v>
      </c>
      <c r="I9" s="20" t="s">
        <v>1485</v>
      </c>
      <c r="J9" s="20" t="s">
        <v>1486</v>
      </c>
      <c r="K9" s="20" t="s">
        <v>1487</v>
      </c>
      <c r="L9" s="22" t="s">
        <v>1456</v>
      </c>
      <c r="M9" s="22" t="s">
        <v>1457</v>
      </c>
      <c r="N9" s="22" t="s">
        <v>1488</v>
      </c>
      <c r="O9" s="20" t="s">
        <v>1489</v>
      </c>
      <c r="P9" s="20" t="s">
        <v>1459</v>
      </c>
      <c r="Q9" s="20"/>
      <c r="R9" s="20"/>
      <c r="S9" s="20" t="s">
        <v>1460</v>
      </c>
      <c r="T9" s="20" t="s">
        <v>1461</v>
      </c>
      <c r="U9" s="23" t="s">
        <v>1462</v>
      </c>
      <c r="V9" s="20" t="s">
        <v>1463</v>
      </c>
      <c r="W9" s="22" t="s">
        <v>1464</v>
      </c>
      <c r="X9" s="22" t="s">
        <v>1465</v>
      </c>
    </row>
    <row r="10" customFormat="false" ht="39" hidden="false" customHeight="true" outlineLevel="0" collapsed="false">
      <c r="A10" s="21" t="s">
        <v>1449</v>
      </c>
      <c r="B10" s="21" t="s">
        <v>36</v>
      </c>
      <c r="C10" s="21" t="s">
        <v>1449</v>
      </c>
      <c r="D10" s="21" t="s">
        <v>1306</v>
      </c>
      <c r="E10" s="21" t="s">
        <v>1490</v>
      </c>
      <c r="F10" s="21" t="s">
        <v>1491</v>
      </c>
      <c r="G10" s="21" t="s">
        <v>1378</v>
      </c>
      <c r="H10" s="21" t="s">
        <v>1378</v>
      </c>
      <c r="I10" s="21" t="s">
        <v>1492</v>
      </c>
      <c r="J10" s="21" t="s">
        <v>1493</v>
      </c>
      <c r="K10" s="21" t="s">
        <v>1494</v>
      </c>
      <c r="L10" s="24" t="s">
        <v>1456</v>
      </c>
      <c r="M10" s="24" t="s">
        <v>1457</v>
      </c>
      <c r="N10" s="24" t="s">
        <v>1495</v>
      </c>
      <c r="O10" s="21" t="s">
        <v>1458</v>
      </c>
      <c r="P10" s="21" t="s">
        <v>1459</v>
      </c>
      <c r="Q10" s="21"/>
      <c r="R10" s="21"/>
      <c r="S10" s="21" t="s">
        <v>1460</v>
      </c>
      <c r="T10" s="21" t="s">
        <v>1461</v>
      </c>
      <c r="U10" s="25" t="s">
        <v>1462</v>
      </c>
      <c r="V10" s="21" t="s">
        <v>1463</v>
      </c>
      <c r="W10" s="24" t="s">
        <v>1464</v>
      </c>
      <c r="X10" s="24" t="s">
        <v>1465</v>
      </c>
    </row>
    <row r="11" customFormat="false" ht="39" hidden="false" customHeight="true" outlineLevel="0" collapsed="false">
      <c r="A11" s="20" t="s">
        <v>1449</v>
      </c>
      <c r="B11" s="20" t="s">
        <v>36</v>
      </c>
      <c r="C11" s="20" t="s">
        <v>1449</v>
      </c>
      <c r="D11" s="20" t="s">
        <v>1306</v>
      </c>
      <c r="E11" s="20" t="s">
        <v>1496</v>
      </c>
      <c r="F11" s="20" t="s">
        <v>1497</v>
      </c>
      <c r="G11" s="20" t="s">
        <v>1390</v>
      </c>
      <c r="H11" s="20" t="s">
        <v>1390</v>
      </c>
      <c r="I11" s="20" t="s">
        <v>1498</v>
      </c>
      <c r="J11" s="20" t="s">
        <v>1499</v>
      </c>
      <c r="K11" s="20" t="s">
        <v>1500</v>
      </c>
      <c r="L11" s="22" t="s">
        <v>1456</v>
      </c>
      <c r="M11" s="22" t="s">
        <v>1457</v>
      </c>
      <c r="N11" s="22"/>
      <c r="O11" s="20" t="s">
        <v>1489</v>
      </c>
      <c r="P11" s="20" t="s">
        <v>1459</v>
      </c>
      <c r="Q11" s="20"/>
      <c r="R11" s="20"/>
      <c r="S11" s="20" t="s">
        <v>1460</v>
      </c>
      <c r="T11" s="20" t="s">
        <v>1461</v>
      </c>
      <c r="U11" s="23" t="s">
        <v>1462</v>
      </c>
      <c r="V11" s="20" t="s">
        <v>1463</v>
      </c>
      <c r="W11" s="22" t="s">
        <v>1464</v>
      </c>
      <c r="X11" s="22" t="s">
        <v>1465</v>
      </c>
    </row>
    <row r="12" customFormat="false" ht="39" hidden="false" customHeight="true" outlineLevel="0" collapsed="false">
      <c r="A12" s="21" t="s">
        <v>1449</v>
      </c>
      <c r="B12" s="21" t="s">
        <v>36</v>
      </c>
      <c r="C12" s="21" t="s">
        <v>1449</v>
      </c>
      <c r="D12" s="21" t="s">
        <v>1306</v>
      </c>
      <c r="E12" s="21" t="s">
        <v>1501</v>
      </c>
      <c r="F12" s="21" t="s">
        <v>1502</v>
      </c>
      <c r="G12" s="21" t="s">
        <v>1402</v>
      </c>
      <c r="H12" s="21" t="s">
        <v>1503</v>
      </c>
      <c r="I12" s="21" t="s">
        <v>1504</v>
      </c>
      <c r="J12" s="21" t="s">
        <v>1505</v>
      </c>
      <c r="K12" s="21" t="s">
        <v>1506</v>
      </c>
      <c r="L12" s="24" t="s">
        <v>1456</v>
      </c>
      <c r="M12" s="24" t="s">
        <v>1457</v>
      </c>
      <c r="N12" s="24" t="s">
        <v>1507</v>
      </c>
      <c r="O12" s="21" t="s">
        <v>1489</v>
      </c>
      <c r="P12" s="21" t="s">
        <v>1459</v>
      </c>
      <c r="Q12" s="21"/>
      <c r="R12" s="21"/>
      <c r="S12" s="21" t="s">
        <v>1460</v>
      </c>
      <c r="T12" s="21" t="s">
        <v>1508</v>
      </c>
      <c r="U12" s="25" t="s">
        <v>1462</v>
      </c>
      <c r="V12" s="21" t="s">
        <v>1463</v>
      </c>
      <c r="W12" s="24" t="s">
        <v>1464</v>
      </c>
      <c r="X12" s="24" t="s">
        <v>1465</v>
      </c>
    </row>
    <row r="13" customFormat="false" ht="51.75" hidden="false" customHeight="true" outlineLevel="0" collapsed="false">
      <c r="A13" s="20" t="s">
        <v>1449</v>
      </c>
      <c r="B13" s="20" t="s">
        <v>36</v>
      </c>
      <c r="C13" s="20" t="s">
        <v>1449</v>
      </c>
      <c r="D13" s="20" t="s">
        <v>1306</v>
      </c>
      <c r="E13" s="20" t="s">
        <v>1509</v>
      </c>
      <c r="F13" s="20" t="s">
        <v>1510</v>
      </c>
      <c r="G13" s="20" t="s">
        <v>1414</v>
      </c>
      <c r="H13" s="20" t="s">
        <v>1414</v>
      </c>
      <c r="I13" s="20" t="s">
        <v>1511</v>
      </c>
      <c r="J13" s="20" t="s">
        <v>1512</v>
      </c>
      <c r="K13" s="20" t="s">
        <v>1513</v>
      </c>
      <c r="L13" s="22" t="s">
        <v>1456</v>
      </c>
      <c r="M13" s="22" t="s">
        <v>1457</v>
      </c>
      <c r="N13" s="22" t="s">
        <v>1514</v>
      </c>
      <c r="O13" s="20" t="s">
        <v>1489</v>
      </c>
      <c r="P13" s="20" t="s">
        <v>1459</v>
      </c>
      <c r="Q13" s="20"/>
      <c r="R13" s="20"/>
      <c r="S13" s="20" t="s">
        <v>1460</v>
      </c>
      <c r="T13" s="20" t="s">
        <v>1515</v>
      </c>
      <c r="U13" s="23" t="s">
        <v>1462</v>
      </c>
      <c r="V13" s="20" t="s">
        <v>1463</v>
      </c>
      <c r="W13" s="22" t="s">
        <v>1464</v>
      </c>
      <c r="X13" s="22" t="s">
        <v>1465</v>
      </c>
    </row>
    <row r="14" customFormat="false" ht="39" hidden="false" customHeight="true" outlineLevel="0" collapsed="false">
      <c r="A14" s="21" t="s">
        <v>1516</v>
      </c>
      <c r="B14" s="21" t="s">
        <v>1517</v>
      </c>
      <c r="C14" s="21" t="s">
        <v>1516</v>
      </c>
      <c r="D14" s="21" t="s">
        <v>1307</v>
      </c>
      <c r="E14" s="21" t="s">
        <v>1450</v>
      </c>
      <c r="F14" s="21" t="s">
        <v>1518</v>
      </c>
      <c r="G14" s="21" t="s">
        <v>1319</v>
      </c>
      <c r="H14" s="21" t="s">
        <v>1519</v>
      </c>
      <c r="I14" s="21" t="s">
        <v>1520</v>
      </c>
      <c r="J14" s="21" t="s">
        <v>1521</v>
      </c>
      <c r="K14" s="21" t="s">
        <v>1522</v>
      </c>
      <c r="L14" s="24" t="s">
        <v>1456</v>
      </c>
      <c r="M14" s="24" t="s">
        <v>1457</v>
      </c>
      <c r="N14" s="24"/>
      <c r="O14" s="21" t="s">
        <v>1458</v>
      </c>
      <c r="P14" s="21" t="s">
        <v>1523</v>
      </c>
      <c r="Q14" s="21"/>
      <c r="R14" s="21"/>
      <c r="S14" s="21" t="s">
        <v>1460</v>
      </c>
      <c r="T14" s="21" t="s">
        <v>1461</v>
      </c>
      <c r="U14" s="25" t="s">
        <v>1524</v>
      </c>
      <c r="V14" s="21" t="s">
        <v>1463</v>
      </c>
      <c r="W14" s="24" t="s">
        <v>1464</v>
      </c>
      <c r="X14" s="24" t="s">
        <v>1465</v>
      </c>
    </row>
    <row r="15" customFormat="false" ht="39" hidden="false" customHeight="true" outlineLevel="0" collapsed="false">
      <c r="A15" s="20" t="s">
        <v>1516</v>
      </c>
      <c r="B15" s="20" t="s">
        <v>1517</v>
      </c>
      <c r="C15" s="20" t="s">
        <v>1516</v>
      </c>
      <c r="D15" s="20" t="s">
        <v>1307</v>
      </c>
      <c r="E15" s="20" t="s">
        <v>1466</v>
      </c>
      <c r="F15" s="20" t="s">
        <v>1525</v>
      </c>
      <c r="G15" s="20" t="s">
        <v>1331</v>
      </c>
      <c r="H15" s="20" t="s">
        <v>1526</v>
      </c>
      <c r="I15" s="20" t="s">
        <v>1520</v>
      </c>
      <c r="J15" s="20" t="s">
        <v>1527</v>
      </c>
      <c r="K15" s="20" t="s">
        <v>1528</v>
      </c>
      <c r="L15" s="22" t="s">
        <v>1456</v>
      </c>
      <c r="M15" s="22" t="s">
        <v>1457</v>
      </c>
      <c r="N15" s="22"/>
      <c r="O15" s="20" t="s">
        <v>1458</v>
      </c>
      <c r="P15" s="20" t="s">
        <v>1523</v>
      </c>
      <c r="Q15" s="20"/>
      <c r="R15" s="20"/>
      <c r="S15" s="20" t="s">
        <v>1460</v>
      </c>
      <c r="T15" s="20" t="s">
        <v>1461</v>
      </c>
      <c r="U15" s="23" t="s">
        <v>1524</v>
      </c>
      <c r="V15" s="20" t="s">
        <v>1463</v>
      </c>
      <c r="W15" s="22" t="s">
        <v>1464</v>
      </c>
      <c r="X15" s="22" t="s">
        <v>1465</v>
      </c>
    </row>
    <row r="16" customFormat="false" ht="39" hidden="false" customHeight="true" outlineLevel="0" collapsed="false">
      <c r="A16" s="21" t="s">
        <v>1516</v>
      </c>
      <c r="B16" s="21" t="s">
        <v>1517</v>
      </c>
      <c r="C16" s="21" t="s">
        <v>1516</v>
      </c>
      <c r="D16" s="21" t="s">
        <v>1307</v>
      </c>
      <c r="E16" s="21" t="s">
        <v>1470</v>
      </c>
      <c r="F16" s="21" t="s">
        <v>1529</v>
      </c>
      <c r="G16" s="21" t="s">
        <v>1343</v>
      </c>
      <c r="H16" s="21" t="s">
        <v>1530</v>
      </c>
      <c r="I16" s="21" t="s">
        <v>1531</v>
      </c>
      <c r="J16" s="21" t="s">
        <v>1532</v>
      </c>
      <c r="K16" s="21" t="s">
        <v>1533</v>
      </c>
      <c r="L16" s="24" t="s">
        <v>1456</v>
      </c>
      <c r="M16" s="24" t="s">
        <v>1457</v>
      </c>
      <c r="N16" s="24"/>
      <c r="O16" s="21" t="s">
        <v>1458</v>
      </c>
      <c r="P16" s="21" t="s">
        <v>1523</v>
      </c>
      <c r="Q16" s="21"/>
      <c r="R16" s="21"/>
      <c r="S16" s="21" t="s">
        <v>1460</v>
      </c>
      <c r="T16" s="21" t="s">
        <v>1461</v>
      </c>
      <c r="U16" s="25" t="s">
        <v>1524</v>
      </c>
      <c r="V16" s="21" t="s">
        <v>1463</v>
      </c>
      <c r="W16" s="24" t="s">
        <v>1464</v>
      </c>
      <c r="X16" s="24" t="s">
        <v>1465</v>
      </c>
    </row>
    <row r="17" customFormat="false" ht="39" hidden="false" customHeight="true" outlineLevel="0" collapsed="false">
      <c r="A17" s="20" t="s">
        <v>1516</v>
      </c>
      <c r="B17" s="20" t="s">
        <v>1517</v>
      </c>
      <c r="C17" s="20" t="s">
        <v>1516</v>
      </c>
      <c r="D17" s="20" t="s">
        <v>1307</v>
      </c>
      <c r="E17" s="20" t="s">
        <v>1476</v>
      </c>
      <c r="F17" s="20" t="s">
        <v>1534</v>
      </c>
      <c r="G17" s="20" t="s">
        <v>1355</v>
      </c>
      <c r="H17" s="20" t="s">
        <v>1355</v>
      </c>
      <c r="I17" s="20" t="s">
        <v>1535</v>
      </c>
      <c r="J17" s="20" t="s">
        <v>1536</v>
      </c>
      <c r="K17" s="20" t="s">
        <v>1537</v>
      </c>
      <c r="L17" s="22" t="s">
        <v>1456</v>
      </c>
      <c r="M17" s="22" t="s">
        <v>1457</v>
      </c>
      <c r="N17" s="22"/>
      <c r="O17" s="20" t="s">
        <v>1489</v>
      </c>
      <c r="P17" s="20" t="s">
        <v>1523</v>
      </c>
      <c r="Q17" s="20"/>
      <c r="R17" s="20"/>
      <c r="S17" s="20" t="s">
        <v>1460</v>
      </c>
      <c r="T17" s="20" t="s">
        <v>1461</v>
      </c>
      <c r="U17" s="23" t="s">
        <v>1524</v>
      </c>
      <c r="V17" s="20" t="s">
        <v>1463</v>
      </c>
      <c r="W17" s="22" t="s">
        <v>1464</v>
      </c>
      <c r="X17" s="22" t="s">
        <v>1465</v>
      </c>
    </row>
    <row r="18" customFormat="false" ht="39" hidden="false" customHeight="true" outlineLevel="0" collapsed="false">
      <c r="A18" s="21" t="s">
        <v>1516</v>
      </c>
      <c r="B18" s="21" t="s">
        <v>1517</v>
      </c>
      <c r="C18" s="21" t="s">
        <v>1516</v>
      </c>
      <c r="D18" s="21" t="s">
        <v>1307</v>
      </c>
      <c r="E18" s="21" t="s">
        <v>1482</v>
      </c>
      <c r="F18" s="21" t="s">
        <v>1538</v>
      </c>
      <c r="G18" s="21" t="s">
        <v>1367</v>
      </c>
      <c r="H18" s="21" t="s">
        <v>1539</v>
      </c>
      <c r="I18" s="21" t="s">
        <v>1540</v>
      </c>
      <c r="J18" s="21" t="s">
        <v>1541</v>
      </c>
      <c r="K18" s="21" t="s">
        <v>1542</v>
      </c>
      <c r="L18" s="24" t="s">
        <v>1456</v>
      </c>
      <c r="M18" s="24" t="s">
        <v>1457</v>
      </c>
      <c r="N18" s="24"/>
      <c r="O18" s="21" t="s">
        <v>1489</v>
      </c>
      <c r="P18" s="21" t="s">
        <v>1523</v>
      </c>
      <c r="Q18" s="21"/>
      <c r="R18" s="21"/>
      <c r="S18" s="21" t="s">
        <v>1460</v>
      </c>
      <c r="T18" s="21" t="s">
        <v>1461</v>
      </c>
      <c r="U18" s="25" t="s">
        <v>1524</v>
      </c>
      <c r="V18" s="21" t="s">
        <v>1463</v>
      </c>
      <c r="W18" s="24" t="s">
        <v>1464</v>
      </c>
      <c r="X18" s="24" t="s">
        <v>1465</v>
      </c>
    </row>
    <row r="19" customFormat="false" ht="51.75" hidden="false" customHeight="true" outlineLevel="0" collapsed="false">
      <c r="A19" s="20" t="s">
        <v>1516</v>
      </c>
      <c r="B19" s="20" t="s">
        <v>1517</v>
      </c>
      <c r="C19" s="20" t="s">
        <v>1516</v>
      </c>
      <c r="D19" s="20" t="s">
        <v>1307</v>
      </c>
      <c r="E19" s="20" t="s">
        <v>1490</v>
      </c>
      <c r="F19" s="20" t="s">
        <v>1543</v>
      </c>
      <c r="G19" s="20" t="s">
        <v>1379</v>
      </c>
      <c r="H19" s="20" t="s">
        <v>1544</v>
      </c>
      <c r="I19" s="20" t="s">
        <v>1545</v>
      </c>
      <c r="J19" s="20" t="s">
        <v>1546</v>
      </c>
      <c r="K19" s="20" t="s">
        <v>1547</v>
      </c>
      <c r="L19" s="22" t="s">
        <v>1456</v>
      </c>
      <c r="M19" s="22" t="s">
        <v>1457</v>
      </c>
      <c r="N19" s="22" t="s">
        <v>1548</v>
      </c>
      <c r="O19" s="20" t="s">
        <v>1489</v>
      </c>
      <c r="P19" s="20" t="s">
        <v>1523</v>
      </c>
      <c r="Q19" s="20"/>
      <c r="R19" s="20"/>
      <c r="S19" s="20" t="s">
        <v>1460</v>
      </c>
      <c r="T19" s="20" t="s">
        <v>1549</v>
      </c>
      <c r="U19" s="23" t="s">
        <v>1524</v>
      </c>
      <c r="V19" s="20" t="s">
        <v>1463</v>
      </c>
      <c r="W19" s="22" t="s">
        <v>1464</v>
      </c>
      <c r="X19" s="22" t="s">
        <v>1465</v>
      </c>
    </row>
    <row r="20" customFormat="false" ht="39" hidden="false" customHeight="true" outlineLevel="0" collapsed="false">
      <c r="A20" s="21" t="s">
        <v>1516</v>
      </c>
      <c r="B20" s="21" t="s">
        <v>1517</v>
      </c>
      <c r="C20" s="21" t="s">
        <v>1516</v>
      </c>
      <c r="D20" s="21" t="s">
        <v>1307</v>
      </c>
      <c r="E20" s="21" t="s">
        <v>1496</v>
      </c>
      <c r="F20" s="21" t="s">
        <v>1550</v>
      </c>
      <c r="G20" s="21" t="s">
        <v>1391</v>
      </c>
      <c r="H20" s="21" t="s">
        <v>1551</v>
      </c>
      <c r="I20" s="21" t="s">
        <v>1552</v>
      </c>
      <c r="J20" s="21" t="s">
        <v>1553</v>
      </c>
      <c r="K20" s="21" t="s">
        <v>1554</v>
      </c>
      <c r="L20" s="24" t="s">
        <v>1456</v>
      </c>
      <c r="M20" s="24" t="s">
        <v>1457</v>
      </c>
      <c r="N20" s="24" t="s">
        <v>1555</v>
      </c>
      <c r="O20" s="21" t="s">
        <v>1489</v>
      </c>
      <c r="P20" s="21" t="s">
        <v>1523</v>
      </c>
      <c r="Q20" s="21"/>
      <c r="R20" s="21"/>
      <c r="S20" s="21" t="s">
        <v>1460</v>
      </c>
      <c r="T20" s="21" t="s">
        <v>1556</v>
      </c>
      <c r="U20" s="25" t="s">
        <v>1524</v>
      </c>
      <c r="V20" s="21" t="s">
        <v>1463</v>
      </c>
      <c r="W20" s="24" t="s">
        <v>1464</v>
      </c>
      <c r="X20" s="24" t="s">
        <v>1465</v>
      </c>
    </row>
    <row r="21" customFormat="false" ht="39" hidden="false" customHeight="true" outlineLevel="0" collapsed="false">
      <c r="A21" s="20" t="s">
        <v>1516</v>
      </c>
      <c r="B21" s="20" t="s">
        <v>1517</v>
      </c>
      <c r="C21" s="20" t="s">
        <v>1516</v>
      </c>
      <c r="D21" s="20" t="s">
        <v>1307</v>
      </c>
      <c r="E21" s="20" t="s">
        <v>1501</v>
      </c>
      <c r="F21" s="20" t="s">
        <v>1557</v>
      </c>
      <c r="G21" s="20" t="s">
        <v>1403</v>
      </c>
      <c r="H21" s="20" t="s">
        <v>1558</v>
      </c>
      <c r="I21" s="20" t="s">
        <v>1559</v>
      </c>
      <c r="J21" s="20" t="s">
        <v>1560</v>
      </c>
      <c r="K21" s="20" t="s">
        <v>1561</v>
      </c>
      <c r="L21" s="22" t="s">
        <v>1456</v>
      </c>
      <c r="M21" s="22" t="s">
        <v>1457</v>
      </c>
      <c r="N21" s="22" t="s">
        <v>1562</v>
      </c>
      <c r="O21" s="20" t="s">
        <v>1489</v>
      </c>
      <c r="P21" s="20" t="s">
        <v>1523</v>
      </c>
      <c r="Q21" s="20"/>
      <c r="R21" s="20"/>
      <c r="S21" s="20" t="s">
        <v>1460</v>
      </c>
      <c r="T21" s="20" t="s">
        <v>1563</v>
      </c>
      <c r="U21" s="23" t="s">
        <v>1524</v>
      </c>
      <c r="V21" s="20" t="s">
        <v>1463</v>
      </c>
      <c r="W21" s="22" t="s">
        <v>1464</v>
      </c>
      <c r="X21" s="22" t="s">
        <v>1465</v>
      </c>
    </row>
    <row r="22" customFormat="false" ht="39" hidden="false" customHeight="true" outlineLevel="0" collapsed="false">
      <c r="A22" s="21" t="s">
        <v>1516</v>
      </c>
      <c r="B22" s="21" t="s">
        <v>1517</v>
      </c>
      <c r="C22" s="21" t="s">
        <v>1516</v>
      </c>
      <c r="D22" s="21" t="s">
        <v>1307</v>
      </c>
      <c r="E22" s="21" t="s">
        <v>1509</v>
      </c>
      <c r="F22" s="21" t="s">
        <v>1564</v>
      </c>
      <c r="G22" s="21" t="s">
        <v>1415</v>
      </c>
      <c r="H22" s="21" t="s">
        <v>1565</v>
      </c>
      <c r="I22" s="21" t="s">
        <v>1566</v>
      </c>
      <c r="J22" s="21" t="s">
        <v>1567</v>
      </c>
      <c r="K22" s="21" t="s">
        <v>1568</v>
      </c>
      <c r="L22" s="24" t="s">
        <v>1456</v>
      </c>
      <c r="M22" s="24" t="s">
        <v>1457</v>
      </c>
      <c r="N22" s="24" t="s">
        <v>1569</v>
      </c>
      <c r="O22" s="21" t="s">
        <v>1489</v>
      </c>
      <c r="P22" s="21" t="s">
        <v>1523</v>
      </c>
      <c r="Q22" s="21"/>
      <c r="R22" s="21"/>
      <c r="S22" s="21" t="s">
        <v>1460</v>
      </c>
      <c r="T22" s="21" t="s">
        <v>1570</v>
      </c>
      <c r="U22" s="25" t="s">
        <v>1524</v>
      </c>
      <c r="V22" s="21" t="s">
        <v>1463</v>
      </c>
      <c r="W22" s="24" t="s">
        <v>1464</v>
      </c>
      <c r="X22" s="24" t="s">
        <v>1465</v>
      </c>
    </row>
    <row r="23" customFormat="false" ht="39" hidden="false" customHeight="true" outlineLevel="0" collapsed="false">
      <c r="A23" s="20" t="s">
        <v>1571</v>
      </c>
      <c r="B23" s="20" t="s">
        <v>1572</v>
      </c>
      <c r="C23" s="20" t="s">
        <v>1571</v>
      </c>
      <c r="D23" s="20" t="s">
        <v>1308</v>
      </c>
      <c r="E23" s="20" t="s">
        <v>1450</v>
      </c>
      <c r="F23" s="20" t="s">
        <v>1573</v>
      </c>
      <c r="G23" s="20" t="s">
        <v>1320</v>
      </c>
      <c r="H23" s="20" t="s">
        <v>1574</v>
      </c>
      <c r="I23" s="20" t="s">
        <v>1575</v>
      </c>
      <c r="J23" s="20" t="s">
        <v>1576</v>
      </c>
      <c r="K23" s="20" t="s">
        <v>1577</v>
      </c>
      <c r="L23" s="22" t="s">
        <v>1456</v>
      </c>
      <c r="M23" s="22" t="s">
        <v>1457</v>
      </c>
      <c r="N23" s="22"/>
      <c r="O23" s="20" t="s">
        <v>1458</v>
      </c>
      <c r="P23" s="20" t="s">
        <v>1578</v>
      </c>
      <c r="Q23" s="20"/>
      <c r="R23" s="20"/>
      <c r="S23" s="20" t="s">
        <v>1460</v>
      </c>
      <c r="T23" s="20" t="s">
        <v>1461</v>
      </c>
      <c r="U23" s="23" t="s">
        <v>1579</v>
      </c>
      <c r="V23" s="20" t="s">
        <v>1463</v>
      </c>
      <c r="W23" s="22" t="s">
        <v>1464</v>
      </c>
      <c r="X23" s="22" t="s">
        <v>1465</v>
      </c>
    </row>
    <row r="24" customFormat="false" ht="39" hidden="false" customHeight="true" outlineLevel="0" collapsed="false">
      <c r="A24" s="21" t="s">
        <v>1571</v>
      </c>
      <c r="B24" s="21" t="s">
        <v>1572</v>
      </c>
      <c r="C24" s="21" t="s">
        <v>1571</v>
      </c>
      <c r="D24" s="21" t="s">
        <v>1308</v>
      </c>
      <c r="E24" s="21" t="s">
        <v>1466</v>
      </c>
      <c r="F24" s="21" t="s">
        <v>1580</v>
      </c>
      <c r="G24" s="21" t="s">
        <v>1332</v>
      </c>
      <c r="H24" s="21" t="s">
        <v>1332</v>
      </c>
      <c r="I24" s="21" t="s">
        <v>1575</v>
      </c>
      <c r="J24" s="21" t="s">
        <v>1581</v>
      </c>
      <c r="K24" s="21" t="s">
        <v>1582</v>
      </c>
      <c r="L24" s="24" t="s">
        <v>1456</v>
      </c>
      <c r="M24" s="24" t="s">
        <v>1457</v>
      </c>
      <c r="N24" s="24"/>
      <c r="O24" s="21" t="s">
        <v>1458</v>
      </c>
      <c r="P24" s="21" t="s">
        <v>1578</v>
      </c>
      <c r="Q24" s="21"/>
      <c r="R24" s="21"/>
      <c r="S24" s="21" t="s">
        <v>1460</v>
      </c>
      <c r="T24" s="21" t="s">
        <v>1461</v>
      </c>
      <c r="U24" s="25" t="s">
        <v>1579</v>
      </c>
      <c r="V24" s="21" t="s">
        <v>1463</v>
      </c>
      <c r="W24" s="24" t="s">
        <v>1464</v>
      </c>
      <c r="X24" s="24" t="s">
        <v>1465</v>
      </c>
    </row>
    <row r="25" customFormat="false" ht="39" hidden="false" customHeight="true" outlineLevel="0" collapsed="false">
      <c r="A25" s="20" t="s">
        <v>1571</v>
      </c>
      <c r="B25" s="20" t="s">
        <v>1572</v>
      </c>
      <c r="C25" s="20" t="s">
        <v>1571</v>
      </c>
      <c r="D25" s="20" t="s">
        <v>1308</v>
      </c>
      <c r="E25" s="20" t="s">
        <v>1470</v>
      </c>
      <c r="F25" s="20" t="s">
        <v>1583</v>
      </c>
      <c r="G25" s="20" t="s">
        <v>1344</v>
      </c>
      <c r="H25" s="20" t="s">
        <v>1584</v>
      </c>
      <c r="I25" s="20" t="s">
        <v>1575</v>
      </c>
      <c r="J25" s="20" t="s">
        <v>1585</v>
      </c>
      <c r="K25" s="20" t="s">
        <v>1586</v>
      </c>
      <c r="L25" s="22" t="s">
        <v>1456</v>
      </c>
      <c r="M25" s="22" t="s">
        <v>1457</v>
      </c>
      <c r="N25" s="22"/>
      <c r="O25" s="20" t="s">
        <v>1458</v>
      </c>
      <c r="P25" s="20" t="s">
        <v>1578</v>
      </c>
      <c r="Q25" s="20"/>
      <c r="R25" s="20"/>
      <c r="S25" s="20" t="s">
        <v>1460</v>
      </c>
      <c r="T25" s="20" t="s">
        <v>1461</v>
      </c>
      <c r="U25" s="23" t="s">
        <v>1579</v>
      </c>
      <c r="V25" s="20" t="s">
        <v>1463</v>
      </c>
      <c r="W25" s="22" t="s">
        <v>1464</v>
      </c>
      <c r="X25" s="22" t="s">
        <v>1465</v>
      </c>
    </row>
    <row r="26" customFormat="false" ht="39" hidden="false" customHeight="true" outlineLevel="0" collapsed="false">
      <c r="A26" s="21" t="s">
        <v>1571</v>
      </c>
      <c r="B26" s="21" t="s">
        <v>1572</v>
      </c>
      <c r="C26" s="21" t="s">
        <v>1571</v>
      </c>
      <c r="D26" s="21" t="s">
        <v>1308</v>
      </c>
      <c r="E26" s="21" t="s">
        <v>1476</v>
      </c>
      <c r="F26" s="21" t="s">
        <v>1587</v>
      </c>
      <c r="G26" s="21" t="s">
        <v>1356</v>
      </c>
      <c r="H26" s="21" t="s">
        <v>1588</v>
      </c>
      <c r="I26" s="21" t="s">
        <v>1589</v>
      </c>
      <c r="J26" s="21" t="s">
        <v>1590</v>
      </c>
      <c r="K26" s="21" t="s">
        <v>1591</v>
      </c>
      <c r="L26" s="24" t="s">
        <v>1456</v>
      </c>
      <c r="M26" s="24" t="s">
        <v>1457</v>
      </c>
      <c r="N26" s="24"/>
      <c r="O26" s="21" t="s">
        <v>1489</v>
      </c>
      <c r="P26" s="21" t="s">
        <v>1578</v>
      </c>
      <c r="Q26" s="21"/>
      <c r="R26" s="21"/>
      <c r="S26" s="21" t="s">
        <v>1460</v>
      </c>
      <c r="T26" s="21" t="s">
        <v>1461</v>
      </c>
      <c r="U26" s="25" t="s">
        <v>1579</v>
      </c>
      <c r="V26" s="21" t="s">
        <v>1463</v>
      </c>
      <c r="W26" s="24" t="s">
        <v>1464</v>
      </c>
      <c r="X26" s="24" t="s">
        <v>1465</v>
      </c>
    </row>
    <row r="27" customFormat="false" ht="39" hidden="false" customHeight="true" outlineLevel="0" collapsed="false">
      <c r="A27" s="20" t="s">
        <v>1571</v>
      </c>
      <c r="B27" s="20" t="s">
        <v>1572</v>
      </c>
      <c r="C27" s="20" t="s">
        <v>1571</v>
      </c>
      <c r="D27" s="20" t="s">
        <v>1308</v>
      </c>
      <c r="E27" s="20" t="s">
        <v>1482</v>
      </c>
      <c r="F27" s="20" t="s">
        <v>1592</v>
      </c>
      <c r="G27" s="20" t="s">
        <v>1368</v>
      </c>
      <c r="H27" s="20" t="s">
        <v>1593</v>
      </c>
      <c r="I27" s="20" t="s">
        <v>1594</v>
      </c>
      <c r="J27" s="20" t="s">
        <v>1595</v>
      </c>
      <c r="K27" s="20" t="s">
        <v>1596</v>
      </c>
      <c r="L27" s="22" t="s">
        <v>1456</v>
      </c>
      <c r="M27" s="22" t="s">
        <v>1457</v>
      </c>
      <c r="N27" s="22" t="s">
        <v>1597</v>
      </c>
      <c r="O27" s="20" t="s">
        <v>1489</v>
      </c>
      <c r="P27" s="20" t="s">
        <v>1578</v>
      </c>
      <c r="Q27" s="20"/>
      <c r="R27" s="20"/>
      <c r="S27" s="20" t="s">
        <v>1460</v>
      </c>
      <c r="T27" s="20" t="s">
        <v>1598</v>
      </c>
      <c r="U27" s="23" t="s">
        <v>1579</v>
      </c>
      <c r="V27" s="20" t="s">
        <v>1463</v>
      </c>
      <c r="W27" s="22" t="s">
        <v>1464</v>
      </c>
      <c r="X27" s="22" t="s">
        <v>1465</v>
      </c>
    </row>
    <row r="28" customFormat="false" ht="39" hidden="false" customHeight="true" outlineLevel="0" collapsed="false">
      <c r="A28" s="21" t="s">
        <v>1571</v>
      </c>
      <c r="B28" s="21" t="s">
        <v>1572</v>
      </c>
      <c r="C28" s="21" t="s">
        <v>1571</v>
      </c>
      <c r="D28" s="21" t="s">
        <v>1308</v>
      </c>
      <c r="E28" s="21" t="s">
        <v>1490</v>
      </c>
      <c r="F28" s="21" t="s">
        <v>1599</v>
      </c>
      <c r="G28" s="21" t="s">
        <v>1380</v>
      </c>
      <c r="H28" s="21" t="s">
        <v>1380</v>
      </c>
      <c r="I28" s="21" t="s">
        <v>1600</v>
      </c>
      <c r="J28" s="21" t="s">
        <v>1601</v>
      </c>
      <c r="K28" s="21" t="s">
        <v>1602</v>
      </c>
      <c r="L28" s="24" t="s">
        <v>1456</v>
      </c>
      <c r="M28" s="24" t="s">
        <v>1457</v>
      </c>
      <c r="N28" s="24"/>
      <c r="O28" s="21" t="s">
        <v>1489</v>
      </c>
      <c r="P28" s="21" t="s">
        <v>1578</v>
      </c>
      <c r="Q28" s="21"/>
      <c r="R28" s="21"/>
      <c r="S28" s="21" t="s">
        <v>1460</v>
      </c>
      <c r="T28" s="21" t="s">
        <v>1461</v>
      </c>
      <c r="U28" s="25" t="s">
        <v>1579</v>
      </c>
      <c r="V28" s="21" t="s">
        <v>1463</v>
      </c>
      <c r="W28" s="24" t="s">
        <v>1464</v>
      </c>
      <c r="X28" s="24" t="s">
        <v>1465</v>
      </c>
    </row>
    <row r="29" customFormat="false" ht="39" hidden="false" customHeight="true" outlineLevel="0" collapsed="false">
      <c r="A29" s="20" t="s">
        <v>1571</v>
      </c>
      <c r="B29" s="20" t="s">
        <v>1572</v>
      </c>
      <c r="C29" s="20" t="s">
        <v>1571</v>
      </c>
      <c r="D29" s="20" t="s">
        <v>1308</v>
      </c>
      <c r="E29" s="20" t="s">
        <v>1496</v>
      </c>
      <c r="F29" s="20" t="s">
        <v>1603</v>
      </c>
      <c r="G29" s="20" t="s">
        <v>1392</v>
      </c>
      <c r="H29" s="20" t="s">
        <v>1604</v>
      </c>
      <c r="I29" s="20" t="s">
        <v>1605</v>
      </c>
      <c r="J29" s="20" t="s">
        <v>1606</v>
      </c>
      <c r="K29" s="20" t="s">
        <v>1607</v>
      </c>
      <c r="L29" s="22" t="s">
        <v>1456</v>
      </c>
      <c r="M29" s="22" t="s">
        <v>1457</v>
      </c>
      <c r="N29" s="22"/>
      <c r="O29" s="20" t="s">
        <v>1489</v>
      </c>
      <c r="P29" s="20" t="s">
        <v>1578</v>
      </c>
      <c r="Q29" s="20"/>
      <c r="R29" s="20"/>
      <c r="S29" s="20" t="s">
        <v>1460</v>
      </c>
      <c r="T29" s="20" t="s">
        <v>1461</v>
      </c>
      <c r="U29" s="23" t="s">
        <v>1579</v>
      </c>
      <c r="V29" s="20" t="s">
        <v>1463</v>
      </c>
      <c r="W29" s="22" t="s">
        <v>1464</v>
      </c>
      <c r="X29" s="22" t="s">
        <v>1465</v>
      </c>
    </row>
    <row r="30" customFormat="false" ht="39" hidden="false" customHeight="true" outlineLevel="0" collapsed="false">
      <c r="A30" s="21" t="s">
        <v>1571</v>
      </c>
      <c r="B30" s="21" t="s">
        <v>1572</v>
      </c>
      <c r="C30" s="21" t="s">
        <v>1571</v>
      </c>
      <c r="D30" s="21" t="s">
        <v>1308</v>
      </c>
      <c r="E30" s="21" t="s">
        <v>1501</v>
      </c>
      <c r="F30" s="21" t="s">
        <v>1608</v>
      </c>
      <c r="G30" s="21" t="s">
        <v>1404</v>
      </c>
      <c r="H30" s="21" t="s">
        <v>1609</v>
      </c>
      <c r="I30" s="21" t="s">
        <v>1610</v>
      </c>
      <c r="J30" s="21" t="s">
        <v>1611</v>
      </c>
      <c r="K30" s="21" t="s">
        <v>1612</v>
      </c>
      <c r="L30" s="24" t="s">
        <v>1456</v>
      </c>
      <c r="M30" s="24" t="s">
        <v>1457</v>
      </c>
      <c r="N30" s="24" t="s">
        <v>1613</v>
      </c>
      <c r="O30" s="21" t="s">
        <v>1489</v>
      </c>
      <c r="P30" s="21" t="s">
        <v>1578</v>
      </c>
      <c r="Q30" s="21"/>
      <c r="R30" s="21"/>
      <c r="S30" s="21" t="s">
        <v>1460</v>
      </c>
      <c r="T30" s="21" t="s">
        <v>1614</v>
      </c>
      <c r="U30" s="25" t="s">
        <v>1579</v>
      </c>
      <c r="V30" s="21" t="s">
        <v>1463</v>
      </c>
      <c r="W30" s="24" t="s">
        <v>1464</v>
      </c>
      <c r="X30" s="24" t="s">
        <v>1465</v>
      </c>
    </row>
    <row r="31" customFormat="false" ht="51.75" hidden="false" customHeight="true" outlineLevel="0" collapsed="false">
      <c r="A31" s="20" t="s">
        <v>1571</v>
      </c>
      <c r="B31" s="20" t="s">
        <v>1572</v>
      </c>
      <c r="C31" s="20" t="s">
        <v>1571</v>
      </c>
      <c r="D31" s="20" t="s">
        <v>1308</v>
      </c>
      <c r="E31" s="20" t="s">
        <v>1509</v>
      </c>
      <c r="F31" s="20" t="s">
        <v>1615</v>
      </c>
      <c r="G31" s="20" t="s">
        <v>1416</v>
      </c>
      <c r="H31" s="20" t="s">
        <v>1616</v>
      </c>
      <c r="I31" s="20" t="s">
        <v>1617</v>
      </c>
      <c r="J31" s="20" t="s">
        <v>1618</v>
      </c>
      <c r="K31" s="20" t="s">
        <v>1619</v>
      </c>
      <c r="L31" s="22" t="s">
        <v>1456</v>
      </c>
      <c r="M31" s="22" t="s">
        <v>1457</v>
      </c>
      <c r="N31" s="22" t="s">
        <v>1620</v>
      </c>
      <c r="O31" s="20" t="s">
        <v>1489</v>
      </c>
      <c r="P31" s="20" t="s">
        <v>1578</v>
      </c>
      <c r="Q31" s="20"/>
      <c r="R31" s="20"/>
      <c r="S31" s="20" t="s">
        <v>1460</v>
      </c>
      <c r="T31" s="20" t="s">
        <v>1621</v>
      </c>
      <c r="U31" s="23" t="s">
        <v>1579</v>
      </c>
      <c r="V31" s="20" t="s">
        <v>1463</v>
      </c>
      <c r="W31" s="22" t="s">
        <v>1464</v>
      </c>
      <c r="X31" s="22" t="s">
        <v>1465</v>
      </c>
    </row>
    <row r="32" customFormat="false" ht="39" hidden="false" customHeight="true" outlineLevel="0" collapsed="false">
      <c r="A32" s="21" t="s">
        <v>1622</v>
      </c>
      <c r="B32" s="21" t="s">
        <v>1623</v>
      </c>
      <c r="C32" s="21" t="s">
        <v>1624</v>
      </c>
      <c r="D32" s="21" t="s">
        <v>1309</v>
      </c>
      <c r="E32" s="21" t="s">
        <v>1450</v>
      </c>
      <c r="F32" s="21" t="s">
        <v>1625</v>
      </c>
      <c r="G32" s="21" t="s">
        <v>1321</v>
      </c>
      <c r="H32" s="21" t="s">
        <v>1321</v>
      </c>
      <c r="I32" s="21" t="s">
        <v>1626</v>
      </c>
      <c r="J32" s="21" t="s">
        <v>1627</v>
      </c>
      <c r="K32" s="21" t="s">
        <v>1628</v>
      </c>
      <c r="L32" s="24" t="s">
        <v>1456</v>
      </c>
      <c r="M32" s="24" t="s">
        <v>1457</v>
      </c>
      <c r="N32" s="24"/>
      <c r="O32" s="21" t="s">
        <v>1458</v>
      </c>
      <c r="P32" s="21" t="s">
        <v>1629</v>
      </c>
      <c r="Q32" s="21"/>
      <c r="R32" s="21"/>
      <c r="S32" s="21" t="s">
        <v>1460</v>
      </c>
      <c r="T32" s="21" t="s">
        <v>1461</v>
      </c>
      <c r="U32" s="25" t="s">
        <v>1630</v>
      </c>
      <c r="V32" s="21" t="s">
        <v>1463</v>
      </c>
      <c r="W32" s="24" t="s">
        <v>1464</v>
      </c>
      <c r="X32" s="24" t="s">
        <v>1465</v>
      </c>
    </row>
    <row r="33" customFormat="false" ht="39" hidden="false" customHeight="true" outlineLevel="0" collapsed="false">
      <c r="A33" s="20" t="s">
        <v>1622</v>
      </c>
      <c r="B33" s="20" t="s">
        <v>1623</v>
      </c>
      <c r="C33" s="20" t="s">
        <v>1624</v>
      </c>
      <c r="D33" s="20" t="s">
        <v>1309</v>
      </c>
      <c r="E33" s="20" t="s">
        <v>1466</v>
      </c>
      <c r="F33" s="20" t="s">
        <v>1631</v>
      </c>
      <c r="G33" s="20" t="s">
        <v>1333</v>
      </c>
      <c r="H33" s="20" t="s">
        <v>1333</v>
      </c>
      <c r="I33" s="20" t="s">
        <v>1626</v>
      </c>
      <c r="J33" s="20" t="s">
        <v>1632</v>
      </c>
      <c r="K33" s="20" t="s">
        <v>1633</v>
      </c>
      <c r="L33" s="22" t="s">
        <v>1456</v>
      </c>
      <c r="M33" s="22" t="s">
        <v>1457</v>
      </c>
      <c r="N33" s="22"/>
      <c r="O33" s="20" t="s">
        <v>1458</v>
      </c>
      <c r="P33" s="20" t="s">
        <v>1629</v>
      </c>
      <c r="Q33" s="20"/>
      <c r="R33" s="20"/>
      <c r="S33" s="20" t="s">
        <v>1460</v>
      </c>
      <c r="T33" s="20" t="s">
        <v>1461</v>
      </c>
      <c r="U33" s="23" t="s">
        <v>1630</v>
      </c>
      <c r="V33" s="20" t="s">
        <v>1463</v>
      </c>
      <c r="W33" s="22" t="s">
        <v>1464</v>
      </c>
      <c r="X33" s="22" t="s">
        <v>1465</v>
      </c>
    </row>
    <row r="34" customFormat="false" ht="39" hidden="false" customHeight="true" outlineLevel="0" collapsed="false">
      <c r="A34" s="21" t="s">
        <v>1622</v>
      </c>
      <c r="B34" s="21" t="s">
        <v>1623</v>
      </c>
      <c r="C34" s="21" t="s">
        <v>1624</v>
      </c>
      <c r="D34" s="21" t="s">
        <v>1309</v>
      </c>
      <c r="E34" s="21" t="s">
        <v>1470</v>
      </c>
      <c r="F34" s="21" t="s">
        <v>1634</v>
      </c>
      <c r="G34" s="21" t="s">
        <v>1345</v>
      </c>
      <c r="H34" s="21" t="s">
        <v>1635</v>
      </c>
      <c r="I34" s="21" t="s">
        <v>1636</v>
      </c>
      <c r="J34" s="21" t="s">
        <v>1637</v>
      </c>
      <c r="K34" s="21" t="s">
        <v>1638</v>
      </c>
      <c r="L34" s="24" t="s">
        <v>1456</v>
      </c>
      <c r="M34" s="24" t="s">
        <v>1457</v>
      </c>
      <c r="N34" s="24"/>
      <c r="O34" s="21" t="s">
        <v>1458</v>
      </c>
      <c r="P34" s="21" t="s">
        <v>1629</v>
      </c>
      <c r="Q34" s="21"/>
      <c r="R34" s="21"/>
      <c r="S34" s="21" t="s">
        <v>1460</v>
      </c>
      <c r="T34" s="21" t="s">
        <v>1461</v>
      </c>
      <c r="U34" s="25" t="s">
        <v>1630</v>
      </c>
      <c r="V34" s="21" t="s">
        <v>1463</v>
      </c>
      <c r="W34" s="24" t="s">
        <v>1464</v>
      </c>
      <c r="X34" s="24" t="s">
        <v>1465</v>
      </c>
    </row>
    <row r="35" customFormat="false" ht="39" hidden="false" customHeight="true" outlineLevel="0" collapsed="false">
      <c r="A35" s="20" t="s">
        <v>1622</v>
      </c>
      <c r="B35" s="20" t="s">
        <v>1623</v>
      </c>
      <c r="C35" s="20" t="s">
        <v>1624</v>
      </c>
      <c r="D35" s="20" t="s">
        <v>1309</v>
      </c>
      <c r="E35" s="20" t="s">
        <v>1476</v>
      </c>
      <c r="F35" s="20" t="s">
        <v>1639</v>
      </c>
      <c r="G35" s="20" t="s">
        <v>1357</v>
      </c>
      <c r="H35" s="20" t="s">
        <v>1640</v>
      </c>
      <c r="I35" s="20" t="s">
        <v>1641</v>
      </c>
      <c r="J35" s="20" t="s">
        <v>1642</v>
      </c>
      <c r="K35" s="20" t="s">
        <v>1643</v>
      </c>
      <c r="L35" s="22" t="s">
        <v>1456</v>
      </c>
      <c r="M35" s="22" t="s">
        <v>1457</v>
      </c>
      <c r="N35" s="22"/>
      <c r="O35" s="20" t="s">
        <v>1458</v>
      </c>
      <c r="P35" s="20" t="s">
        <v>1629</v>
      </c>
      <c r="Q35" s="20"/>
      <c r="R35" s="20"/>
      <c r="S35" s="20" t="s">
        <v>1460</v>
      </c>
      <c r="T35" s="20" t="s">
        <v>1461</v>
      </c>
      <c r="U35" s="23" t="s">
        <v>1630</v>
      </c>
      <c r="V35" s="20" t="s">
        <v>1463</v>
      </c>
      <c r="W35" s="22" t="s">
        <v>1464</v>
      </c>
      <c r="X35" s="22" t="s">
        <v>1465</v>
      </c>
    </row>
    <row r="36" customFormat="false" ht="39" hidden="false" customHeight="true" outlineLevel="0" collapsed="false">
      <c r="A36" s="21" t="s">
        <v>1622</v>
      </c>
      <c r="B36" s="21" t="s">
        <v>1623</v>
      </c>
      <c r="C36" s="21" t="s">
        <v>1624</v>
      </c>
      <c r="D36" s="21" t="s">
        <v>1309</v>
      </c>
      <c r="E36" s="21" t="s">
        <v>1482</v>
      </c>
      <c r="F36" s="21" t="s">
        <v>1644</v>
      </c>
      <c r="G36" s="21" t="s">
        <v>1369</v>
      </c>
      <c r="H36" s="21" t="s">
        <v>1369</v>
      </c>
      <c r="I36" s="21" t="s">
        <v>1645</v>
      </c>
      <c r="J36" s="21" t="s">
        <v>1646</v>
      </c>
      <c r="K36" s="21" t="s">
        <v>1647</v>
      </c>
      <c r="L36" s="24" t="s">
        <v>1456</v>
      </c>
      <c r="M36" s="24" t="s">
        <v>1457</v>
      </c>
      <c r="N36" s="24"/>
      <c r="O36" s="21" t="s">
        <v>1458</v>
      </c>
      <c r="P36" s="21" t="s">
        <v>1629</v>
      </c>
      <c r="Q36" s="21"/>
      <c r="R36" s="21"/>
      <c r="S36" s="21" t="s">
        <v>1460</v>
      </c>
      <c r="T36" s="21" t="s">
        <v>1461</v>
      </c>
      <c r="U36" s="25" t="s">
        <v>1630</v>
      </c>
      <c r="V36" s="21" t="s">
        <v>1463</v>
      </c>
      <c r="W36" s="24" t="s">
        <v>1464</v>
      </c>
      <c r="X36" s="24" t="s">
        <v>1465</v>
      </c>
    </row>
    <row r="37" customFormat="false" ht="39" hidden="false" customHeight="true" outlineLevel="0" collapsed="false">
      <c r="A37" s="20" t="s">
        <v>1622</v>
      </c>
      <c r="B37" s="20" t="s">
        <v>1623</v>
      </c>
      <c r="C37" s="20" t="s">
        <v>1624</v>
      </c>
      <c r="D37" s="20" t="s">
        <v>1309</v>
      </c>
      <c r="E37" s="20" t="s">
        <v>1490</v>
      </c>
      <c r="F37" s="20" t="s">
        <v>1648</v>
      </c>
      <c r="G37" s="20" t="s">
        <v>1381</v>
      </c>
      <c r="H37" s="20" t="s">
        <v>1649</v>
      </c>
      <c r="I37" s="20" t="s">
        <v>1650</v>
      </c>
      <c r="J37" s="20" t="s">
        <v>1651</v>
      </c>
      <c r="K37" s="20" t="s">
        <v>1652</v>
      </c>
      <c r="L37" s="22" t="s">
        <v>1456</v>
      </c>
      <c r="M37" s="22" t="s">
        <v>1457</v>
      </c>
      <c r="N37" s="22"/>
      <c r="O37" s="20" t="s">
        <v>1489</v>
      </c>
      <c r="P37" s="20" t="s">
        <v>1629</v>
      </c>
      <c r="Q37" s="20"/>
      <c r="R37" s="20"/>
      <c r="S37" s="20" t="s">
        <v>1460</v>
      </c>
      <c r="T37" s="20" t="s">
        <v>1461</v>
      </c>
      <c r="U37" s="23" t="s">
        <v>1630</v>
      </c>
      <c r="V37" s="20" t="s">
        <v>1463</v>
      </c>
      <c r="W37" s="22" t="s">
        <v>1464</v>
      </c>
      <c r="X37" s="22" t="s">
        <v>1465</v>
      </c>
    </row>
    <row r="38" customFormat="false" ht="39" hidden="false" customHeight="true" outlineLevel="0" collapsed="false">
      <c r="A38" s="21" t="s">
        <v>1622</v>
      </c>
      <c r="B38" s="21" t="s">
        <v>1623</v>
      </c>
      <c r="C38" s="21" t="s">
        <v>1624</v>
      </c>
      <c r="D38" s="21" t="s">
        <v>1309</v>
      </c>
      <c r="E38" s="21" t="s">
        <v>1496</v>
      </c>
      <c r="F38" s="21" t="s">
        <v>1653</v>
      </c>
      <c r="G38" s="21" t="s">
        <v>1393</v>
      </c>
      <c r="H38" s="21" t="s">
        <v>1393</v>
      </c>
      <c r="I38" s="21" t="s">
        <v>1654</v>
      </c>
      <c r="J38" s="21" t="s">
        <v>1655</v>
      </c>
      <c r="K38" s="21" t="s">
        <v>1656</v>
      </c>
      <c r="L38" s="24" t="s">
        <v>1456</v>
      </c>
      <c r="M38" s="24" t="s">
        <v>1457</v>
      </c>
      <c r="N38" s="24" t="s">
        <v>1657</v>
      </c>
      <c r="O38" s="21" t="s">
        <v>1489</v>
      </c>
      <c r="P38" s="21" t="s">
        <v>1629</v>
      </c>
      <c r="Q38" s="21"/>
      <c r="R38" s="21"/>
      <c r="S38" s="21" t="s">
        <v>1460</v>
      </c>
      <c r="T38" s="21" t="s">
        <v>1658</v>
      </c>
      <c r="U38" s="25" t="s">
        <v>1630</v>
      </c>
      <c r="V38" s="21" t="s">
        <v>1463</v>
      </c>
      <c r="W38" s="24" t="s">
        <v>1464</v>
      </c>
      <c r="X38" s="24" t="s">
        <v>1465</v>
      </c>
    </row>
    <row r="39" customFormat="false" ht="39" hidden="false" customHeight="true" outlineLevel="0" collapsed="false">
      <c r="A39" s="20" t="s">
        <v>1622</v>
      </c>
      <c r="B39" s="20" t="s">
        <v>1623</v>
      </c>
      <c r="C39" s="20" t="s">
        <v>1624</v>
      </c>
      <c r="D39" s="20" t="s">
        <v>1309</v>
      </c>
      <c r="E39" s="20" t="s">
        <v>1501</v>
      </c>
      <c r="F39" s="20" t="s">
        <v>1659</v>
      </c>
      <c r="G39" s="20" t="s">
        <v>1405</v>
      </c>
      <c r="H39" s="20" t="s">
        <v>1660</v>
      </c>
      <c r="I39" s="20" t="s">
        <v>1661</v>
      </c>
      <c r="J39" s="20" t="s">
        <v>1662</v>
      </c>
      <c r="K39" s="20" t="s">
        <v>1663</v>
      </c>
      <c r="L39" s="22" t="s">
        <v>1456</v>
      </c>
      <c r="M39" s="22" t="s">
        <v>1457</v>
      </c>
      <c r="N39" s="22" t="s">
        <v>1664</v>
      </c>
      <c r="O39" s="20" t="s">
        <v>1489</v>
      </c>
      <c r="P39" s="20" t="s">
        <v>1629</v>
      </c>
      <c r="Q39" s="20"/>
      <c r="R39" s="20"/>
      <c r="S39" s="20" t="s">
        <v>1460</v>
      </c>
      <c r="T39" s="20" t="s">
        <v>1665</v>
      </c>
      <c r="U39" s="23" t="s">
        <v>1630</v>
      </c>
      <c r="V39" s="20" t="s">
        <v>1463</v>
      </c>
      <c r="W39" s="22" t="s">
        <v>1464</v>
      </c>
      <c r="X39" s="22" t="s">
        <v>1465</v>
      </c>
    </row>
    <row r="40" customFormat="false" ht="39" hidden="false" customHeight="true" outlineLevel="0" collapsed="false">
      <c r="A40" s="21" t="s">
        <v>1622</v>
      </c>
      <c r="B40" s="21" t="s">
        <v>1623</v>
      </c>
      <c r="C40" s="21" t="s">
        <v>1624</v>
      </c>
      <c r="D40" s="21" t="s">
        <v>1309</v>
      </c>
      <c r="E40" s="21" t="s">
        <v>1509</v>
      </c>
      <c r="F40" s="21" t="s">
        <v>1666</v>
      </c>
      <c r="G40" s="21" t="s">
        <v>1417</v>
      </c>
      <c r="H40" s="21" t="s">
        <v>1417</v>
      </c>
      <c r="I40" s="21" t="s">
        <v>1610</v>
      </c>
      <c r="J40" s="21" t="s">
        <v>1667</v>
      </c>
      <c r="K40" s="21" t="s">
        <v>1668</v>
      </c>
      <c r="L40" s="24" t="s">
        <v>1456</v>
      </c>
      <c r="M40" s="24" t="s">
        <v>1457</v>
      </c>
      <c r="N40" s="24" t="s">
        <v>1669</v>
      </c>
      <c r="O40" s="21" t="s">
        <v>1489</v>
      </c>
      <c r="P40" s="21" t="s">
        <v>1629</v>
      </c>
      <c r="Q40" s="21"/>
      <c r="R40" s="21"/>
      <c r="S40" s="21" t="s">
        <v>1460</v>
      </c>
      <c r="T40" s="21" t="s">
        <v>1670</v>
      </c>
      <c r="U40" s="25" t="s">
        <v>1630</v>
      </c>
      <c r="V40" s="21" t="s">
        <v>1463</v>
      </c>
      <c r="W40" s="24" t="s">
        <v>1464</v>
      </c>
      <c r="X40" s="24" t="s">
        <v>1465</v>
      </c>
    </row>
    <row r="41" customFormat="false" ht="39" hidden="false" customHeight="true" outlineLevel="0" collapsed="false">
      <c r="A41" s="20" t="s">
        <v>1671</v>
      </c>
      <c r="B41" s="20" t="s">
        <v>276</v>
      </c>
      <c r="C41" s="20" t="s">
        <v>1672</v>
      </c>
      <c r="D41" s="20" t="s">
        <v>1310</v>
      </c>
      <c r="E41" s="20" t="s">
        <v>1450</v>
      </c>
      <c r="F41" s="20" t="s">
        <v>1673</v>
      </c>
      <c r="G41" s="20" t="s">
        <v>1322</v>
      </c>
      <c r="H41" s="20" t="s">
        <v>1322</v>
      </c>
      <c r="I41" s="20" t="s">
        <v>1674</v>
      </c>
      <c r="J41" s="20" t="s">
        <v>1675</v>
      </c>
      <c r="K41" s="20" t="s">
        <v>1676</v>
      </c>
      <c r="L41" s="22" t="s">
        <v>1456</v>
      </c>
      <c r="M41" s="22" t="s">
        <v>1457</v>
      </c>
      <c r="N41" s="22"/>
      <c r="O41" s="20" t="s">
        <v>1458</v>
      </c>
      <c r="P41" s="20" t="s">
        <v>1677</v>
      </c>
      <c r="Q41" s="20"/>
      <c r="R41" s="20"/>
      <c r="S41" s="20" t="s">
        <v>1460</v>
      </c>
      <c r="T41" s="20" t="s">
        <v>1461</v>
      </c>
      <c r="U41" s="23" t="s">
        <v>1678</v>
      </c>
      <c r="V41" s="20" t="s">
        <v>1463</v>
      </c>
      <c r="W41" s="22" t="s">
        <v>1464</v>
      </c>
      <c r="X41" s="22" t="s">
        <v>1465</v>
      </c>
    </row>
    <row r="42" customFormat="false" ht="39" hidden="false" customHeight="true" outlineLevel="0" collapsed="false">
      <c r="A42" s="21" t="s">
        <v>1671</v>
      </c>
      <c r="B42" s="21" t="s">
        <v>276</v>
      </c>
      <c r="C42" s="21" t="s">
        <v>1672</v>
      </c>
      <c r="D42" s="21" t="s">
        <v>1310</v>
      </c>
      <c r="E42" s="21" t="s">
        <v>1466</v>
      </c>
      <c r="F42" s="21" t="s">
        <v>1679</v>
      </c>
      <c r="G42" s="21" t="s">
        <v>1334</v>
      </c>
      <c r="H42" s="21" t="s">
        <v>1334</v>
      </c>
      <c r="I42" s="21" t="s">
        <v>1674</v>
      </c>
      <c r="J42" s="21" t="s">
        <v>1680</v>
      </c>
      <c r="K42" s="21" t="s">
        <v>1681</v>
      </c>
      <c r="L42" s="24" t="s">
        <v>1456</v>
      </c>
      <c r="M42" s="24" t="s">
        <v>1457</v>
      </c>
      <c r="N42" s="24"/>
      <c r="O42" s="21" t="s">
        <v>1458</v>
      </c>
      <c r="P42" s="21" t="s">
        <v>1677</v>
      </c>
      <c r="Q42" s="21"/>
      <c r="R42" s="21"/>
      <c r="S42" s="21" t="s">
        <v>1460</v>
      </c>
      <c r="T42" s="21" t="s">
        <v>1461</v>
      </c>
      <c r="U42" s="25" t="s">
        <v>1678</v>
      </c>
      <c r="V42" s="21" t="s">
        <v>1463</v>
      </c>
      <c r="W42" s="24" t="s">
        <v>1464</v>
      </c>
      <c r="X42" s="24" t="s">
        <v>1465</v>
      </c>
    </row>
    <row r="43" customFormat="false" ht="39" hidden="false" customHeight="true" outlineLevel="0" collapsed="false">
      <c r="A43" s="20" t="s">
        <v>1671</v>
      </c>
      <c r="B43" s="20" t="s">
        <v>276</v>
      </c>
      <c r="C43" s="20" t="s">
        <v>1672</v>
      </c>
      <c r="D43" s="20" t="s">
        <v>1310</v>
      </c>
      <c r="E43" s="20" t="s">
        <v>1470</v>
      </c>
      <c r="F43" s="20" t="s">
        <v>1682</v>
      </c>
      <c r="G43" s="20" t="s">
        <v>1346</v>
      </c>
      <c r="H43" s="20" t="s">
        <v>1346</v>
      </c>
      <c r="I43" s="20" t="s">
        <v>1674</v>
      </c>
      <c r="J43" s="20" t="s">
        <v>1683</v>
      </c>
      <c r="K43" s="20" t="s">
        <v>1684</v>
      </c>
      <c r="L43" s="22" t="s">
        <v>1456</v>
      </c>
      <c r="M43" s="22" t="s">
        <v>1457</v>
      </c>
      <c r="N43" s="22"/>
      <c r="O43" s="20" t="s">
        <v>1489</v>
      </c>
      <c r="P43" s="20" t="s">
        <v>1677</v>
      </c>
      <c r="Q43" s="20"/>
      <c r="R43" s="20"/>
      <c r="S43" s="20" t="s">
        <v>1460</v>
      </c>
      <c r="T43" s="20" t="s">
        <v>1461</v>
      </c>
      <c r="U43" s="23" t="s">
        <v>1678</v>
      </c>
      <c r="V43" s="20" t="s">
        <v>1463</v>
      </c>
      <c r="W43" s="22" t="s">
        <v>1464</v>
      </c>
      <c r="X43" s="22" t="s">
        <v>1465</v>
      </c>
    </row>
    <row r="44" customFormat="false" ht="39" hidden="false" customHeight="true" outlineLevel="0" collapsed="false">
      <c r="A44" s="21" t="s">
        <v>1671</v>
      </c>
      <c r="B44" s="21" t="s">
        <v>276</v>
      </c>
      <c r="C44" s="21" t="s">
        <v>1672</v>
      </c>
      <c r="D44" s="21" t="s">
        <v>1310</v>
      </c>
      <c r="E44" s="21" t="s">
        <v>1476</v>
      </c>
      <c r="F44" s="21" t="s">
        <v>1685</v>
      </c>
      <c r="G44" s="21" t="s">
        <v>1358</v>
      </c>
      <c r="H44" s="21" t="s">
        <v>1358</v>
      </c>
      <c r="I44" s="21" t="s">
        <v>1686</v>
      </c>
      <c r="J44" s="21" t="s">
        <v>1687</v>
      </c>
      <c r="K44" s="21" t="s">
        <v>1688</v>
      </c>
      <c r="L44" s="24" t="s">
        <v>1456</v>
      </c>
      <c r="M44" s="24" t="s">
        <v>1457</v>
      </c>
      <c r="N44" s="24"/>
      <c r="O44" s="21" t="s">
        <v>1489</v>
      </c>
      <c r="P44" s="21" t="s">
        <v>1677</v>
      </c>
      <c r="Q44" s="21"/>
      <c r="R44" s="21"/>
      <c r="S44" s="21" t="s">
        <v>1460</v>
      </c>
      <c r="T44" s="21" t="s">
        <v>1461</v>
      </c>
      <c r="U44" s="25" t="s">
        <v>1678</v>
      </c>
      <c r="V44" s="21" t="s">
        <v>1463</v>
      </c>
      <c r="W44" s="24" t="s">
        <v>1464</v>
      </c>
      <c r="X44" s="24" t="s">
        <v>1465</v>
      </c>
    </row>
    <row r="45" customFormat="false" ht="39" hidden="false" customHeight="true" outlineLevel="0" collapsed="false">
      <c r="A45" s="20" t="s">
        <v>1671</v>
      </c>
      <c r="B45" s="20" t="s">
        <v>276</v>
      </c>
      <c r="C45" s="20" t="s">
        <v>1672</v>
      </c>
      <c r="D45" s="20" t="s">
        <v>1310</v>
      </c>
      <c r="E45" s="20" t="s">
        <v>1482</v>
      </c>
      <c r="F45" s="20" t="s">
        <v>1689</v>
      </c>
      <c r="G45" s="20" t="s">
        <v>1370</v>
      </c>
      <c r="H45" s="20" t="s">
        <v>1370</v>
      </c>
      <c r="I45" s="20" t="s">
        <v>1690</v>
      </c>
      <c r="J45" s="20" t="s">
        <v>1691</v>
      </c>
      <c r="K45" s="20" t="s">
        <v>1692</v>
      </c>
      <c r="L45" s="22" t="s">
        <v>1456</v>
      </c>
      <c r="M45" s="22" t="s">
        <v>1457</v>
      </c>
      <c r="N45" s="22"/>
      <c r="O45" s="20" t="s">
        <v>1489</v>
      </c>
      <c r="P45" s="20" t="s">
        <v>1677</v>
      </c>
      <c r="Q45" s="20"/>
      <c r="R45" s="20"/>
      <c r="S45" s="20" t="s">
        <v>1460</v>
      </c>
      <c r="T45" s="20" t="s">
        <v>1461</v>
      </c>
      <c r="U45" s="23" t="s">
        <v>1678</v>
      </c>
      <c r="V45" s="20" t="s">
        <v>1463</v>
      </c>
      <c r="W45" s="22" t="s">
        <v>1464</v>
      </c>
      <c r="X45" s="22" t="s">
        <v>1465</v>
      </c>
    </row>
    <row r="46" customFormat="false" ht="39" hidden="false" customHeight="true" outlineLevel="0" collapsed="false">
      <c r="A46" s="21" t="s">
        <v>1671</v>
      </c>
      <c r="B46" s="21" t="s">
        <v>276</v>
      </c>
      <c r="C46" s="21" t="s">
        <v>1672</v>
      </c>
      <c r="D46" s="21" t="s">
        <v>1310</v>
      </c>
      <c r="E46" s="21" t="s">
        <v>1490</v>
      </c>
      <c r="F46" s="21" t="s">
        <v>1693</v>
      </c>
      <c r="G46" s="21" t="s">
        <v>1382</v>
      </c>
      <c r="H46" s="21" t="s">
        <v>1382</v>
      </c>
      <c r="I46" s="21" t="s">
        <v>1694</v>
      </c>
      <c r="J46" s="21" t="s">
        <v>1695</v>
      </c>
      <c r="K46" s="21" t="s">
        <v>1696</v>
      </c>
      <c r="L46" s="24" t="s">
        <v>1456</v>
      </c>
      <c r="M46" s="24" t="s">
        <v>1457</v>
      </c>
      <c r="N46" s="24"/>
      <c r="O46" s="21" t="s">
        <v>1489</v>
      </c>
      <c r="P46" s="21" t="s">
        <v>1677</v>
      </c>
      <c r="Q46" s="21"/>
      <c r="R46" s="21"/>
      <c r="S46" s="21" t="s">
        <v>1460</v>
      </c>
      <c r="T46" s="21" t="s">
        <v>1461</v>
      </c>
      <c r="U46" s="25" t="s">
        <v>1678</v>
      </c>
      <c r="V46" s="21" t="s">
        <v>1463</v>
      </c>
      <c r="W46" s="24" t="s">
        <v>1464</v>
      </c>
      <c r="X46" s="24" t="s">
        <v>1465</v>
      </c>
    </row>
    <row r="47" customFormat="false" ht="39" hidden="false" customHeight="true" outlineLevel="0" collapsed="false">
      <c r="A47" s="20" t="s">
        <v>1671</v>
      </c>
      <c r="B47" s="20" t="s">
        <v>276</v>
      </c>
      <c r="C47" s="20" t="s">
        <v>1672</v>
      </c>
      <c r="D47" s="20" t="s">
        <v>1310</v>
      </c>
      <c r="E47" s="20" t="s">
        <v>1496</v>
      </c>
      <c r="F47" s="20" t="s">
        <v>1697</v>
      </c>
      <c r="G47" s="20" t="s">
        <v>1394</v>
      </c>
      <c r="H47" s="20" t="s">
        <v>1394</v>
      </c>
      <c r="I47" s="20" t="s">
        <v>1610</v>
      </c>
      <c r="J47" s="20" t="s">
        <v>1698</v>
      </c>
      <c r="K47" s="20" t="s">
        <v>1699</v>
      </c>
      <c r="L47" s="22" t="s">
        <v>1456</v>
      </c>
      <c r="M47" s="22" t="s">
        <v>1457</v>
      </c>
      <c r="N47" s="22" t="s">
        <v>1700</v>
      </c>
      <c r="O47" s="20" t="s">
        <v>1489</v>
      </c>
      <c r="P47" s="20" t="s">
        <v>1677</v>
      </c>
      <c r="Q47" s="20"/>
      <c r="R47" s="20"/>
      <c r="S47" s="20" t="s">
        <v>1460</v>
      </c>
      <c r="T47" s="20" t="s">
        <v>1461</v>
      </c>
      <c r="U47" s="23" t="s">
        <v>1678</v>
      </c>
      <c r="V47" s="20" t="s">
        <v>1463</v>
      </c>
      <c r="W47" s="22" t="s">
        <v>1464</v>
      </c>
      <c r="X47" s="22" t="s">
        <v>1465</v>
      </c>
    </row>
    <row r="48" customFormat="false" ht="51.75" hidden="false" customHeight="true" outlineLevel="0" collapsed="false">
      <c r="A48" s="21" t="s">
        <v>1671</v>
      </c>
      <c r="B48" s="21" t="s">
        <v>276</v>
      </c>
      <c r="C48" s="21" t="s">
        <v>1672</v>
      </c>
      <c r="D48" s="21" t="s">
        <v>1310</v>
      </c>
      <c r="E48" s="21" t="s">
        <v>1501</v>
      </c>
      <c r="F48" s="21" t="s">
        <v>1701</v>
      </c>
      <c r="G48" s="21" t="s">
        <v>1406</v>
      </c>
      <c r="H48" s="21" t="s">
        <v>1406</v>
      </c>
      <c r="I48" s="21" t="s">
        <v>1702</v>
      </c>
      <c r="J48" s="21" t="s">
        <v>1703</v>
      </c>
      <c r="K48" s="21" t="s">
        <v>1704</v>
      </c>
      <c r="L48" s="24" t="s">
        <v>1456</v>
      </c>
      <c r="M48" s="24" t="s">
        <v>1457</v>
      </c>
      <c r="N48" s="24" t="s">
        <v>1705</v>
      </c>
      <c r="O48" s="21" t="s">
        <v>1489</v>
      </c>
      <c r="P48" s="21" t="s">
        <v>1677</v>
      </c>
      <c r="Q48" s="21"/>
      <c r="R48" s="21"/>
      <c r="S48" s="21" t="s">
        <v>1460</v>
      </c>
      <c r="T48" s="21" t="s">
        <v>1706</v>
      </c>
      <c r="U48" s="25" t="s">
        <v>1678</v>
      </c>
      <c r="V48" s="21" t="s">
        <v>1463</v>
      </c>
      <c r="W48" s="24" t="s">
        <v>1464</v>
      </c>
      <c r="X48" s="24" t="s">
        <v>1465</v>
      </c>
    </row>
    <row r="49" customFormat="false" ht="51.75" hidden="false" customHeight="true" outlineLevel="0" collapsed="false">
      <c r="A49" s="20" t="s">
        <v>1671</v>
      </c>
      <c r="B49" s="20" t="s">
        <v>276</v>
      </c>
      <c r="C49" s="20" t="s">
        <v>1672</v>
      </c>
      <c r="D49" s="20" t="s">
        <v>1310</v>
      </c>
      <c r="E49" s="20" t="s">
        <v>1509</v>
      </c>
      <c r="F49" s="20" t="s">
        <v>1707</v>
      </c>
      <c r="G49" s="20" t="s">
        <v>1418</v>
      </c>
      <c r="H49" s="20" t="s">
        <v>1418</v>
      </c>
      <c r="I49" s="20" t="s">
        <v>1617</v>
      </c>
      <c r="J49" s="20" t="s">
        <v>1708</v>
      </c>
      <c r="K49" s="20" t="s">
        <v>1709</v>
      </c>
      <c r="L49" s="22" t="s">
        <v>1456</v>
      </c>
      <c r="M49" s="22" t="s">
        <v>1457</v>
      </c>
      <c r="N49" s="22" t="s">
        <v>1710</v>
      </c>
      <c r="O49" s="20" t="s">
        <v>1489</v>
      </c>
      <c r="P49" s="20" t="s">
        <v>1677</v>
      </c>
      <c r="Q49" s="20"/>
      <c r="R49" s="20"/>
      <c r="S49" s="20" t="s">
        <v>1460</v>
      </c>
      <c r="T49" s="20" t="s">
        <v>1711</v>
      </c>
      <c r="U49" s="23" t="s">
        <v>1678</v>
      </c>
      <c r="V49" s="20" t="s">
        <v>1463</v>
      </c>
      <c r="W49" s="22" t="s">
        <v>1464</v>
      </c>
      <c r="X49" s="22" t="s">
        <v>1465</v>
      </c>
    </row>
    <row r="50" customFormat="false" ht="39" hidden="false" customHeight="true" outlineLevel="0" collapsed="false">
      <c r="A50" s="21" t="s">
        <v>1671</v>
      </c>
      <c r="B50" s="21" t="s">
        <v>276</v>
      </c>
      <c r="C50" s="21" t="s">
        <v>1712</v>
      </c>
      <c r="D50" s="21" t="s">
        <v>1311</v>
      </c>
      <c r="E50" s="21" t="s">
        <v>1450</v>
      </c>
      <c r="F50" s="21" t="s">
        <v>1713</v>
      </c>
      <c r="G50" s="21" t="s">
        <v>1323</v>
      </c>
      <c r="H50" s="21" t="s">
        <v>1323</v>
      </c>
      <c r="I50" s="21" t="s">
        <v>1714</v>
      </c>
      <c r="J50" s="21" t="s">
        <v>1715</v>
      </c>
      <c r="K50" s="21" t="s">
        <v>1716</v>
      </c>
      <c r="L50" s="24" t="s">
        <v>1456</v>
      </c>
      <c r="M50" s="24" t="s">
        <v>1457</v>
      </c>
      <c r="N50" s="24"/>
      <c r="O50" s="21" t="s">
        <v>1458</v>
      </c>
      <c r="P50" s="21" t="s">
        <v>1717</v>
      </c>
      <c r="Q50" s="21"/>
      <c r="R50" s="21"/>
      <c r="S50" s="21" t="s">
        <v>1460</v>
      </c>
      <c r="T50" s="21" t="s">
        <v>1461</v>
      </c>
      <c r="U50" s="25" t="s">
        <v>1718</v>
      </c>
      <c r="V50" s="21" t="s">
        <v>1463</v>
      </c>
      <c r="W50" s="24" t="s">
        <v>1464</v>
      </c>
      <c r="X50" s="24" t="s">
        <v>1465</v>
      </c>
    </row>
    <row r="51" customFormat="false" ht="39" hidden="false" customHeight="true" outlineLevel="0" collapsed="false">
      <c r="A51" s="20" t="s">
        <v>1671</v>
      </c>
      <c r="B51" s="20" t="s">
        <v>276</v>
      </c>
      <c r="C51" s="20" t="s">
        <v>1712</v>
      </c>
      <c r="D51" s="20" t="s">
        <v>1311</v>
      </c>
      <c r="E51" s="20" t="s">
        <v>1466</v>
      </c>
      <c r="F51" s="20" t="s">
        <v>1719</v>
      </c>
      <c r="G51" s="20" t="s">
        <v>1335</v>
      </c>
      <c r="H51" s="20" t="s">
        <v>1720</v>
      </c>
      <c r="I51" s="20" t="s">
        <v>1721</v>
      </c>
      <c r="J51" s="20" t="s">
        <v>1722</v>
      </c>
      <c r="K51" s="20" t="s">
        <v>1723</v>
      </c>
      <c r="L51" s="22" t="s">
        <v>1456</v>
      </c>
      <c r="M51" s="22" t="s">
        <v>1457</v>
      </c>
      <c r="N51" s="22"/>
      <c r="O51" s="20" t="s">
        <v>1458</v>
      </c>
      <c r="P51" s="20" t="s">
        <v>1717</v>
      </c>
      <c r="Q51" s="20"/>
      <c r="R51" s="20"/>
      <c r="S51" s="20" t="s">
        <v>1460</v>
      </c>
      <c r="T51" s="20" t="s">
        <v>1461</v>
      </c>
      <c r="U51" s="23" t="s">
        <v>1718</v>
      </c>
      <c r="V51" s="20" t="s">
        <v>1463</v>
      </c>
      <c r="W51" s="22" t="s">
        <v>1464</v>
      </c>
      <c r="X51" s="22" t="s">
        <v>1465</v>
      </c>
    </row>
    <row r="52" customFormat="false" ht="39" hidden="false" customHeight="true" outlineLevel="0" collapsed="false">
      <c r="A52" s="21" t="s">
        <v>1671</v>
      </c>
      <c r="B52" s="21" t="s">
        <v>276</v>
      </c>
      <c r="C52" s="21" t="s">
        <v>1712</v>
      </c>
      <c r="D52" s="21" t="s">
        <v>1311</v>
      </c>
      <c r="E52" s="21" t="s">
        <v>1470</v>
      </c>
      <c r="F52" s="21" t="s">
        <v>1724</v>
      </c>
      <c r="G52" s="21" t="s">
        <v>1347</v>
      </c>
      <c r="H52" s="21" t="s">
        <v>1347</v>
      </c>
      <c r="I52" s="21" t="s">
        <v>1725</v>
      </c>
      <c r="J52" s="21" t="s">
        <v>1726</v>
      </c>
      <c r="K52" s="21" t="s">
        <v>1727</v>
      </c>
      <c r="L52" s="24" t="s">
        <v>1456</v>
      </c>
      <c r="M52" s="24" t="s">
        <v>1457</v>
      </c>
      <c r="N52" s="24"/>
      <c r="O52" s="21" t="s">
        <v>1458</v>
      </c>
      <c r="P52" s="21" t="s">
        <v>1717</v>
      </c>
      <c r="Q52" s="21"/>
      <c r="R52" s="21"/>
      <c r="S52" s="21" t="s">
        <v>1460</v>
      </c>
      <c r="T52" s="21" t="s">
        <v>1461</v>
      </c>
      <c r="U52" s="25" t="s">
        <v>1718</v>
      </c>
      <c r="V52" s="21" t="s">
        <v>1463</v>
      </c>
      <c r="W52" s="24" t="s">
        <v>1464</v>
      </c>
      <c r="X52" s="24" t="s">
        <v>1465</v>
      </c>
    </row>
    <row r="53" customFormat="false" ht="39" hidden="false" customHeight="true" outlineLevel="0" collapsed="false">
      <c r="A53" s="20" t="s">
        <v>1671</v>
      </c>
      <c r="B53" s="20" t="s">
        <v>276</v>
      </c>
      <c r="C53" s="20" t="s">
        <v>1712</v>
      </c>
      <c r="D53" s="20" t="s">
        <v>1311</v>
      </c>
      <c r="E53" s="20" t="s">
        <v>1476</v>
      </c>
      <c r="F53" s="20" t="s">
        <v>1728</v>
      </c>
      <c r="G53" s="20" t="s">
        <v>1359</v>
      </c>
      <c r="H53" s="20" t="s">
        <v>1729</v>
      </c>
      <c r="I53" s="20" t="s">
        <v>1730</v>
      </c>
      <c r="J53" s="20" t="s">
        <v>1731</v>
      </c>
      <c r="K53" s="20" t="s">
        <v>1643</v>
      </c>
      <c r="L53" s="22" t="s">
        <v>1456</v>
      </c>
      <c r="M53" s="22" t="s">
        <v>1457</v>
      </c>
      <c r="N53" s="22"/>
      <c r="O53" s="20" t="s">
        <v>1458</v>
      </c>
      <c r="P53" s="20" t="s">
        <v>1717</v>
      </c>
      <c r="Q53" s="20"/>
      <c r="R53" s="20"/>
      <c r="S53" s="20" t="s">
        <v>1460</v>
      </c>
      <c r="T53" s="20" t="s">
        <v>1461</v>
      </c>
      <c r="U53" s="23" t="s">
        <v>1718</v>
      </c>
      <c r="V53" s="20" t="s">
        <v>1463</v>
      </c>
      <c r="W53" s="22" t="s">
        <v>1464</v>
      </c>
      <c r="X53" s="22" t="s">
        <v>1465</v>
      </c>
    </row>
    <row r="54" customFormat="false" ht="39" hidden="false" customHeight="true" outlineLevel="0" collapsed="false">
      <c r="A54" s="21" t="s">
        <v>1671</v>
      </c>
      <c r="B54" s="21" t="s">
        <v>276</v>
      </c>
      <c r="C54" s="21" t="s">
        <v>1712</v>
      </c>
      <c r="D54" s="21" t="s">
        <v>1311</v>
      </c>
      <c r="E54" s="21" t="s">
        <v>1482</v>
      </c>
      <c r="F54" s="21" t="s">
        <v>1732</v>
      </c>
      <c r="G54" s="21" t="s">
        <v>1371</v>
      </c>
      <c r="H54" s="21" t="s">
        <v>1371</v>
      </c>
      <c r="I54" s="21" t="s">
        <v>1733</v>
      </c>
      <c r="J54" s="21" t="s">
        <v>1734</v>
      </c>
      <c r="K54" s="21" t="s">
        <v>1735</v>
      </c>
      <c r="L54" s="24" t="s">
        <v>1456</v>
      </c>
      <c r="M54" s="24" t="s">
        <v>1457</v>
      </c>
      <c r="N54" s="24"/>
      <c r="O54" s="21" t="s">
        <v>1458</v>
      </c>
      <c r="P54" s="21" t="s">
        <v>1717</v>
      </c>
      <c r="Q54" s="21"/>
      <c r="R54" s="21"/>
      <c r="S54" s="21" t="s">
        <v>1460</v>
      </c>
      <c r="T54" s="21" t="s">
        <v>1461</v>
      </c>
      <c r="U54" s="25" t="s">
        <v>1718</v>
      </c>
      <c r="V54" s="21" t="s">
        <v>1463</v>
      </c>
      <c r="W54" s="24" t="s">
        <v>1464</v>
      </c>
      <c r="X54" s="24" t="s">
        <v>1465</v>
      </c>
    </row>
    <row r="55" customFormat="false" ht="39" hidden="false" customHeight="true" outlineLevel="0" collapsed="false">
      <c r="A55" s="20" t="s">
        <v>1671</v>
      </c>
      <c r="B55" s="20" t="s">
        <v>276</v>
      </c>
      <c r="C55" s="20" t="s">
        <v>1712</v>
      </c>
      <c r="D55" s="20" t="s">
        <v>1311</v>
      </c>
      <c r="E55" s="20" t="s">
        <v>1490</v>
      </c>
      <c r="F55" s="20" t="s">
        <v>1736</v>
      </c>
      <c r="G55" s="20" t="s">
        <v>1383</v>
      </c>
      <c r="H55" s="20" t="s">
        <v>1383</v>
      </c>
      <c r="I55" s="20" t="s">
        <v>1737</v>
      </c>
      <c r="J55" s="20" t="s">
        <v>1738</v>
      </c>
      <c r="K55" s="20" t="s">
        <v>1739</v>
      </c>
      <c r="L55" s="22" t="s">
        <v>1456</v>
      </c>
      <c r="M55" s="22" t="s">
        <v>1457</v>
      </c>
      <c r="N55" s="22" t="s">
        <v>1740</v>
      </c>
      <c r="O55" s="20" t="s">
        <v>1489</v>
      </c>
      <c r="P55" s="20" t="s">
        <v>1717</v>
      </c>
      <c r="Q55" s="20"/>
      <c r="R55" s="20"/>
      <c r="S55" s="20" t="s">
        <v>1460</v>
      </c>
      <c r="T55" s="20" t="s">
        <v>1741</v>
      </c>
      <c r="U55" s="23" t="s">
        <v>1718</v>
      </c>
      <c r="V55" s="20" t="s">
        <v>1463</v>
      </c>
      <c r="W55" s="22" t="s">
        <v>1464</v>
      </c>
      <c r="X55" s="22" t="s">
        <v>1465</v>
      </c>
    </row>
    <row r="56" customFormat="false" ht="39" hidden="false" customHeight="true" outlineLevel="0" collapsed="false">
      <c r="A56" s="21" t="s">
        <v>1671</v>
      </c>
      <c r="B56" s="21" t="s">
        <v>276</v>
      </c>
      <c r="C56" s="21" t="s">
        <v>1712</v>
      </c>
      <c r="D56" s="21" t="s">
        <v>1311</v>
      </c>
      <c r="E56" s="21" t="s">
        <v>1496</v>
      </c>
      <c r="F56" s="21" t="s">
        <v>1742</v>
      </c>
      <c r="G56" s="21" t="s">
        <v>1395</v>
      </c>
      <c r="H56" s="21" t="s">
        <v>1395</v>
      </c>
      <c r="I56" s="21" t="s">
        <v>1743</v>
      </c>
      <c r="J56" s="21" t="s">
        <v>1744</v>
      </c>
      <c r="K56" s="21" t="s">
        <v>1745</v>
      </c>
      <c r="L56" s="24" t="s">
        <v>1456</v>
      </c>
      <c r="M56" s="24" t="s">
        <v>1457</v>
      </c>
      <c r="N56" s="24"/>
      <c r="O56" s="21" t="s">
        <v>1489</v>
      </c>
      <c r="P56" s="21" t="s">
        <v>1717</v>
      </c>
      <c r="Q56" s="21"/>
      <c r="R56" s="21"/>
      <c r="S56" s="21" t="s">
        <v>1460</v>
      </c>
      <c r="T56" s="21" t="s">
        <v>1461</v>
      </c>
      <c r="U56" s="25" t="s">
        <v>1718</v>
      </c>
      <c r="V56" s="21" t="s">
        <v>1463</v>
      </c>
      <c r="W56" s="24" t="s">
        <v>1464</v>
      </c>
      <c r="X56" s="24" t="s">
        <v>1465</v>
      </c>
    </row>
    <row r="57" customFormat="false" ht="39" hidden="false" customHeight="true" outlineLevel="0" collapsed="false">
      <c r="A57" s="20" t="s">
        <v>1671</v>
      </c>
      <c r="B57" s="20" t="s">
        <v>276</v>
      </c>
      <c r="C57" s="20" t="s">
        <v>1712</v>
      </c>
      <c r="D57" s="20" t="s">
        <v>1311</v>
      </c>
      <c r="E57" s="20" t="s">
        <v>1501</v>
      </c>
      <c r="F57" s="20" t="s">
        <v>1746</v>
      </c>
      <c r="G57" s="20" t="s">
        <v>1407</v>
      </c>
      <c r="H57" s="20" t="s">
        <v>1407</v>
      </c>
      <c r="I57" s="20" t="s">
        <v>1747</v>
      </c>
      <c r="J57" s="20" t="s">
        <v>1748</v>
      </c>
      <c r="K57" s="20" t="s">
        <v>1749</v>
      </c>
      <c r="L57" s="22" t="s">
        <v>1456</v>
      </c>
      <c r="M57" s="22" t="s">
        <v>1457</v>
      </c>
      <c r="N57" s="22" t="s">
        <v>1700</v>
      </c>
      <c r="O57" s="20" t="s">
        <v>1489</v>
      </c>
      <c r="P57" s="20" t="s">
        <v>1717</v>
      </c>
      <c r="Q57" s="20"/>
      <c r="R57" s="20"/>
      <c r="S57" s="20" t="s">
        <v>1460</v>
      </c>
      <c r="T57" s="20" t="s">
        <v>1461</v>
      </c>
      <c r="U57" s="23" t="s">
        <v>1718</v>
      </c>
      <c r="V57" s="20" t="s">
        <v>1463</v>
      </c>
      <c r="W57" s="22" t="s">
        <v>1464</v>
      </c>
      <c r="X57" s="22" t="s">
        <v>1465</v>
      </c>
    </row>
    <row r="58" customFormat="false" ht="39" hidden="false" customHeight="true" outlineLevel="0" collapsed="false">
      <c r="A58" s="21" t="s">
        <v>1671</v>
      </c>
      <c r="B58" s="21" t="s">
        <v>276</v>
      </c>
      <c r="C58" s="21" t="s">
        <v>1712</v>
      </c>
      <c r="D58" s="21" t="s">
        <v>1311</v>
      </c>
      <c r="E58" s="21" t="s">
        <v>1509</v>
      </c>
      <c r="F58" s="21" t="s">
        <v>1750</v>
      </c>
      <c r="G58" s="21" t="s">
        <v>1419</v>
      </c>
      <c r="H58" s="21" t="s">
        <v>1751</v>
      </c>
      <c r="I58" s="21" t="s">
        <v>1752</v>
      </c>
      <c r="J58" s="21" t="s">
        <v>1753</v>
      </c>
      <c r="K58" s="21" t="s">
        <v>1754</v>
      </c>
      <c r="L58" s="24" t="s">
        <v>1456</v>
      </c>
      <c r="M58" s="24" t="s">
        <v>1457</v>
      </c>
      <c r="N58" s="24" t="s">
        <v>1755</v>
      </c>
      <c r="O58" s="21" t="s">
        <v>1489</v>
      </c>
      <c r="P58" s="21" t="s">
        <v>1717</v>
      </c>
      <c r="Q58" s="21"/>
      <c r="R58" s="21"/>
      <c r="S58" s="21" t="s">
        <v>1460</v>
      </c>
      <c r="T58" s="21" t="s">
        <v>1756</v>
      </c>
      <c r="U58" s="25" t="s">
        <v>1718</v>
      </c>
      <c r="V58" s="21" t="s">
        <v>1463</v>
      </c>
      <c r="W58" s="24" t="s">
        <v>1464</v>
      </c>
      <c r="X58" s="24" t="s">
        <v>1465</v>
      </c>
    </row>
    <row r="59" customFormat="false" ht="39" hidden="false" customHeight="true" outlineLevel="0" collapsed="false">
      <c r="A59" s="20" t="s">
        <v>1757</v>
      </c>
      <c r="B59" s="20" t="s">
        <v>1758</v>
      </c>
      <c r="C59" s="20" t="s">
        <v>1757</v>
      </c>
      <c r="D59" s="20" t="s">
        <v>1312</v>
      </c>
      <c r="E59" s="20" t="s">
        <v>1450</v>
      </c>
      <c r="F59" s="20" t="s">
        <v>1759</v>
      </c>
      <c r="G59" s="20" t="s">
        <v>1324</v>
      </c>
      <c r="H59" s="20" t="s">
        <v>1760</v>
      </c>
      <c r="I59" s="20" t="s">
        <v>1761</v>
      </c>
      <c r="J59" s="20" t="s">
        <v>1762</v>
      </c>
      <c r="K59" s="20" t="s">
        <v>1763</v>
      </c>
      <c r="L59" s="22" t="s">
        <v>1456</v>
      </c>
      <c r="M59" s="22" t="s">
        <v>1457</v>
      </c>
      <c r="N59" s="22"/>
      <c r="O59" s="20" t="s">
        <v>1458</v>
      </c>
      <c r="P59" s="20" t="s">
        <v>1764</v>
      </c>
      <c r="Q59" s="20"/>
      <c r="R59" s="20"/>
      <c r="S59" s="20" t="s">
        <v>1460</v>
      </c>
      <c r="T59" s="20" t="s">
        <v>1461</v>
      </c>
      <c r="U59" s="23" t="s">
        <v>1765</v>
      </c>
      <c r="V59" s="20" t="s">
        <v>1463</v>
      </c>
      <c r="W59" s="22" t="s">
        <v>1464</v>
      </c>
      <c r="X59" s="22" t="s">
        <v>1465</v>
      </c>
    </row>
    <row r="60" customFormat="false" ht="39" hidden="false" customHeight="true" outlineLevel="0" collapsed="false">
      <c r="A60" s="21" t="s">
        <v>1757</v>
      </c>
      <c r="B60" s="21" t="s">
        <v>1758</v>
      </c>
      <c r="C60" s="21" t="s">
        <v>1757</v>
      </c>
      <c r="D60" s="21" t="s">
        <v>1312</v>
      </c>
      <c r="E60" s="21" t="s">
        <v>1466</v>
      </c>
      <c r="F60" s="21" t="s">
        <v>1766</v>
      </c>
      <c r="G60" s="21" t="s">
        <v>1336</v>
      </c>
      <c r="H60" s="21" t="s">
        <v>1767</v>
      </c>
      <c r="I60" s="21" t="s">
        <v>1768</v>
      </c>
      <c r="J60" s="21" t="s">
        <v>1769</v>
      </c>
      <c r="K60" s="21" t="s">
        <v>1770</v>
      </c>
      <c r="L60" s="24" t="s">
        <v>1456</v>
      </c>
      <c r="M60" s="24" t="s">
        <v>1457</v>
      </c>
      <c r="N60" s="24"/>
      <c r="O60" s="21" t="s">
        <v>1458</v>
      </c>
      <c r="P60" s="21" t="s">
        <v>1764</v>
      </c>
      <c r="Q60" s="21"/>
      <c r="R60" s="21"/>
      <c r="S60" s="21" t="s">
        <v>1460</v>
      </c>
      <c r="T60" s="21" t="s">
        <v>1461</v>
      </c>
      <c r="U60" s="25" t="s">
        <v>1765</v>
      </c>
      <c r="V60" s="21" t="s">
        <v>1463</v>
      </c>
      <c r="W60" s="24" t="s">
        <v>1464</v>
      </c>
      <c r="X60" s="24" t="s">
        <v>1465</v>
      </c>
    </row>
    <row r="61" customFormat="false" ht="39" hidden="false" customHeight="true" outlineLevel="0" collapsed="false">
      <c r="A61" s="20" t="s">
        <v>1757</v>
      </c>
      <c r="B61" s="20" t="s">
        <v>1758</v>
      </c>
      <c r="C61" s="20" t="s">
        <v>1757</v>
      </c>
      <c r="D61" s="20" t="s">
        <v>1312</v>
      </c>
      <c r="E61" s="20" t="s">
        <v>1470</v>
      </c>
      <c r="F61" s="20" t="s">
        <v>1771</v>
      </c>
      <c r="G61" s="20" t="s">
        <v>1348</v>
      </c>
      <c r="H61" s="20" t="s">
        <v>1772</v>
      </c>
      <c r="I61" s="20" t="s">
        <v>1773</v>
      </c>
      <c r="J61" s="20" t="s">
        <v>1774</v>
      </c>
      <c r="K61" s="20" t="s">
        <v>1775</v>
      </c>
      <c r="L61" s="22" t="s">
        <v>1456</v>
      </c>
      <c r="M61" s="22" t="s">
        <v>1457</v>
      </c>
      <c r="N61" s="22"/>
      <c r="O61" s="20" t="s">
        <v>1458</v>
      </c>
      <c r="P61" s="20" t="s">
        <v>1764</v>
      </c>
      <c r="Q61" s="20"/>
      <c r="R61" s="20"/>
      <c r="S61" s="20" t="s">
        <v>1460</v>
      </c>
      <c r="T61" s="20" t="s">
        <v>1461</v>
      </c>
      <c r="U61" s="23" t="s">
        <v>1765</v>
      </c>
      <c r="V61" s="20" t="s">
        <v>1463</v>
      </c>
      <c r="W61" s="22" t="s">
        <v>1464</v>
      </c>
      <c r="X61" s="22" t="s">
        <v>1465</v>
      </c>
    </row>
    <row r="62" customFormat="false" ht="39" hidden="false" customHeight="true" outlineLevel="0" collapsed="false">
      <c r="A62" s="21" t="s">
        <v>1757</v>
      </c>
      <c r="B62" s="21" t="s">
        <v>1758</v>
      </c>
      <c r="C62" s="21" t="s">
        <v>1757</v>
      </c>
      <c r="D62" s="21" t="s">
        <v>1312</v>
      </c>
      <c r="E62" s="21" t="s">
        <v>1476</v>
      </c>
      <c r="F62" s="21" t="s">
        <v>1776</v>
      </c>
      <c r="G62" s="21" t="s">
        <v>1360</v>
      </c>
      <c r="H62" s="21" t="s">
        <v>1777</v>
      </c>
      <c r="I62" s="21" t="s">
        <v>1778</v>
      </c>
      <c r="J62" s="21" t="s">
        <v>1779</v>
      </c>
      <c r="K62" s="21" t="s">
        <v>1780</v>
      </c>
      <c r="L62" s="24" t="s">
        <v>1456</v>
      </c>
      <c r="M62" s="24" t="s">
        <v>1457</v>
      </c>
      <c r="N62" s="24" t="s">
        <v>1781</v>
      </c>
      <c r="O62" s="21" t="s">
        <v>1489</v>
      </c>
      <c r="P62" s="21" t="s">
        <v>1764</v>
      </c>
      <c r="Q62" s="21"/>
      <c r="R62" s="21"/>
      <c r="S62" s="21" t="s">
        <v>1460</v>
      </c>
      <c r="T62" s="21" t="s">
        <v>1782</v>
      </c>
      <c r="U62" s="25" t="s">
        <v>1765</v>
      </c>
      <c r="V62" s="21" t="s">
        <v>1463</v>
      </c>
      <c r="W62" s="24" t="s">
        <v>1464</v>
      </c>
      <c r="X62" s="24" t="s">
        <v>1465</v>
      </c>
    </row>
    <row r="63" customFormat="false" ht="39" hidden="false" customHeight="true" outlineLevel="0" collapsed="false">
      <c r="A63" s="20" t="s">
        <v>1757</v>
      </c>
      <c r="B63" s="20" t="s">
        <v>1758</v>
      </c>
      <c r="C63" s="20" t="s">
        <v>1757</v>
      </c>
      <c r="D63" s="20" t="s">
        <v>1312</v>
      </c>
      <c r="E63" s="20" t="s">
        <v>1482</v>
      </c>
      <c r="F63" s="20" t="s">
        <v>1783</v>
      </c>
      <c r="G63" s="20" t="s">
        <v>1372</v>
      </c>
      <c r="H63" s="20" t="s">
        <v>1784</v>
      </c>
      <c r="I63" s="20" t="s">
        <v>1785</v>
      </c>
      <c r="J63" s="20" t="s">
        <v>1786</v>
      </c>
      <c r="K63" s="20" t="s">
        <v>1787</v>
      </c>
      <c r="L63" s="22" t="s">
        <v>1456</v>
      </c>
      <c r="M63" s="22" t="s">
        <v>1457</v>
      </c>
      <c r="N63" s="22"/>
      <c r="O63" s="20" t="s">
        <v>1489</v>
      </c>
      <c r="P63" s="20" t="s">
        <v>1764</v>
      </c>
      <c r="Q63" s="20"/>
      <c r="R63" s="20"/>
      <c r="S63" s="20" t="s">
        <v>1460</v>
      </c>
      <c r="T63" s="20" t="s">
        <v>1461</v>
      </c>
      <c r="U63" s="23" t="s">
        <v>1765</v>
      </c>
      <c r="V63" s="20" t="s">
        <v>1463</v>
      </c>
      <c r="W63" s="22" t="s">
        <v>1464</v>
      </c>
      <c r="X63" s="22" t="s">
        <v>1465</v>
      </c>
    </row>
    <row r="64" customFormat="false" ht="39" hidden="false" customHeight="true" outlineLevel="0" collapsed="false">
      <c r="A64" s="21" t="s">
        <v>1757</v>
      </c>
      <c r="B64" s="21" t="s">
        <v>1758</v>
      </c>
      <c r="C64" s="21" t="s">
        <v>1757</v>
      </c>
      <c r="D64" s="21" t="s">
        <v>1312</v>
      </c>
      <c r="E64" s="21" t="s">
        <v>1490</v>
      </c>
      <c r="F64" s="21" t="s">
        <v>1788</v>
      </c>
      <c r="G64" s="21" t="s">
        <v>1384</v>
      </c>
      <c r="H64" s="21" t="s">
        <v>1384</v>
      </c>
      <c r="I64" s="21" t="s">
        <v>1789</v>
      </c>
      <c r="J64" s="21" t="s">
        <v>1790</v>
      </c>
      <c r="K64" s="21" t="s">
        <v>1791</v>
      </c>
      <c r="L64" s="24" t="s">
        <v>1456</v>
      </c>
      <c r="M64" s="24" t="s">
        <v>1457</v>
      </c>
      <c r="N64" s="24"/>
      <c r="O64" s="21" t="s">
        <v>1489</v>
      </c>
      <c r="P64" s="21" t="s">
        <v>1764</v>
      </c>
      <c r="Q64" s="21"/>
      <c r="R64" s="21"/>
      <c r="S64" s="21" t="s">
        <v>1460</v>
      </c>
      <c r="T64" s="21" t="s">
        <v>1461</v>
      </c>
      <c r="U64" s="25" t="s">
        <v>1765</v>
      </c>
      <c r="V64" s="21" t="s">
        <v>1463</v>
      </c>
      <c r="W64" s="24" t="s">
        <v>1464</v>
      </c>
      <c r="X64" s="24" t="s">
        <v>1465</v>
      </c>
    </row>
    <row r="65" customFormat="false" ht="39" hidden="false" customHeight="true" outlineLevel="0" collapsed="false">
      <c r="A65" s="20" t="s">
        <v>1757</v>
      </c>
      <c r="B65" s="20" t="s">
        <v>1758</v>
      </c>
      <c r="C65" s="20" t="s">
        <v>1757</v>
      </c>
      <c r="D65" s="20" t="s">
        <v>1312</v>
      </c>
      <c r="E65" s="20" t="s">
        <v>1496</v>
      </c>
      <c r="F65" s="20" t="s">
        <v>1792</v>
      </c>
      <c r="G65" s="20" t="s">
        <v>1396</v>
      </c>
      <c r="H65" s="20" t="s">
        <v>1396</v>
      </c>
      <c r="I65" s="20" t="s">
        <v>1793</v>
      </c>
      <c r="J65" s="20" t="s">
        <v>1794</v>
      </c>
      <c r="K65" s="20" t="s">
        <v>1795</v>
      </c>
      <c r="L65" s="22" t="s">
        <v>1456</v>
      </c>
      <c r="M65" s="22" t="s">
        <v>1457</v>
      </c>
      <c r="N65" s="22"/>
      <c r="O65" s="20" t="s">
        <v>1489</v>
      </c>
      <c r="P65" s="20" t="s">
        <v>1764</v>
      </c>
      <c r="Q65" s="20"/>
      <c r="R65" s="20"/>
      <c r="S65" s="20" t="s">
        <v>1460</v>
      </c>
      <c r="T65" s="20" t="s">
        <v>1461</v>
      </c>
      <c r="U65" s="23" t="s">
        <v>1765</v>
      </c>
      <c r="V65" s="20" t="s">
        <v>1463</v>
      </c>
      <c r="W65" s="22" t="s">
        <v>1464</v>
      </c>
      <c r="X65" s="22" t="s">
        <v>1465</v>
      </c>
    </row>
    <row r="66" customFormat="false" ht="39" hidden="false" customHeight="true" outlineLevel="0" collapsed="false">
      <c r="A66" s="21" t="s">
        <v>1757</v>
      </c>
      <c r="B66" s="21" t="s">
        <v>1758</v>
      </c>
      <c r="C66" s="21" t="s">
        <v>1757</v>
      </c>
      <c r="D66" s="21" t="s">
        <v>1312</v>
      </c>
      <c r="E66" s="21" t="s">
        <v>1501</v>
      </c>
      <c r="F66" s="21" t="s">
        <v>1796</v>
      </c>
      <c r="G66" s="21" t="s">
        <v>1408</v>
      </c>
      <c r="H66" s="21" t="s">
        <v>1408</v>
      </c>
      <c r="I66" s="21" t="s">
        <v>1797</v>
      </c>
      <c r="J66" s="21" t="s">
        <v>1798</v>
      </c>
      <c r="K66" s="21" t="s">
        <v>1799</v>
      </c>
      <c r="L66" s="24" t="s">
        <v>1456</v>
      </c>
      <c r="M66" s="24" t="s">
        <v>1457</v>
      </c>
      <c r="N66" s="24" t="s">
        <v>1700</v>
      </c>
      <c r="O66" s="21" t="s">
        <v>1489</v>
      </c>
      <c r="P66" s="21" t="s">
        <v>1764</v>
      </c>
      <c r="Q66" s="21"/>
      <c r="R66" s="21"/>
      <c r="S66" s="21" t="s">
        <v>1460</v>
      </c>
      <c r="T66" s="21" t="s">
        <v>1461</v>
      </c>
      <c r="U66" s="25" t="s">
        <v>1765</v>
      </c>
      <c r="V66" s="21" t="s">
        <v>1463</v>
      </c>
      <c r="W66" s="24" t="s">
        <v>1464</v>
      </c>
      <c r="X66" s="24" t="s">
        <v>1465</v>
      </c>
    </row>
    <row r="67" customFormat="false" ht="39" hidden="false" customHeight="true" outlineLevel="0" collapsed="false">
      <c r="A67" s="20" t="s">
        <v>1757</v>
      </c>
      <c r="B67" s="20" t="s">
        <v>1758</v>
      </c>
      <c r="C67" s="20" t="s">
        <v>1757</v>
      </c>
      <c r="D67" s="20" t="s">
        <v>1312</v>
      </c>
      <c r="E67" s="20" t="s">
        <v>1509</v>
      </c>
      <c r="F67" s="20" t="s">
        <v>1800</v>
      </c>
      <c r="G67" s="20" t="s">
        <v>1420</v>
      </c>
      <c r="H67" s="20" t="s">
        <v>1801</v>
      </c>
      <c r="I67" s="20" t="s">
        <v>1802</v>
      </c>
      <c r="J67" s="20" t="s">
        <v>1803</v>
      </c>
      <c r="K67" s="20" t="s">
        <v>1804</v>
      </c>
      <c r="L67" s="22" t="s">
        <v>1456</v>
      </c>
      <c r="M67" s="22" t="s">
        <v>1457</v>
      </c>
      <c r="N67" s="22" t="s">
        <v>1805</v>
      </c>
      <c r="O67" s="20" t="s">
        <v>1489</v>
      </c>
      <c r="P67" s="20" t="s">
        <v>1764</v>
      </c>
      <c r="Q67" s="20"/>
      <c r="R67" s="20"/>
      <c r="S67" s="20" t="s">
        <v>1460</v>
      </c>
      <c r="T67" s="20" t="s">
        <v>1806</v>
      </c>
      <c r="U67" s="23" t="s">
        <v>1765</v>
      </c>
      <c r="V67" s="20" t="s">
        <v>1463</v>
      </c>
      <c r="W67" s="22" t="s">
        <v>1464</v>
      </c>
      <c r="X67" s="22" t="s">
        <v>1465</v>
      </c>
    </row>
    <row r="68" customFormat="false" ht="39" hidden="false" customHeight="true" outlineLevel="0" collapsed="false">
      <c r="A68" s="21" t="s">
        <v>1807</v>
      </c>
      <c r="B68" s="21" t="s">
        <v>1808</v>
      </c>
      <c r="C68" s="21" t="s">
        <v>1807</v>
      </c>
      <c r="D68" s="21" t="s">
        <v>1313</v>
      </c>
      <c r="E68" s="21" t="s">
        <v>1450</v>
      </c>
      <c r="F68" s="21" t="s">
        <v>1809</v>
      </c>
      <c r="G68" s="21" t="s">
        <v>1325</v>
      </c>
      <c r="H68" s="21" t="s">
        <v>1810</v>
      </c>
      <c r="I68" s="21" t="s">
        <v>1811</v>
      </c>
      <c r="J68" s="21" t="s">
        <v>1812</v>
      </c>
      <c r="K68" s="21" t="s">
        <v>1813</v>
      </c>
      <c r="L68" s="24" t="s">
        <v>1456</v>
      </c>
      <c r="M68" s="24" t="s">
        <v>1457</v>
      </c>
      <c r="N68" s="24"/>
      <c r="O68" s="21" t="s">
        <v>1458</v>
      </c>
      <c r="P68" s="21" t="s">
        <v>1814</v>
      </c>
      <c r="Q68" s="21"/>
      <c r="R68" s="21"/>
      <c r="S68" s="21" t="s">
        <v>1460</v>
      </c>
      <c r="T68" s="21" t="s">
        <v>1461</v>
      </c>
      <c r="U68" s="25" t="s">
        <v>1815</v>
      </c>
      <c r="V68" s="21" t="s">
        <v>1463</v>
      </c>
      <c r="W68" s="24" t="s">
        <v>1464</v>
      </c>
      <c r="X68" s="24" t="s">
        <v>1465</v>
      </c>
    </row>
    <row r="69" customFormat="false" ht="39" hidden="false" customHeight="true" outlineLevel="0" collapsed="false">
      <c r="A69" s="20" t="s">
        <v>1807</v>
      </c>
      <c r="B69" s="20" t="s">
        <v>1808</v>
      </c>
      <c r="C69" s="20" t="s">
        <v>1807</v>
      </c>
      <c r="D69" s="20" t="s">
        <v>1313</v>
      </c>
      <c r="E69" s="20" t="s">
        <v>1466</v>
      </c>
      <c r="F69" s="20" t="s">
        <v>1816</v>
      </c>
      <c r="G69" s="20" t="s">
        <v>1337</v>
      </c>
      <c r="H69" s="20" t="s">
        <v>1337</v>
      </c>
      <c r="I69" s="20" t="s">
        <v>1811</v>
      </c>
      <c r="J69" s="20" t="s">
        <v>1817</v>
      </c>
      <c r="K69" s="20" t="s">
        <v>1818</v>
      </c>
      <c r="L69" s="22" t="s">
        <v>1456</v>
      </c>
      <c r="M69" s="22" t="s">
        <v>1457</v>
      </c>
      <c r="N69" s="22"/>
      <c r="O69" s="20" t="s">
        <v>1458</v>
      </c>
      <c r="P69" s="20" t="s">
        <v>1814</v>
      </c>
      <c r="Q69" s="20"/>
      <c r="R69" s="20"/>
      <c r="S69" s="20" t="s">
        <v>1460</v>
      </c>
      <c r="T69" s="20" t="s">
        <v>1461</v>
      </c>
      <c r="U69" s="23" t="s">
        <v>1815</v>
      </c>
      <c r="V69" s="20" t="s">
        <v>1463</v>
      </c>
      <c r="W69" s="22" t="s">
        <v>1464</v>
      </c>
      <c r="X69" s="22" t="s">
        <v>1465</v>
      </c>
    </row>
    <row r="70" customFormat="false" ht="39" hidden="false" customHeight="true" outlineLevel="0" collapsed="false">
      <c r="A70" s="21" t="s">
        <v>1807</v>
      </c>
      <c r="B70" s="21" t="s">
        <v>1808</v>
      </c>
      <c r="C70" s="21" t="s">
        <v>1807</v>
      </c>
      <c r="D70" s="21" t="s">
        <v>1313</v>
      </c>
      <c r="E70" s="21" t="s">
        <v>1470</v>
      </c>
      <c r="F70" s="21" t="s">
        <v>1819</v>
      </c>
      <c r="G70" s="21" t="s">
        <v>1349</v>
      </c>
      <c r="H70" s="21" t="s">
        <v>1820</v>
      </c>
      <c r="I70" s="21" t="s">
        <v>1821</v>
      </c>
      <c r="J70" s="21" t="s">
        <v>1822</v>
      </c>
      <c r="K70" s="21" t="s">
        <v>1823</v>
      </c>
      <c r="L70" s="24" t="s">
        <v>1456</v>
      </c>
      <c r="M70" s="24" t="s">
        <v>1457</v>
      </c>
      <c r="N70" s="24" t="s">
        <v>1824</v>
      </c>
      <c r="O70" s="21" t="s">
        <v>1458</v>
      </c>
      <c r="P70" s="21" t="s">
        <v>1814</v>
      </c>
      <c r="Q70" s="21"/>
      <c r="R70" s="21"/>
      <c r="S70" s="21" t="s">
        <v>1460</v>
      </c>
      <c r="T70" s="21" t="s">
        <v>1825</v>
      </c>
      <c r="U70" s="25" t="s">
        <v>1815</v>
      </c>
      <c r="V70" s="21" t="s">
        <v>1463</v>
      </c>
      <c r="W70" s="24" t="s">
        <v>1464</v>
      </c>
      <c r="X70" s="24" t="s">
        <v>1465</v>
      </c>
    </row>
    <row r="71" customFormat="false" ht="39" hidden="false" customHeight="true" outlineLevel="0" collapsed="false">
      <c r="A71" s="20" t="s">
        <v>1807</v>
      </c>
      <c r="B71" s="20" t="s">
        <v>1808</v>
      </c>
      <c r="C71" s="20" t="s">
        <v>1807</v>
      </c>
      <c r="D71" s="20" t="s">
        <v>1313</v>
      </c>
      <c r="E71" s="20" t="s">
        <v>1476</v>
      </c>
      <c r="F71" s="20" t="s">
        <v>1826</v>
      </c>
      <c r="G71" s="20" t="s">
        <v>1361</v>
      </c>
      <c r="H71" s="20" t="s">
        <v>1827</v>
      </c>
      <c r="I71" s="20" t="s">
        <v>1828</v>
      </c>
      <c r="J71" s="20" t="s">
        <v>1829</v>
      </c>
      <c r="K71" s="20" t="s">
        <v>1830</v>
      </c>
      <c r="L71" s="22" t="s">
        <v>1456</v>
      </c>
      <c r="M71" s="22" t="s">
        <v>1457</v>
      </c>
      <c r="N71" s="22"/>
      <c r="O71" s="20" t="s">
        <v>1489</v>
      </c>
      <c r="P71" s="20" t="s">
        <v>1814</v>
      </c>
      <c r="Q71" s="20"/>
      <c r="R71" s="20"/>
      <c r="S71" s="20" t="s">
        <v>1460</v>
      </c>
      <c r="T71" s="20" t="s">
        <v>1461</v>
      </c>
      <c r="U71" s="23" t="s">
        <v>1815</v>
      </c>
      <c r="V71" s="20" t="s">
        <v>1463</v>
      </c>
      <c r="W71" s="22" t="s">
        <v>1464</v>
      </c>
      <c r="X71" s="22" t="s">
        <v>1465</v>
      </c>
    </row>
    <row r="72" customFormat="false" ht="39" hidden="false" customHeight="true" outlineLevel="0" collapsed="false">
      <c r="A72" s="21" t="s">
        <v>1807</v>
      </c>
      <c r="B72" s="21" t="s">
        <v>1808</v>
      </c>
      <c r="C72" s="21" t="s">
        <v>1807</v>
      </c>
      <c r="D72" s="21" t="s">
        <v>1313</v>
      </c>
      <c r="E72" s="21" t="s">
        <v>1482</v>
      </c>
      <c r="F72" s="21" t="s">
        <v>1831</v>
      </c>
      <c r="G72" s="21" t="s">
        <v>1373</v>
      </c>
      <c r="H72" s="21" t="s">
        <v>1373</v>
      </c>
      <c r="I72" s="21" t="s">
        <v>1832</v>
      </c>
      <c r="J72" s="21" t="s">
        <v>1833</v>
      </c>
      <c r="K72" s="21" t="s">
        <v>1834</v>
      </c>
      <c r="L72" s="24" t="s">
        <v>1456</v>
      </c>
      <c r="M72" s="24" t="s">
        <v>1457</v>
      </c>
      <c r="N72" s="24"/>
      <c r="O72" s="21" t="s">
        <v>1458</v>
      </c>
      <c r="P72" s="21" t="s">
        <v>1814</v>
      </c>
      <c r="Q72" s="21"/>
      <c r="R72" s="21"/>
      <c r="S72" s="21" t="s">
        <v>1460</v>
      </c>
      <c r="T72" s="21" t="s">
        <v>1461</v>
      </c>
      <c r="U72" s="25" t="s">
        <v>1815</v>
      </c>
      <c r="V72" s="21" t="s">
        <v>1463</v>
      </c>
      <c r="W72" s="24" t="s">
        <v>1464</v>
      </c>
      <c r="X72" s="24" t="s">
        <v>1465</v>
      </c>
    </row>
    <row r="73" customFormat="false" ht="39" hidden="false" customHeight="true" outlineLevel="0" collapsed="false">
      <c r="A73" s="20" t="s">
        <v>1807</v>
      </c>
      <c r="B73" s="20" t="s">
        <v>1808</v>
      </c>
      <c r="C73" s="20" t="s">
        <v>1807</v>
      </c>
      <c r="D73" s="20" t="s">
        <v>1313</v>
      </c>
      <c r="E73" s="20" t="s">
        <v>1490</v>
      </c>
      <c r="F73" s="20" t="s">
        <v>1835</v>
      </c>
      <c r="G73" s="20" t="s">
        <v>1385</v>
      </c>
      <c r="H73" s="20" t="s">
        <v>1385</v>
      </c>
      <c r="I73" s="20" t="s">
        <v>1836</v>
      </c>
      <c r="J73" s="20" t="s">
        <v>1837</v>
      </c>
      <c r="K73" s="20" t="s">
        <v>1838</v>
      </c>
      <c r="L73" s="22" t="s">
        <v>1456</v>
      </c>
      <c r="M73" s="22" t="s">
        <v>1457</v>
      </c>
      <c r="N73" s="22"/>
      <c r="O73" s="20" t="s">
        <v>1489</v>
      </c>
      <c r="P73" s="20" t="s">
        <v>1814</v>
      </c>
      <c r="Q73" s="20"/>
      <c r="R73" s="20"/>
      <c r="S73" s="20" t="s">
        <v>1460</v>
      </c>
      <c r="T73" s="20" t="s">
        <v>1461</v>
      </c>
      <c r="U73" s="23" t="s">
        <v>1815</v>
      </c>
      <c r="V73" s="20" t="s">
        <v>1463</v>
      </c>
      <c r="W73" s="22" t="s">
        <v>1464</v>
      </c>
      <c r="X73" s="22" t="s">
        <v>1465</v>
      </c>
    </row>
    <row r="74" customFormat="false" ht="51.75" hidden="false" customHeight="true" outlineLevel="0" collapsed="false">
      <c r="A74" s="21" t="s">
        <v>1807</v>
      </c>
      <c r="B74" s="21" t="s">
        <v>1808</v>
      </c>
      <c r="C74" s="21" t="s">
        <v>1807</v>
      </c>
      <c r="D74" s="21" t="s">
        <v>1313</v>
      </c>
      <c r="E74" s="21" t="s">
        <v>1496</v>
      </c>
      <c r="F74" s="21" t="s">
        <v>1839</v>
      </c>
      <c r="G74" s="21" t="s">
        <v>1397</v>
      </c>
      <c r="H74" s="21" t="s">
        <v>1397</v>
      </c>
      <c r="I74" s="21" t="s">
        <v>1840</v>
      </c>
      <c r="J74" s="21" t="s">
        <v>1841</v>
      </c>
      <c r="K74" s="21" t="s">
        <v>1842</v>
      </c>
      <c r="L74" s="24" t="s">
        <v>1456</v>
      </c>
      <c r="M74" s="24" t="s">
        <v>1457</v>
      </c>
      <c r="N74" s="24" t="s">
        <v>1843</v>
      </c>
      <c r="O74" s="21" t="s">
        <v>1489</v>
      </c>
      <c r="P74" s="21" t="s">
        <v>1814</v>
      </c>
      <c r="Q74" s="21"/>
      <c r="R74" s="21"/>
      <c r="S74" s="21" t="s">
        <v>1460</v>
      </c>
      <c r="T74" s="21" t="s">
        <v>1844</v>
      </c>
      <c r="U74" s="25" t="s">
        <v>1815</v>
      </c>
      <c r="V74" s="21" t="s">
        <v>1463</v>
      </c>
      <c r="W74" s="24" t="s">
        <v>1464</v>
      </c>
      <c r="X74" s="24" t="s">
        <v>1465</v>
      </c>
    </row>
    <row r="75" customFormat="false" ht="39" hidden="false" customHeight="true" outlineLevel="0" collapsed="false">
      <c r="A75" s="20" t="s">
        <v>1807</v>
      </c>
      <c r="B75" s="20" t="s">
        <v>1808</v>
      </c>
      <c r="C75" s="20" t="s">
        <v>1807</v>
      </c>
      <c r="D75" s="20" t="s">
        <v>1313</v>
      </c>
      <c r="E75" s="20" t="s">
        <v>1501</v>
      </c>
      <c r="F75" s="20" t="s">
        <v>1845</v>
      </c>
      <c r="G75" s="20" t="s">
        <v>1409</v>
      </c>
      <c r="H75" s="20" t="s">
        <v>1409</v>
      </c>
      <c r="I75" s="20" t="s">
        <v>1846</v>
      </c>
      <c r="J75" s="20" t="s">
        <v>1847</v>
      </c>
      <c r="K75" s="20" t="s">
        <v>1848</v>
      </c>
      <c r="L75" s="22" t="s">
        <v>1456</v>
      </c>
      <c r="M75" s="22" t="s">
        <v>1457</v>
      </c>
      <c r="N75" s="22" t="s">
        <v>1849</v>
      </c>
      <c r="O75" s="20" t="s">
        <v>1489</v>
      </c>
      <c r="P75" s="20" t="s">
        <v>1814</v>
      </c>
      <c r="Q75" s="20"/>
      <c r="R75" s="20"/>
      <c r="S75" s="20" t="s">
        <v>1460</v>
      </c>
      <c r="T75" s="20" t="s">
        <v>1850</v>
      </c>
      <c r="U75" s="23" t="s">
        <v>1815</v>
      </c>
      <c r="V75" s="20" t="s">
        <v>1463</v>
      </c>
      <c r="W75" s="22" t="s">
        <v>1464</v>
      </c>
      <c r="X75" s="22" t="s">
        <v>1465</v>
      </c>
    </row>
    <row r="76" customFormat="false" ht="51.75" hidden="false" customHeight="true" outlineLevel="0" collapsed="false">
      <c r="A76" s="21" t="s">
        <v>1807</v>
      </c>
      <c r="B76" s="21" t="s">
        <v>1808</v>
      </c>
      <c r="C76" s="21" t="s">
        <v>1807</v>
      </c>
      <c r="D76" s="21" t="s">
        <v>1313</v>
      </c>
      <c r="E76" s="21" t="s">
        <v>1509</v>
      </c>
      <c r="F76" s="21" t="s">
        <v>1851</v>
      </c>
      <c r="G76" s="21" t="s">
        <v>1421</v>
      </c>
      <c r="H76" s="21" t="s">
        <v>1421</v>
      </c>
      <c r="I76" s="21" t="s">
        <v>1852</v>
      </c>
      <c r="J76" s="21" t="s">
        <v>1853</v>
      </c>
      <c r="K76" s="21" t="s">
        <v>1854</v>
      </c>
      <c r="L76" s="24" t="s">
        <v>1456</v>
      </c>
      <c r="M76" s="24" t="s">
        <v>1457</v>
      </c>
      <c r="N76" s="24" t="s">
        <v>1855</v>
      </c>
      <c r="O76" s="21" t="s">
        <v>1489</v>
      </c>
      <c r="P76" s="21" t="s">
        <v>1814</v>
      </c>
      <c r="Q76" s="21"/>
      <c r="R76" s="21"/>
      <c r="S76" s="21" t="s">
        <v>1460</v>
      </c>
      <c r="T76" s="21" t="s">
        <v>1856</v>
      </c>
      <c r="U76" s="25" t="s">
        <v>1815</v>
      </c>
      <c r="V76" s="21" t="s">
        <v>1463</v>
      </c>
      <c r="W76" s="24" t="s">
        <v>1464</v>
      </c>
      <c r="X76" s="24" t="s">
        <v>1465</v>
      </c>
    </row>
    <row r="77" customFormat="false" ht="39" hidden="false" customHeight="true" outlineLevel="0" collapsed="false">
      <c r="A77" s="20" t="s">
        <v>1857</v>
      </c>
      <c r="B77" s="20" t="s">
        <v>1858</v>
      </c>
      <c r="C77" s="20" t="s">
        <v>1859</v>
      </c>
      <c r="D77" s="20" t="s">
        <v>1314</v>
      </c>
      <c r="E77" s="20" t="s">
        <v>1450</v>
      </c>
      <c r="F77" s="20" t="s">
        <v>1860</v>
      </c>
      <c r="G77" s="20" t="s">
        <v>1326</v>
      </c>
      <c r="H77" s="20" t="s">
        <v>1861</v>
      </c>
      <c r="I77" s="20" t="s">
        <v>1862</v>
      </c>
      <c r="J77" s="20" t="s">
        <v>1863</v>
      </c>
      <c r="K77" s="20" t="s">
        <v>1864</v>
      </c>
      <c r="L77" s="22" t="s">
        <v>1456</v>
      </c>
      <c r="M77" s="22" t="s">
        <v>1457</v>
      </c>
      <c r="N77" s="22"/>
      <c r="O77" s="20" t="s">
        <v>1458</v>
      </c>
      <c r="P77" s="20" t="s">
        <v>1865</v>
      </c>
      <c r="Q77" s="20"/>
      <c r="R77" s="20"/>
      <c r="S77" s="20" t="s">
        <v>1460</v>
      </c>
      <c r="T77" s="20" t="s">
        <v>1461</v>
      </c>
      <c r="U77" s="23" t="s">
        <v>1866</v>
      </c>
      <c r="V77" s="20" t="s">
        <v>1463</v>
      </c>
      <c r="W77" s="22" t="s">
        <v>1464</v>
      </c>
      <c r="X77" s="22" t="s">
        <v>1465</v>
      </c>
    </row>
    <row r="78" customFormat="false" ht="39" hidden="false" customHeight="true" outlineLevel="0" collapsed="false">
      <c r="A78" s="21" t="s">
        <v>1857</v>
      </c>
      <c r="B78" s="21" t="s">
        <v>1858</v>
      </c>
      <c r="C78" s="21" t="s">
        <v>1859</v>
      </c>
      <c r="D78" s="21" t="s">
        <v>1314</v>
      </c>
      <c r="E78" s="21" t="s">
        <v>1466</v>
      </c>
      <c r="F78" s="21" t="s">
        <v>1867</v>
      </c>
      <c r="G78" s="21" t="s">
        <v>1338</v>
      </c>
      <c r="H78" s="21" t="s">
        <v>1338</v>
      </c>
      <c r="I78" s="21" t="s">
        <v>1868</v>
      </c>
      <c r="J78" s="21" t="s">
        <v>1869</v>
      </c>
      <c r="K78" s="21" t="s">
        <v>1870</v>
      </c>
      <c r="L78" s="24" t="s">
        <v>1456</v>
      </c>
      <c r="M78" s="24" t="s">
        <v>1457</v>
      </c>
      <c r="N78" s="24"/>
      <c r="O78" s="21" t="s">
        <v>1458</v>
      </c>
      <c r="P78" s="21" t="s">
        <v>1865</v>
      </c>
      <c r="Q78" s="21"/>
      <c r="R78" s="21"/>
      <c r="S78" s="21" t="s">
        <v>1460</v>
      </c>
      <c r="T78" s="21" t="s">
        <v>1461</v>
      </c>
      <c r="U78" s="25" t="s">
        <v>1866</v>
      </c>
      <c r="V78" s="21" t="s">
        <v>1463</v>
      </c>
      <c r="W78" s="24" t="s">
        <v>1464</v>
      </c>
      <c r="X78" s="24" t="s">
        <v>1465</v>
      </c>
    </row>
    <row r="79" customFormat="false" ht="39" hidden="false" customHeight="true" outlineLevel="0" collapsed="false">
      <c r="A79" s="20" t="s">
        <v>1857</v>
      </c>
      <c r="B79" s="20" t="s">
        <v>1858</v>
      </c>
      <c r="C79" s="20" t="s">
        <v>1859</v>
      </c>
      <c r="D79" s="20" t="s">
        <v>1314</v>
      </c>
      <c r="E79" s="20" t="s">
        <v>1470</v>
      </c>
      <c r="F79" s="20" t="s">
        <v>1871</v>
      </c>
      <c r="G79" s="20" t="s">
        <v>1350</v>
      </c>
      <c r="H79" s="20" t="s">
        <v>1350</v>
      </c>
      <c r="I79" s="20" t="s">
        <v>1868</v>
      </c>
      <c r="J79" s="20" t="s">
        <v>1872</v>
      </c>
      <c r="K79" s="20" t="s">
        <v>1873</v>
      </c>
      <c r="L79" s="22" t="s">
        <v>1456</v>
      </c>
      <c r="M79" s="22" t="s">
        <v>1457</v>
      </c>
      <c r="N79" s="22"/>
      <c r="O79" s="20" t="s">
        <v>1458</v>
      </c>
      <c r="P79" s="20" t="s">
        <v>1865</v>
      </c>
      <c r="Q79" s="20"/>
      <c r="R79" s="20"/>
      <c r="S79" s="20" t="s">
        <v>1460</v>
      </c>
      <c r="T79" s="20" t="s">
        <v>1461</v>
      </c>
      <c r="U79" s="23" t="s">
        <v>1866</v>
      </c>
      <c r="V79" s="20" t="s">
        <v>1463</v>
      </c>
      <c r="W79" s="22" t="s">
        <v>1464</v>
      </c>
      <c r="X79" s="22" t="s">
        <v>1465</v>
      </c>
    </row>
    <row r="80" customFormat="false" ht="39" hidden="false" customHeight="true" outlineLevel="0" collapsed="false">
      <c r="A80" s="21" t="s">
        <v>1857</v>
      </c>
      <c r="B80" s="21" t="s">
        <v>1858</v>
      </c>
      <c r="C80" s="21" t="s">
        <v>1859</v>
      </c>
      <c r="D80" s="21" t="s">
        <v>1314</v>
      </c>
      <c r="E80" s="21" t="s">
        <v>1476</v>
      </c>
      <c r="F80" s="21" t="s">
        <v>1874</v>
      </c>
      <c r="G80" s="21" t="s">
        <v>1362</v>
      </c>
      <c r="H80" s="21" t="s">
        <v>1362</v>
      </c>
      <c r="I80" s="21" t="s">
        <v>1875</v>
      </c>
      <c r="J80" s="21" t="s">
        <v>1876</v>
      </c>
      <c r="K80" s="21" t="s">
        <v>1877</v>
      </c>
      <c r="L80" s="24" t="s">
        <v>1456</v>
      </c>
      <c r="M80" s="24" t="s">
        <v>1457</v>
      </c>
      <c r="N80" s="24"/>
      <c r="O80" s="21" t="s">
        <v>1458</v>
      </c>
      <c r="P80" s="21" t="s">
        <v>1865</v>
      </c>
      <c r="Q80" s="21"/>
      <c r="R80" s="21"/>
      <c r="S80" s="21" t="s">
        <v>1460</v>
      </c>
      <c r="T80" s="21" t="s">
        <v>1461</v>
      </c>
      <c r="U80" s="25" t="s">
        <v>1866</v>
      </c>
      <c r="V80" s="21" t="s">
        <v>1463</v>
      </c>
      <c r="W80" s="24" t="s">
        <v>1464</v>
      </c>
      <c r="X80" s="24" t="s">
        <v>1465</v>
      </c>
    </row>
    <row r="81" customFormat="false" ht="39" hidden="false" customHeight="true" outlineLevel="0" collapsed="false">
      <c r="A81" s="20" t="s">
        <v>1857</v>
      </c>
      <c r="B81" s="20" t="s">
        <v>1858</v>
      </c>
      <c r="C81" s="20" t="s">
        <v>1859</v>
      </c>
      <c r="D81" s="20" t="s">
        <v>1314</v>
      </c>
      <c r="E81" s="20" t="s">
        <v>1482</v>
      </c>
      <c r="F81" s="20" t="s">
        <v>1878</v>
      </c>
      <c r="G81" s="20" t="s">
        <v>1374</v>
      </c>
      <c r="H81" s="20" t="s">
        <v>1879</v>
      </c>
      <c r="I81" s="20" t="s">
        <v>1880</v>
      </c>
      <c r="J81" s="20" t="s">
        <v>1881</v>
      </c>
      <c r="K81" s="20" t="s">
        <v>1882</v>
      </c>
      <c r="L81" s="22" t="s">
        <v>1456</v>
      </c>
      <c r="M81" s="22" t="s">
        <v>1457</v>
      </c>
      <c r="N81" s="22"/>
      <c r="O81" s="20" t="s">
        <v>1489</v>
      </c>
      <c r="P81" s="20" t="s">
        <v>1865</v>
      </c>
      <c r="Q81" s="20"/>
      <c r="R81" s="20"/>
      <c r="S81" s="20" t="s">
        <v>1460</v>
      </c>
      <c r="T81" s="20" t="s">
        <v>1461</v>
      </c>
      <c r="U81" s="23" t="s">
        <v>1866</v>
      </c>
      <c r="V81" s="20" t="s">
        <v>1463</v>
      </c>
      <c r="W81" s="22" t="s">
        <v>1464</v>
      </c>
      <c r="X81" s="22" t="s">
        <v>1465</v>
      </c>
    </row>
    <row r="82" customFormat="false" ht="39" hidden="false" customHeight="true" outlineLevel="0" collapsed="false">
      <c r="A82" s="21" t="s">
        <v>1857</v>
      </c>
      <c r="B82" s="21" t="s">
        <v>1858</v>
      </c>
      <c r="C82" s="21" t="s">
        <v>1859</v>
      </c>
      <c r="D82" s="21" t="s">
        <v>1314</v>
      </c>
      <c r="E82" s="21" t="s">
        <v>1490</v>
      </c>
      <c r="F82" s="21" t="s">
        <v>1883</v>
      </c>
      <c r="G82" s="21" t="s">
        <v>1386</v>
      </c>
      <c r="H82" s="21" t="s">
        <v>1386</v>
      </c>
      <c r="I82" s="21" t="s">
        <v>1884</v>
      </c>
      <c r="J82" s="21" t="s">
        <v>1885</v>
      </c>
      <c r="K82" s="21" t="s">
        <v>1886</v>
      </c>
      <c r="L82" s="24" t="s">
        <v>1456</v>
      </c>
      <c r="M82" s="24" t="s">
        <v>1457</v>
      </c>
      <c r="N82" s="24"/>
      <c r="O82" s="21" t="s">
        <v>1489</v>
      </c>
      <c r="P82" s="21" t="s">
        <v>1865</v>
      </c>
      <c r="Q82" s="21"/>
      <c r="R82" s="21"/>
      <c r="S82" s="21" t="s">
        <v>1460</v>
      </c>
      <c r="T82" s="21" t="s">
        <v>1461</v>
      </c>
      <c r="U82" s="25" t="s">
        <v>1866</v>
      </c>
      <c r="V82" s="21" t="s">
        <v>1463</v>
      </c>
      <c r="W82" s="24" t="s">
        <v>1464</v>
      </c>
      <c r="X82" s="24" t="s">
        <v>1465</v>
      </c>
    </row>
    <row r="83" customFormat="false" ht="39" hidden="false" customHeight="true" outlineLevel="0" collapsed="false">
      <c r="A83" s="20" t="s">
        <v>1857</v>
      </c>
      <c r="B83" s="20" t="s">
        <v>1858</v>
      </c>
      <c r="C83" s="20" t="s">
        <v>1859</v>
      </c>
      <c r="D83" s="20" t="s">
        <v>1314</v>
      </c>
      <c r="E83" s="20" t="s">
        <v>1496</v>
      </c>
      <c r="F83" s="20" t="s">
        <v>1887</v>
      </c>
      <c r="G83" s="20" t="s">
        <v>1398</v>
      </c>
      <c r="H83" s="20" t="s">
        <v>1888</v>
      </c>
      <c r="I83" s="20" t="s">
        <v>1889</v>
      </c>
      <c r="J83" s="20" t="s">
        <v>1890</v>
      </c>
      <c r="K83" s="20" t="s">
        <v>1739</v>
      </c>
      <c r="L83" s="22" t="s">
        <v>1456</v>
      </c>
      <c r="M83" s="22" t="s">
        <v>1457</v>
      </c>
      <c r="N83" s="22"/>
      <c r="O83" s="20" t="s">
        <v>1489</v>
      </c>
      <c r="P83" s="20" t="s">
        <v>1865</v>
      </c>
      <c r="Q83" s="20"/>
      <c r="R83" s="20"/>
      <c r="S83" s="20" t="s">
        <v>1460</v>
      </c>
      <c r="T83" s="20" t="s">
        <v>1461</v>
      </c>
      <c r="U83" s="23" t="s">
        <v>1866</v>
      </c>
      <c r="V83" s="20" t="s">
        <v>1463</v>
      </c>
      <c r="W83" s="22" t="s">
        <v>1464</v>
      </c>
      <c r="X83" s="22" t="s">
        <v>1465</v>
      </c>
    </row>
    <row r="84" customFormat="false" ht="39" hidden="false" customHeight="true" outlineLevel="0" collapsed="false">
      <c r="A84" s="21" t="s">
        <v>1857</v>
      </c>
      <c r="B84" s="21" t="s">
        <v>1858</v>
      </c>
      <c r="C84" s="21" t="s">
        <v>1859</v>
      </c>
      <c r="D84" s="21" t="s">
        <v>1314</v>
      </c>
      <c r="E84" s="21" t="s">
        <v>1501</v>
      </c>
      <c r="F84" s="21" t="s">
        <v>1891</v>
      </c>
      <c r="G84" s="21" t="s">
        <v>1410</v>
      </c>
      <c r="H84" s="21" t="s">
        <v>1892</v>
      </c>
      <c r="I84" s="21" t="s">
        <v>1893</v>
      </c>
      <c r="J84" s="21" t="s">
        <v>1894</v>
      </c>
      <c r="K84" s="21" t="s">
        <v>1895</v>
      </c>
      <c r="L84" s="24" t="s">
        <v>1456</v>
      </c>
      <c r="M84" s="24" t="s">
        <v>1457</v>
      </c>
      <c r="N84" s="24" t="s">
        <v>1896</v>
      </c>
      <c r="O84" s="21" t="s">
        <v>1489</v>
      </c>
      <c r="P84" s="21" t="s">
        <v>1865</v>
      </c>
      <c r="Q84" s="21"/>
      <c r="R84" s="21"/>
      <c r="S84" s="21" t="s">
        <v>1460</v>
      </c>
      <c r="T84" s="21" t="s">
        <v>1897</v>
      </c>
      <c r="U84" s="25" t="s">
        <v>1866</v>
      </c>
      <c r="V84" s="21" t="s">
        <v>1463</v>
      </c>
      <c r="W84" s="24" t="s">
        <v>1464</v>
      </c>
      <c r="X84" s="24" t="s">
        <v>1465</v>
      </c>
    </row>
    <row r="85" customFormat="false" ht="39" hidden="false" customHeight="true" outlineLevel="0" collapsed="false">
      <c r="A85" s="20" t="s">
        <v>1857</v>
      </c>
      <c r="B85" s="20" t="s">
        <v>1858</v>
      </c>
      <c r="C85" s="20" t="s">
        <v>1859</v>
      </c>
      <c r="D85" s="20" t="s">
        <v>1314</v>
      </c>
      <c r="E85" s="20" t="s">
        <v>1509</v>
      </c>
      <c r="F85" s="20" t="s">
        <v>1898</v>
      </c>
      <c r="G85" s="20" t="s">
        <v>1422</v>
      </c>
      <c r="H85" s="20" t="s">
        <v>1422</v>
      </c>
      <c r="I85" s="20" t="s">
        <v>1899</v>
      </c>
      <c r="J85" s="20" t="s">
        <v>1900</v>
      </c>
      <c r="K85" s="20" t="s">
        <v>1901</v>
      </c>
      <c r="L85" s="22" t="s">
        <v>1456</v>
      </c>
      <c r="M85" s="22" t="s">
        <v>1457</v>
      </c>
      <c r="N85" s="22" t="s">
        <v>1902</v>
      </c>
      <c r="O85" s="20" t="s">
        <v>1489</v>
      </c>
      <c r="P85" s="20" t="s">
        <v>1865</v>
      </c>
      <c r="Q85" s="20"/>
      <c r="R85" s="20"/>
      <c r="S85" s="20" t="s">
        <v>1460</v>
      </c>
      <c r="T85" s="20" t="s">
        <v>1903</v>
      </c>
      <c r="U85" s="23" t="s">
        <v>1866</v>
      </c>
      <c r="V85" s="20" t="s">
        <v>1463</v>
      </c>
      <c r="W85" s="22" t="s">
        <v>1464</v>
      </c>
      <c r="X85" s="22" t="s">
        <v>1465</v>
      </c>
    </row>
    <row r="86" customFormat="false" ht="39" hidden="false" customHeight="true" outlineLevel="0" collapsed="false">
      <c r="A86" s="21" t="s">
        <v>1904</v>
      </c>
      <c r="B86" s="21" t="s">
        <v>1905</v>
      </c>
      <c r="C86" s="21" t="s">
        <v>1906</v>
      </c>
      <c r="D86" s="21" t="s">
        <v>1315</v>
      </c>
      <c r="E86" s="21" t="s">
        <v>1450</v>
      </c>
      <c r="F86" s="21" t="s">
        <v>1907</v>
      </c>
      <c r="G86" s="21" t="s">
        <v>1327</v>
      </c>
      <c r="H86" s="21" t="s">
        <v>1908</v>
      </c>
      <c r="I86" s="21" t="s">
        <v>1909</v>
      </c>
      <c r="J86" s="21" t="s">
        <v>1910</v>
      </c>
      <c r="K86" s="21" t="s">
        <v>1911</v>
      </c>
      <c r="L86" s="24" t="s">
        <v>1456</v>
      </c>
      <c r="M86" s="24" t="s">
        <v>1457</v>
      </c>
      <c r="N86" s="24"/>
      <c r="O86" s="21" t="s">
        <v>1458</v>
      </c>
      <c r="P86" s="21" t="s">
        <v>1912</v>
      </c>
      <c r="Q86" s="21"/>
      <c r="R86" s="21"/>
      <c r="S86" s="21" t="s">
        <v>1460</v>
      </c>
      <c r="T86" s="21" t="s">
        <v>1461</v>
      </c>
      <c r="U86" s="25" t="s">
        <v>1579</v>
      </c>
      <c r="V86" s="21" t="s">
        <v>1463</v>
      </c>
      <c r="W86" s="24" t="s">
        <v>1464</v>
      </c>
      <c r="X86" s="24" t="s">
        <v>1465</v>
      </c>
    </row>
    <row r="87" customFormat="false" ht="39" hidden="false" customHeight="true" outlineLevel="0" collapsed="false">
      <c r="A87" s="20" t="s">
        <v>1904</v>
      </c>
      <c r="B87" s="20" t="s">
        <v>1905</v>
      </c>
      <c r="C87" s="20" t="s">
        <v>1906</v>
      </c>
      <c r="D87" s="20" t="s">
        <v>1315</v>
      </c>
      <c r="E87" s="20" t="s">
        <v>1466</v>
      </c>
      <c r="F87" s="20" t="s">
        <v>1913</v>
      </c>
      <c r="G87" s="20" t="s">
        <v>1339</v>
      </c>
      <c r="H87" s="20" t="s">
        <v>1914</v>
      </c>
      <c r="I87" s="20" t="s">
        <v>1915</v>
      </c>
      <c r="J87" s="20" t="s">
        <v>1916</v>
      </c>
      <c r="K87" s="20" t="s">
        <v>1917</v>
      </c>
      <c r="L87" s="22" t="s">
        <v>1456</v>
      </c>
      <c r="M87" s="22" t="s">
        <v>1457</v>
      </c>
      <c r="N87" s="22"/>
      <c r="O87" s="20" t="s">
        <v>1458</v>
      </c>
      <c r="P87" s="20" t="s">
        <v>1912</v>
      </c>
      <c r="Q87" s="20"/>
      <c r="R87" s="20"/>
      <c r="S87" s="20" t="s">
        <v>1460</v>
      </c>
      <c r="T87" s="20" t="s">
        <v>1461</v>
      </c>
      <c r="U87" s="23" t="s">
        <v>1579</v>
      </c>
      <c r="V87" s="20" t="s">
        <v>1463</v>
      </c>
      <c r="W87" s="22" t="s">
        <v>1464</v>
      </c>
      <c r="X87" s="22" t="s">
        <v>1465</v>
      </c>
    </row>
    <row r="88" customFormat="false" ht="39" hidden="false" customHeight="true" outlineLevel="0" collapsed="false">
      <c r="A88" s="21" t="s">
        <v>1904</v>
      </c>
      <c r="B88" s="21" t="s">
        <v>1905</v>
      </c>
      <c r="C88" s="21" t="s">
        <v>1906</v>
      </c>
      <c r="D88" s="21" t="s">
        <v>1315</v>
      </c>
      <c r="E88" s="21" t="s">
        <v>1470</v>
      </c>
      <c r="F88" s="21" t="s">
        <v>1918</v>
      </c>
      <c r="G88" s="21" t="s">
        <v>1351</v>
      </c>
      <c r="H88" s="21" t="s">
        <v>1351</v>
      </c>
      <c r="I88" s="21" t="s">
        <v>1919</v>
      </c>
      <c r="J88" s="21" t="s">
        <v>1920</v>
      </c>
      <c r="K88" s="21" t="s">
        <v>1921</v>
      </c>
      <c r="L88" s="24" t="s">
        <v>1456</v>
      </c>
      <c r="M88" s="24" t="s">
        <v>1457</v>
      </c>
      <c r="N88" s="24"/>
      <c r="O88" s="21" t="s">
        <v>1458</v>
      </c>
      <c r="P88" s="21" t="s">
        <v>1912</v>
      </c>
      <c r="Q88" s="21"/>
      <c r="R88" s="21"/>
      <c r="S88" s="21" t="s">
        <v>1460</v>
      </c>
      <c r="T88" s="21" t="s">
        <v>1461</v>
      </c>
      <c r="U88" s="25" t="s">
        <v>1579</v>
      </c>
      <c r="V88" s="21" t="s">
        <v>1463</v>
      </c>
      <c r="W88" s="24" t="s">
        <v>1464</v>
      </c>
      <c r="X88" s="24" t="s">
        <v>1465</v>
      </c>
    </row>
    <row r="89" customFormat="false" ht="39" hidden="false" customHeight="true" outlineLevel="0" collapsed="false">
      <c r="A89" s="20" t="s">
        <v>1904</v>
      </c>
      <c r="B89" s="20" t="s">
        <v>1905</v>
      </c>
      <c r="C89" s="20" t="s">
        <v>1906</v>
      </c>
      <c r="D89" s="20" t="s">
        <v>1315</v>
      </c>
      <c r="E89" s="20" t="s">
        <v>1476</v>
      </c>
      <c r="F89" s="20" t="s">
        <v>1922</v>
      </c>
      <c r="G89" s="20" t="s">
        <v>1363</v>
      </c>
      <c r="H89" s="20" t="s">
        <v>1923</v>
      </c>
      <c r="I89" s="20" t="s">
        <v>1924</v>
      </c>
      <c r="J89" s="20" t="s">
        <v>1925</v>
      </c>
      <c r="K89" s="20" t="s">
        <v>1926</v>
      </c>
      <c r="L89" s="22" t="s">
        <v>1456</v>
      </c>
      <c r="M89" s="22" t="s">
        <v>1457</v>
      </c>
      <c r="N89" s="22"/>
      <c r="O89" s="20" t="s">
        <v>1458</v>
      </c>
      <c r="P89" s="20" t="s">
        <v>1912</v>
      </c>
      <c r="Q89" s="20"/>
      <c r="R89" s="20"/>
      <c r="S89" s="20" t="s">
        <v>1460</v>
      </c>
      <c r="T89" s="20" t="s">
        <v>1461</v>
      </c>
      <c r="U89" s="23" t="s">
        <v>1579</v>
      </c>
      <c r="V89" s="20" t="s">
        <v>1463</v>
      </c>
      <c r="W89" s="22" t="s">
        <v>1464</v>
      </c>
      <c r="X89" s="22" t="s">
        <v>1465</v>
      </c>
    </row>
    <row r="90" customFormat="false" ht="39" hidden="false" customHeight="true" outlineLevel="0" collapsed="false">
      <c r="A90" s="21" t="s">
        <v>1904</v>
      </c>
      <c r="B90" s="21" t="s">
        <v>1905</v>
      </c>
      <c r="C90" s="21" t="s">
        <v>1906</v>
      </c>
      <c r="D90" s="21" t="s">
        <v>1315</v>
      </c>
      <c r="E90" s="21" t="s">
        <v>1482</v>
      </c>
      <c r="F90" s="21" t="s">
        <v>1927</v>
      </c>
      <c r="G90" s="21" t="s">
        <v>1375</v>
      </c>
      <c r="H90" s="21" t="s">
        <v>1928</v>
      </c>
      <c r="I90" s="21" t="s">
        <v>1929</v>
      </c>
      <c r="J90" s="21" t="s">
        <v>1930</v>
      </c>
      <c r="K90" s="21" t="s">
        <v>1931</v>
      </c>
      <c r="L90" s="24" t="s">
        <v>1456</v>
      </c>
      <c r="M90" s="24" t="s">
        <v>1457</v>
      </c>
      <c r="N90" s="24"/>
      <c r="O90" s="21" t="s">
        <v>1458</v>
      </c>
      <c r="P90" s="21" t="s">
        <v>1912</v>
      </c>
      <c r="Q90" s="21"/>
      <c r="R90" s="21"/>
      <c r="S90" s="21" t="s">
        <v>1460</v>
      </c>
      <c r="T90" s="21" t="s">
        <v>1461</v>
      </c>
      <c r="U90" s="25" t="s">
        <v>1579</v>
      </c>
      <c r="V90" s="21" t="s">
        <v>1463</v>
      </c>
      <c r="W90" s="24" t="s">
        <v>1464</v>
      </c>
      <c r="X90" s="24" t="s">
        <v>1465</v>
      </c>
    </row>
    <row r="91" customFormat="false" ht="39" hidden="false" customHeight="true" outlineLevel="0" collapsed="false">
      <c r="A91" s="20" t="s">
        <v>1904</v>
      </c>
      <c r="B91" s="20" t="s">
        <v>1905</v>
      </c>
      <c r="C91" s="20" t="s">
        <v>1906</v>
      </c>
      <c r="D91" s="20" t="s">
        <v>1315</v>
      </c>
      <c r="E91" s="20" t="s">
        <v>1490</v>
      </c>
      <c r="F91" s="20" t="s">
        <v>1932</v>
      </c>
      <c r="G91" s="20" t="s">
        <v>1387</v>
      </c>
      <c r="H91" s="20" t="s">
        <v>1933</v>
      </c>
      <c r="I91" s="20" t="s">
        <v>1934</v>
      </c>
      <c r="J91" s="20" t="s">
        <v>1935</v>
      </c>
      <c r="K91" s="20" t="s">
        <v>1936</v>
      </c>
      <c r="L91" s="22" t="s">
        <v>1456</v>
      </c>
      <c r="M91" s="22" t="s">
        <v>1457</v>
      </c>
      <c r="N91" s="22"/>
      <c r="O91" s="20" t="s">
        <v>1489</v>
      </c>
      <c r="P91" s="20" t="s">
        <v>1912</v>
      </c>
      <c r="Q91" s="20"/>
      <c r="R91" s="20"/>
      <c r="S91" s="20" t="s">
        <v>1460</v>
      </c>
      <c r="T91" s="20" t="s">
        <v>1461</v>
      </c>
      <c r="U91" s="23" t="s">
        <v>1579</v>
      </c>
      <c r="V91" s="20" t="s">
        <v>1463</v>
      </c>
      <c r="W91" s="22" t="s">
        <v>1464</v>
      </c>
      <c r="X91" s="22" t="s">
        <v>1465</v>
      </c>
    </row>
    <row r="92" customFormat="false" ht="39" hidden="false" customHeight="true" outlineLevel="0" collapsed="false">
      <c r="A92" s="21" t="s">
        <v>1904</v>
      </c>
      <c r="B92" s="21" t="s">
        <v>1905</v>
      </c>
      <c r="C92" s="21" t="s">
        <v>1906</v>
      </c>
      <c r="D92" s="21" t="s">
        <v>1315</v>
      </c>
      <c r="E92" s="21" t="s">
        <v>1496</v>
      </c>
      <c r="F92" s="21" t="s">
        <v>1937</v>
      </c>
      <c r="G92" s="21" t="s">
        <v>1399</v>
      </c>
      <c r="H92" s="21" t="s">
        <v>1938</v>
      </c>
      <c r="I92" s="21" t="s">
        <v>1939</v>
      </c>
      <c r="J92" s="21" t="s">
        <v>1940</v>
      </c>
      <c r="K92" s="21" t="s">
        <v>1941</v>
      </c>
      <c r="L92" s="24" t="s">
        <v>1456</v>
      </c>
      <c r="M92" s="24" t="s">
        <v>1457</v>
      </c>
      <c r="N92" s="24" t="s">
        <v>1942</v>
      </c>
      <c r="O92" s="21" t="s">
        <v>1489</v>
      </c>
      <c r="P92" s="21" t="s">
        <v>1912</v>
      </c>
      <c r="Q92" s="21"/>
      <c r="R92" s="21"/>
      <c r="S92" s="21" t="s">
        <v>1460</v>
      </c>
      <c r="T92" s="21" t="s">
        <v>1943</v>
      </c>
      <c r="U92" s="25" t="s">
        <v>1579</v>
      </c>
      <c r="V92" s="21" t="s">
        <v>1463</v>
      </c>
      <c r="W92" s="24" t="s">
        <v>1464</v>
      </c>
      <c r="X92" s="24" t="s">
        <v>1465</v>
      </c>
    </row>
    <row r="93" customFormat="false" ht="39" hidden="false" customHeight="true" outlineLevel="0" collapsed="false">
      <c r="A93" s="20" t="s">
        <v>1904</v>
      </c>
      <c r="B93" s="20" t="s">
        <v>1905</v>
      </c>
      <c r="C93" s="20" t="s">
        <v>1906</v>
      </c>
      <c r="D93" s="20" t="s">
        <v>1315</v>
      </c>
      <c r="E93" s="20" t="s">
        <v>1501</v>
      </c>
      <c r="F93" s="20" t="s">
        <v>1944</v>
      </c>
      <c r="G93" s="20" t="s">
        <v>1411</v>
      </c>
      <c r="H93" s="20" t="s">
        <v>1411</v>
      </c>
      <c r="I93" s="20" t="s">
        <v>1945</v>
      </c>
      <c r="J93" s="20" t="s">
        <v>1946</v>
      </c>
      <c r="K93" s="20" t="s">
        <v>1947</v>
      </c>
      <c r="L93" s="22" t="s">
        <v>1456</v>
      </c>
      <c r="M93" s="22" t="s">
        <v>1457</v>
      </c>
      <c r="N93" s="22"/>
      <c r="O93" s="20" t="s">
        <v>1489</v>
      </c>
      <c r="P93" s="20" t="s">
        <v>1912</v>
      </c>
      <c r="Q93" s="20"/>
      <c r="R93" s="20"/>
      <c r="S93" s="20" t="s">
        <v>1460</v>
      </c>
      <c r="T93" s="20" t="s">
        <v>1461</v>
      </c>
      <c r="U93" s="23" t="s">
        <v>1579</v>
      </c>
      <c r="V93" s="20" t="s">
        <v>1463</v>
      </c>
      <c r="W93" s="22" t="s">
        <v>1464</v>
      </c>
      <c r="X93" s="22" t="s">
        <v>1465</v>
      </c>
    </row>
    <row r="94" customFormat="false" ht="51.75" hidden="false" customHeight="true" outlineLevel="0" collapsed="false">
      <c r="A94" s="21" t="s">
        <v>1904</v>
      </c>
      <c r="B94" s="21" t="s">
        <v>1905</v>
      </c>
      <c r="C94" s="21" t="s">
        <v>1906</v>
      </c>
      <c r="D94" s="21" t="s">
        <v>1315</v>
      </c>
      <c r="E94" s="21" t="s">
        <v>1509</v>
      </c>
      <c r="F94" s="21" t="s">
        <v>1948</v>
      </c>
      <c r="G94" s="21" t="s">
        <v>1423</v>
      </c>
      <c r="H94" s="21" t="s">
        <v>1949</v>
      </c>
      <c r="I94" s="21" t="s">
        <v>1950</v>
      </c>
      <c r="J94" s="21" t="s">
        <v>1951</v>
      </c>
      <c r="K94" s="21" t="s">
        <v>1952</v>
      </c>
      <c r="L94" s="24" t="s">
        <v>1456</v>
      </c>
      <c r="M94" s="24" t="s">
        <v>1457</v>
      </c>
      <c r="N94" s="24" t="s">
        <v>1953</v>
      </c>
      <c r="O94" s="21" t="s">
        <v>1489</v>
      </c>
      <c r="P94" s="21" t="s">
        <v>1912</v>
      </c>
      <c r="Q94" s="21"/>
      <c r="R94" s="21"/>
      <c r="S94" s="21" t="s">
        <v>1460</v>
      </c>
      <c r="T94" s="21" t="s">
        <v>1954</v>
      </c>
      <c r="U94" s="25" t="s">
        <v>1579</v>
      </c>
      <c r="V94" s="21" t="s">
        <v>1463</v>
      </c>
      <c r="W94" s="24" t="s">
        <v>1464</v>
      </c>
      <c r="X94" s="24" t="s">
        <v>1465</v>
      </c>
    </row>
    <row r="95" customFormat="false" ht="39" hidden="false" customHeight="true" outlineLevel="0" collapsed="false">
      <c r="A95" s="20" t="s">
        <v>1955</v>
      </c>
      <c r="B95" s="20" t="s">
        <v>1956</v>
      </c>
      <c r="C95" s="20" t="s">
        <v>1957</v>
      </c>
      <c r="D95" s="20" t="s">
        <v>1316</v>
      </c>
      <c r="E95" s="20" t="s">
        <v>1450</v>
      </c>
      <c r="F95" s="20" t="s">
        <v>1958</v>
      </c>
      <c r="G95" s="20" t="s">
        <v>1328</v>
      </c>
      <c r="H95" s="20" t="s">
        <v>1959</v>
      </c>
      <c r="I95" s="20" t="s">
        <v>1960</v>
      </c>
      <c r="J95" s="20" t="s">
        <v>1961</v>
      </c>
      <c r="K95" s="20" t="s">
        <v>1962</v>
      </c>
      <c r="L95" s="22" t="s">
        <v>1456</v>
      </c>
      <c r="M95" s="22" t="s">
        <v>1457</v>
      </c>
      <c r="N95" s="22"/>
      <c r="O95" s="20" t="s">
        <v>1458</v>
      </c>
      <c r="P95" s="20" t="s">
        <v>1963</v>
      </c>
      <c r="Q95" s="20"/>
      <c r="R95" s="20"/>
      <c r="S95" s="20" t="s">
        <v>1460</v>
      </c>
      <c r="T95" s="20" t="s">
        <v>1461</v>
      </c>
      <c r="U95" s="23" t="s">
        <v>1524</v>
      </c>
      <c r="V95" s="20" t="s">
        <v>1463</v>
      </c>
      <c r="W95" s="22" t="s">
        <v>1464</v>
      </c>
      <c r="X95" s="22" t="s">
        <v>1465</v>
      </c>
    </row>
    <row r="96" customFormat="false" ht="39" hidden="false" customHeight="true" outlineLevel="0" collapsed="false">
      <c r="A96" s="21" t="s">
        <v>1955</v>
      </c>
      <c r="B96" s="21" t="s">
        <v>1956</v>
      </c>
      <c r="C96" s="21" t="s">
        <v>1957</v>
      </c>
      <c r="D96" s="21" t="s">
        <v>1316</v>
      </c>
      <c r="E96" s="21" t="s">
        <v>1466</v>
      </c>
      <c r="F96" s="21" t="s">
        <v>1964</v>
      </c>
      <c r="G96" s="21" t="s">
        <v>1340</v>
      </c>
      <c r="H96" s="21" t="s">
        <v>1965</v>
      </c>
      <c r="I96" s="21" t="s">
        <v>1960</v>
      </c>
      <c r="J96" s="21" t="s">
        <v>1966</v>
      </c>
      <c r="K96" s="21" t="s">
        <v>1967</v>
      </c>
      <c r="L96" s="24" t="s">
        <v>1456</v>
      </c>
      <c r="M96" s="24" t="s">
        <v>1457</v>
      </c>
      <c r="N96" s="24"/>
      <c r="O96" s="21" t="s">
        <v>1458</v>
      </c>
      <c r="P96" s="21" t="s">
        <v>1963</v>
      </c>
      <c r="Q96" s="21"/>
      <c r="R96" s="21"/>
      <c r="S96" s="21" t="s">
        <v>1460</v>
      </c>
      <c r="T96" s="21" t="s">
        <v>1461</v>
      </c>
      <c r="U96" s="25" t="s">
        <v>1524</v>
      </c>
      <c r="V96" s="21" t="s">
        <v>1463</v>
      </c>
      <c r="W96" s="24" t="s">
        <v>1464</v>
      </c>
      <c r="X96" s="24" t="s">
        <v>1465</v>
      </c>
    </row>
    <row r="97" customFormat="false" ht="39" hidden="false" customHeight="true" outlineLevel="0" collapsed="false">
      <c r="A97" s="20" t="s">
        <v>1955</v>
      </c>
      <c r="B97" s="20" t="s">
        <v>1956</v>
      </c>
      <c r="C97" s="20" t="s">
        <v>1957</v>
      </c>
      <c r="D97" s="20" t="s">
        <v>1316</v>
      </c>
      <c r="E97" s="20" t="s">
        <v>1470</v>
      </c>
      <c r="F97" s="20" t="s">
        <v>1968</v>
      </c>
      <c r="G97" s="20" t="s">
        <v>1352</v>
      </c>
      <c r="H97" s="20" t="s">
        <v>1969</v>
      </c>
      <c r="I97" s="20" t="s">
        <v>1970</v>
      </c>
      <c r="J97" s="20" t="s">
        <v>1971</v>
      </c>
      <c r="K97" s="20" t="s">
        <v>1972</v>
      </c>
      <c r="L97" s="22" t="s">
        <v>1456</v>
      </c>
      <c r="M97" s="22" t="s">
        <v>1457</v>
      </c>
      <c r="N97" s="22"/>
      <c r="O97" s="20" t="s">
        <v>1489</v>
      </c>
      <c r="P97" s="20" t="s">
        <v>1963</v>
      </c>
      <c r="Q97" s="20"/>
      <c r="R97" s="20"/>
      <c r="S97" s="20" t="s">
        <v>1460</v>
      </c>
      <c r="T97" s="20" t="s">
        <v>1461</v>
      </c>
      <c r="U97" s="23" t="s">
        <v>1524</v>
      </c>
      <c r="V97" s="20" t="s">
        <v>1463</v>
      </c>
      <c r="W97" s="22" t="s">
        <v>1464</v>
      </c>
      <c r="X97" s="22" t="s">
        <v>1465</v>
      </c>
    </row>
    <row r="98" customFormat="false" ht="39" hidden="false" customHeight="true" outlineLevel="0" collapsed="false">
      <c r="A98" s="21" t="s">
        <v>1955</v>
      </c>
      <c r="B98" s="21" t="s">
        <v>1956</v>
      </c>
      <c r="C98" s="21" t="s">
        <v>1957</v>
      </c>
      <c r="D98" s="21" t="s">
        <v>1316</v>
      </c>
      <c r="E98" s="21" t="s">
        <v>1476</v>
      </c>
      <c r="F98" s="21" t="s">
        <v>1973</v>
      </c>
      <c r="G98" s="21" t="s">
        <v>1364</v>
      </c>
      <c r="H98" s="21" t="s">
        <v>1974</v>
      </c>
      <c r="I98" s="21" t="s">
        <v>1975</v>
      </c>
      <c r="J98" s="21" t="s">
        <v>1976</v>
      </c>
      <c r="K98" s="21" t="s">
        <v>1643</v>
      </c>
      <c r="L98" s="24" t="s">
        <v>1456</v>
      </c>
      <c r="M98" s="24" t="s">
        <v>1457</v>
      </c>
      <c r="N98" s="24"/>
      <c r="O98" s="21" t="s">
        <v>1458</v>
      </c>
      <c r="P98" s="21" t="s">
        <v>1963</v>
      </c>
      <c r="Q98" s="21"/>
      <c r="R98" s="21"/>
      <c r="S98" s="21" t="s">
        <v>1460</v>
      </c>
      <c r="T98" s="21" t="s">
        <v>1461</v>
      </c>
      <c r="U98" s="25" t="s">
        <v>1524</v>
      </c>
      <c r="V98" s="21" t="s">
        <v>1463</v>
      </c>
      <c r="W98" s="24" t="s">
        <v>1464</v>
      </c>
      <c r="X98" s="24" t="s">
        <v>1465</v>
      </c>
    </row>
    <row r="99" customFormat="false" ht="39" hidden="false" customHeight="true" outlineLevel="0" collapsed="false">
      <c r="A99" s="20" t="s">
        <v>1955</v>
      </c>
      <c r="B99" s="20" t="s">
        <v>1956</v>
      </c>
      <c r="C99" s="20" t="s">
        <v>1957</v>
      </c>
      <c r="D99" s="20" t="s">
        <v>1316</v>
      </c>
      <c r="E99" s="20" t="s">
        <v>1482</v>
      </c>
      <c r="F99" s="20" t="s">
        <v>1977</v>
      </c>
      <c r="G99" s="20" t="s">
        <v>1376</v>
      </c>
      <c r="H99" s="20" t="s">
        <v>1978</v>
      </c>
      <c r="I99" s="20" t="s">
        <v>1979</v>
      </c>
      <c r="J99" s="20" t="s">
        <v>1980</v>
      </c>
      <c r="K99" s="20" t="s">
        <v>1981</v>
      </c>
      <c r="L99" s="22" t="s">
        <v>1456</v>
      </c>
      <c r="M99" s="22" t="s">
        <v>1457</v>
      </c>
      <c r="N99" s="22"/>
      <c r="O99" s="20" t="s">
        <v>1458</v>
      </c>
      <c r="P99" s="20" t="s">
        <v>1963</v>
      </c>
      <c r="Q99" s="20"/>
      <c r="R99" s="20"/>
      <c r="S99" s="20" t="s">
        <v>1460</v>
      </c>
      <c r="T99" s="20" t="s">
        <v>1461</v>
      </c>
      <c r="U99" s="23" t="s">
        <v>1524</v>
      </c>
      <c r="V99" s="20" t="s">
        <v>1463</v>
      </c>
      <c r="W99" s="22" t="s">
        <v>1464</v>
      </c>
      <c r="X99" s="22" t="s">
        <v>1465</v>
      </c>
    </row>
    <row r="100" customFormat="false" ht="39" hidden="false" customHeight="true" outlineLevel="0" collapsed="false">
      <c r="A100" s="21" t="s">
        <v>1955</v>
      </c>
      <c r="B100" s="21" t="s">
        <v>1956</v>
      </c>
      <c r="C100" s="21" t="s">
        <v>1957</v>
      </c>
      <c r="D100" s="21" t="s">
        <v>1316</v>
      </c>
      <c r="E100" s="21" t="s">
        <v>1490</v>
      </c>
      <c r="F100" s="21" t="s">
        <v>1982</v>
      </c>
      <c r="G100" s="21" t="s">
        <v>1388</v>
      </c>
      <c r="H100" s="21" t="s">
        <v>1983</v>
      </c>
      <c r="I100" s="21" t="s">
        <v>1984</v>
      </c>
      <c r="J100" s="21" t="s">
        <v>1985</v>
      </c>
      <c r="K100" s="21" t="s">
        <v>1986</v>
      </c>
      <c r="L100" s="24" t="s">
        <v>1456</v>
      </c>
      <c r="M100" s="24" t="s">
        <v>1457</v>
      </c>
      <c r="N100" s="24" t="s">
        <v>1987</v>
      </c>
      <c r="O100" s="21" t="s">
        <v>1489</v>
      </c>
      <c r="P100" s="21" t="s">
        <v>1963</v>
      </c>
      <c r="Q100" s="21"/>
      <c r="R100" s="21"/>
      <c r="S100" s="21" t="s">
        <v>1460</v>
      </c>
      <c r="T100" s="21" t="s">
        <v>1988</v>
      </c>
      <c r="U100" s="25" t="s">
        <v>1524</v>
      </c>
      <c r="V100" s="21" t="s">
        <v>1463</v>
      </c>
      <c r="W100" s="24" t="s">
        <v>1464</v>
      </c>
      <c r="X100" s="24" t="s">
        <v>1465</v>
      </c>
    </row>
    <row r="101" customFormat="false" ht="39" hidden="false" customHeight="true" outlineLevel="0" collapsed="false">
      <c r="A101" s="20" t="s">
        <v>1955</v>
      </c>
      <c r="B101" s="20" t="s">
        <v>1956</v>
      </c>
      <c r="C101" s="20" t="s">
        <v>1957</v>
      </c>
      <c r="D101" s="20" t="s">
        <v>1316</v>
      </c>
      <c r="E101" s="20" t="s">
        <v>1496</v>
      </c>
      <c r="F101" s="20" t="s">
        <v>1989</v>
      </c>
      <c r="G101" s="20" t="s">
        <v>1400</v>
      </c>
      <c r="H101" s="20" t="s">
        <v>1990</v>
      </c>
      <c r="I101" s="20" t="s">
        <v>1991</v>
      </c>
      <c r="J101" s="20" t="s">
        <v>1992</v>
      </c>
      <c r="K101" s="20" t="s">
        <v>1993</v>
      </c>
      <c r="L101" s="22" t="s">
        <v>1456</v>
      </c>
      <c r="M101" s="22" t="s">
        <v>1457</v>
      </c>
      <c r="N101" s="22"/>
      <c r="O101" s="20" t="s">
        <v>1489</v>
      </c>
      <c r="P101" s="20" t="s">
        <v>1963</v>
      </c>
      <c r="Q101" s="20"/>
      <c r="R101" s="20"/>
      <c r="S101" s="20" t="s">
        <v>1460</v>
      </c>
      <c r="T101" s="20" t="s">
        <v>1461</v>
      </c>
      <c r="U101" s="23" t="s">
        <v>1524</v>
      </c>
      <c r="V101" s="20" t="s">
        <v>1463</v>
      </c>
      <c r="W101" s="22" t="s">
        <v>1464</v>
      </c>
      <c r="X101" s="22" t="s">
        <v>1465</v>
      </c>
    </row>
    <row r="102" customFormat="false" ht="39" hidden="false" customHeight="true" outlineLevel="0" collapsed="false">
      <c r="A102" s="21" t="s">
        <v>1955</v>
      </c>
      <c r="B102" s="21" t="s">
        <v>1956</v>
      </c>
      <c r="C102" s="21" t="s">
        <v>1957</v>
      </c>
      <c r="D102" s="21" t="s">
        <v>1316</v>
      </c>
      <c r="E102" s="21" t="s">
        <v>1501</v>
      </c>
      <c r="F102" s="21" t="s">
        <v>1994</v>
      </c>
      <c r="G102" s="21" t="s">
        <v>1412</v>
      </c>
      <c r="H102" s="21" t="s">
        <v>1995</v>
      </c>
      <c r="I102" s="21" t="s">
        <v>1996</v>
      </c>
      <c r="J102" s="21" t="s">
        <v>1997</v>
      </c>
      <c r="K102" s="21" t="s">
        <v>1998</v>
      </c>
      <c r="L102" s="24" t="s">
        <v>1456</v>
      </c>
      <c r="M102" s="24" t="s">
        <v>1457</v>
      </c>
      <c r="N102" s="24" t="s">
        <v>1999</v>
      </c>
      <c r="O102" s="21" t="s">
        <v>1489</v>
      </c>
      <c r="P102" s="21" t="s">
        <v>1963</v>
      </c>
      <c r="Q102" s="21"/>
      <c r="R102" s="21"/>
      <c r="S102" s="21" t="s">
        <v>1460</v>
      </c>
      <c r="T102" s="21" t="s">
        <v>2000</v>
      </c>
      <c r="U102" s="25" t="s">
        <v>1524</v>
      </c>
      <c r="V102" s="21" t="s">
        <v>1463</v>
      </c>
      <c r="W102" s="24" t="s">
        <v>1464</v>
      </c>
      <c r="X102" s="24" t="s">
        <v>1465</v>
      </c>
    </row>
    <row r="103" customFormat="false" ht="39" hidden="false" customHeight="true" outlineLevel="0" collapsed="false">
      <c r="A103" s="20" t="s">
        <v>1955</v>
      </c>
      <c r="B103" s="20" t="s">
        <v>1956</v>
      </c>
      <c r="C103" s="20" t="s">
        <v>1957</v>
      </c>
      <c r="D103" s="20" t="s">
        <v>1316</v>
      </c>
      <c r="E103" s="20" t="s">
        <v>1509</v>
      </c>
      <c r="F103" s="20" t="s">
        <v>2001</v>
      </c>
      <c r="G103" s="20" t="s">
        <v>1424</v>
      </c>
      <c r="H103" s="20" t="s">
        <v>2002</v>
      </c>
      <c r="I103" s="20" t="s">
        <v>2003</v>
      </c>
      <c r="J103" s="20" t="s">
        <v>2004</v>
      </c>
      <c r="K103" s="20" t="s">
        <v>2005</v>
      </c>
      <c r="L103" s="22" t="s">
        <v>1456</v>
      </c>
      <c r="M103" s="22" t="s">
        <v>1457</v>
      </c>
      <c r="N103" s="22" t="s">
        <v>2006</v>
      </c>
      <c r="O103" s="20" t="s">
        <v>1489</v>
      </c>
      <c r="P103" s="20" t="s">
        <v>1963</v>
      </c>
      <c r="Q103" s="20"/>
      <c r="R103" s="20"/>
      <c r="S103" s="20" t="s">
        <v>1460</v>
      </c>
      <c r="T103" s="20" t="s">
        <v>2007</v>
      </c>
      <c r="U103" s="23" t="s">
        <v>1524</v>
      </c>
      <c r="V103" s="20" t="s">
        <v>1463</v>
      </c>
      <c r="W103" s="22" t="s">
        <v>1464</v>
      </c>
      <c r="X103" s="22" t="s">
        <v>1465</v>
      </c>
    </row>
  </sheetData>
  <mergeCells count="2">
    <mergeCell ref="A1:X1"/>
    <mergeCell ref="A2:X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9"/>
    <col collapsed="false" customWidth="true" hidden="false" outlineLevel="0" max="2" min="2" style="1" width="22"/>
    <col collapsed="false" customWidth="true" hidden="false" outlineLevel="0" max="3" min="3" style="1" width="24"/>
    <col collapsed="false" customWidth="true" hidden="false" outlineLevel="0" max="4" min="4" style="1" width="28"/>
    <col collapsed="false" customWidth="true" hidden="false" outlineLevel="0" max="10" min="5" style="1" width="14"/>
    <col collapsed="false" customWidth="true" hidden="false" outlineLevel="0" max="11" min="11" style="1" width="44"/>
    <col collapsed="false" customWidth="true" hidden="false" outlineLevel="0" max="12" min="12" style="1" width="58"/>
    <col collapsed="false" customWidth="true" hidden="false" outlineLevel="0" max="14" min="13" style="1" width="14"/>
    <col collapsed="false" customWidth="true" hidden="false" outlineLevel="0" max="15" min="15" style="1" width="16"/>
    <col collapsed="false" customWidth="true" hidden="false" outlineLevel="0" max="16" min="16" style="1" width="58"/>
    <col collapsed="false" customWidth="true" hidden="false" outlineLevel="0" max="17" min="17" style="1" width="62"/>
    <col collapsed="false" customWidth="true" hidden="false" outlineLevel="0" max="18" min="18" style="1" width="22"/>
    <col collapsed="false" customWidth="true" hidden="false" outlineLevel="0" max="20" min="19" style="1" width="52"/>
    <col collapsed="false" customWidth="true" hidden="false" outlineLevel="0" max="23" min="21" style="1" width="58"/>
    <col collapsed="false" customWidth="true" hidden="false" outlineLevel="0" max="25" min="24" style="1" width="62"/>
    <col collapsed="false" customWidth="true" hidden="false" outlineLevel="0" max="26" min="26" style="1" width="26"/>
  </cols>
  <sheetData>
    <row r="1" customFormat="false" ht="30" hidden="false" customHeight="true" outlineLevel="0" collapsed="false">
      <c r="A1" s="8" t="s">
        <v>2008</v>
      </c>
      <c r="B1" s="8"/>
      <c r="C1" s="8"/>
      <c r="D1" s="8"/>
      <c r="E1" s="8"/>
      <c r="F1" s="8"/>
      <c r="G1" s="8"/>
      <c r="H1" s="8"/>
      <c r="I1" s="8"/>
      <c r="J1" s="8"/>
      <c r="K1" s="8"/>
      <c r="L1" s="8"/>
      <c r="M1" s="8"/>
      <c r="N1" s="8"/>
      <c r="O1" s="8"/>
      <c r="P1" s="8"/>
      <c r="Q1" s="8"/>
      <c r="R1" s="8"/>
      <c r="S1" s="8"/>
      <c r="T1" s="8"/>
      <c r="U1" s="8"/>
      <c r="V1" s="8"/>
      <c r="W1" s="8"/>
      <c r="X1" s="8"/>
      <c r="Y1" s="8"/>
      <c r="Z1" s="8"/>
    </row>
    <row r="2" customFormat="false" ht="33.75" hidden="false" customHeight="true" outlineLevel="0" collapsed="false">
      <c r="A2" s="19" t="s">
        <v>2009</v>
      </c>
      <c r="B2" s="19"/>
      <c r="C2" s="19"/>
      <c r="D2" s="19"/>
      <c r="E2" s="19"/>
      <c r="F2" s="19"/>
      <c r="G2" s="19"/>
      <c r="H2" s="19"/>
      <c r="I2" s="19"/>
      <c r="J2" s="19"/>
      <c r="K2" s="19"/>
      <c r="L2" s="19"/>
      <c r="M2" s="19"/>
      <c r="N2" s="19"/>
      <c r="O2" s="19"/>
      <c r="P2" s="19"/>
      <c r="Q2" s="19"/>
      <c r="R2" s="19"/>
      <c r="S2" s="19"/>
      <c r="T2" s="19"/>
      <c r="U2" s="19"/>
      <c r="V2" s="19"/>
      <c r="W2" s="19"/>
      <c r="X2" s="19"/>
      <c r="Y2" s="19"/>
      <c r="Z2" s="19"/>
    </row>
    <row r="4" customFormat="false" ht="33.75" hidden="false" customHeight="true" outlineLevel="0" collapsed="false">
      <c r="A4" s="10" t="s">
        <v>1440</v>
      </c>
      <c r="B4" s="10" t="s">
        <v>1429</v>
      </c>
      <c r="C4" s="10" t="s">
        <v>2010</v>
      </c>
      <c r="D4" s="10" t="s">
        <v>2011</v>
      </c>
      <c r="E4" s="10" t="s">
        <v>2012</v>
      </c>
      <c r="F4" s="10" t="s">
        <v>2013</v>
      </c>
      <c r="G4" s="10" t="s">
        <v>2014</v>
      </c>
      <c r="H4" s="10" t="s">
        <v>2015</v>
      </c>
      <c r="I4" s="10" t="s">
        <v>2016</v>
      </c>
      <c r="J4" s="10" t="s">
        <v>2017</v>
      </c>
      <c r="K4" s="10" t="s">
        <v>2018</v>
      </c>
      <c r="L4" s="10" t="s">
        <v>2019</v>
      </c>
      <c r="M4" s="10" t="s">
        <v>2020</v>
      </c>
      <c r="N4" s="10" t="s">
        <v>2021</v>
      </c>
      <c r="O4" s="10" t="s">
        <v>2022</v>
      </c>
      <c r="P4" s="10" t="s">
        <v>2023</v>
      </c>
      <c r="Q4" s="10" t="s">
        <v>2024</v>
      </c>
      <c r="R4" s="10" t="s">
        <v>2025</v>
      </c>
      <c r="S4" s="10" t="s">
        <v>1438</v>
      </c>
      <c r="T4" s="10" t="s">
        <v>2026</v>
      </c>
      <c r="U4" s="10" t="s">
        <v>2027</v>
      </c>
      <c r="V4" s="10" t="s">
        <v>2028</v>
      </c>
      <c r="W4" s="10" t="s">
        <v>2029</v>
      </c>
      <c r="X4" s="10" t="s">
        <v>2030</v>
      </c>
      <c r="Y4" s="10" t="s">
        <v>2031</v>
      </c>
      <c r="Z4" s="10" t="s">
        <v>2032</v>
      </c>
    </row>
    <row r="5" customFormat="false" ht="39" hidden="false" customHeight="true" outlineLevel="0" collapsed="false">
      <c r="A5" s="20" t="s">
        <v>1459</v>
      </c>
      <c r="B5" s="20" t="s">
        <v>1449</v>
      </c>
      <c r="C5" s="20"/>
      <c r="D5" s="20"/>
      <c r="E5" s="22"/>
      <c r="F5" s="22"/>
      <c r="G5" s="22"/>
      <c r="H5" s="22"/>
      <c r="I5" s="22" t="s">
        <v>2033</v>
      </c>
      <c r="J5" s="22"/>
      <c r="K5" s="22" t="s">
        <v>2034</v>
      </c>
      <c r="L5" s="22"/>
      <c r="M5" s="22" t="s">
        <v>2035</v>
      </c>
      <c r="N5" s="22" t="s">
        <v>2033</v>
      </c>
      <c r="O5" s="22" t="s">
        <v>2035</v>
      </c>
      <c r="P5" s="22" t="s">
        <v>2036</v>
      </c>
      <c r="Q5" s="22" t="s">
        <v>2037</v>
      </c>
      <c r="R5" s="22" t="s">
        <v>2038</v>
      </c>
      <c r="S5" s="22" t="s">
        <v>2039</v>
      </c>
      <c r="T5" s="22" t="s">
        <v>2040</v>
      </c>
      <c r="U5" s="22" t="s">
        <v>2041</v>
      </c>
      <c r="V5" s="22" t="s">
        <v>2042</v>
      </c>
      <c r="W5" s="22" t="s">
        <v>2043</v>
      </c>
      <c r="X5" s="22" t="s">
        <v>2044</v>
      </c>
      <c r="Y5" s="22" t="s">
        <v>2045</v>
      </c>
      <c r="Z5" s="22" t="s">
        <v>2046</v>
      </c>
    </row>
    <row r="6" customFormat="false" ht="39" hidden="false" customHeight="true" outlineLevel="0" collapsed="false">
      <c r="A6" s="21" t="s">
        <v>1523</v>
      </c>
      <c r="B6" s="21" t="s">
        <v>1516</v>
      </c>
      <c r="C6" s="21" t="s">
        <v>1449</v>
      </c>
      <c r="D6" s="21"/>
      <c r="E6" s="24" t="s">
        <v>1470</v>
      </c>
      <c r="F6" s="24" t="s">
        <v>1476</v>
      </c>
      <c r="G6" s="24"/>
      <c r="H6" s="24"/>
      <c r="I6" s="24" t="s">
        <v>1450</v>
      </c>
      <c r="J6" s="24" t="s">
        <v>1476</v>
      </c>
      <c r="K6" s="24" t="s">
        <v>2047</v>
      </c>
      <c r="L6" s="24" t="s">
        <v>2048</v>
      </c>
      <c r="M6" s="24" t="s">
        <v>2049</v>
      </c>
      <c r="N6" s="24" t="s">
        <v>1466</v>
      </c>
      <c r="O6" s="24" t="s">
        <v>2050</v>
      </c>
      <c r="P6" s="24" t="s">
        <v>2051</v>
      </c>
      <c r="Q6" s="24" t="s">
        <v>2052</v>
      </c>
      <c r="R6" s="24" t="s">
        <v>2038</v>
      </c>
      <c r="S6" s="24" t="s">
        <v>2053</v>
      </c>
      <c r="T6" s="24" t="s">
        <v>2040</v>
      </c>
      <c r="U6" s="24" t="s">
        <v>2041</v>
      </c>
      <c r="V6" s="24" t="s">
        <v>2042</v>
      </c>
      <c r="W6" s="24" t="s">
        <v>2043</v>
      </c>
      <c r="X6" s="24" t="s">
        <v>2044</v>
      </c>
      <c r="Y6" s="24" t="s">
        <v>2045</v>
      </c>
      <c r="Z6" s="24" t="s">
        <v>2046</v>
      </c>
    </row>
    <row r="7" customFormat="false" ht="39" hidden="false" customHeight="true" outlineLevel="0" collapsed="false">
      <c r="A7" s="20" t="s">
        <v>1578</v>
      </c>
      <c r="B7" s="20" t="s">
        <v>1571</v>
      </c>
      <c r="C7" s="20" t="s">
        <v>1622</v>
      </c>
      <c r="D7" s="20" t="s">
        <v>1807</v>
      </c>
      <c r="E7" s="22" t="s">
        <v>1466</v>
      </c>
      <c r="F7" s="22" t="s">
        <v>1470</v>
      </c>
      <c r="G7" s="22" t="s">
        <v>1470</v>
      </c>
      <c r="H7" s="22" t="s">
        <v>1476</v>
      </c>
      <c r="I7" s="22" t="s">
        <v>1450</v>
      </c>
      <c r="J7" s="22" t="s">
        <v>1470</v>
      </c>
      <c r="K7" s="22" t="s">
        <v>2047</v>
      </c>
      <c r="L7" s="22" t="s">
        <v>2054</v>
      </c>
      <c r="M7" s="22" t="s">
        <v>2049</v>
      </c>
      <c r="N7" s="22" t="s">
        <v>1466</v>
      </c>
      <c r="O7" s="22" t="s">
        <v>2049</v>
      </c>
      <c r="P7" s="22" t="s">
        <v>2055</v>
      </c>
      <c r="Q7" s="22" t="s">
        <v>2056</v>
      </c>
      <c r="R7" s="22" t="s">
        <v>2038</v>
      </c>
      <c r="S7" s="22" t="s">
        <v>2057</v>
      </c>
      <c r="T7" s="22" t="s">
        <v>2040</v>
      </c>
      <c r="U7" s="22" t="s">
        <v>2041</v>
      </c>
      <c r="V7" s="22" t="s">
        <v>2042</v>
      </c>
      <c r="W7" s="22" t="s">
        <v>2043</v>
      </c>
      <c r="X7" s="22" t="s">
        <v>2044</v>
      </c>
      <c r="Y7" s="22" t="s">
        <v>2045</v>
      </c>
      <c r="Z7" s="22" t="s">
        <v>2046</v>
      </c>
    </row>
    <row r="8" customFormat="false" ht="39" hidden="false" customHeight="true" outlineLevel="0" collapsed="false">
      <c r="A8" s="21" t="s">
        <v>1629</v>
      </c>
      <c r="B8" s="21" t="s">
        <v>1624</v>
      </c>
      <c r="C8" s="21" t="s">
        <v>1449</v>
      </c>
      <c r="D8" s="21"/>
      <c r="E8" s="24" t="s">
        <v>1466</v>
      </c>
      <c r="F8" s="24" t="s">
        <v>1470</v>
      </c>
      <c r="G8" s="24"/>
      <c r="H8" s="24"/>
      <c r="I8" s="24" t="s">
        <v>1450</v>
      </c>
      <c r="J8" s="24" t="s">
        <v>1470</v>
      </c>
      <c r="K8" s="24" t="s">
        <v>2058</v>
      </c>
      <c r="L8" s="24" t="s">
        <v>2059</v>
      </c>
      <c r="M8" s="24" t="s">
        <v>2049</v>
      </c>
      <c r="N8" s="24" t="s">
        <v>1466</v>
      </c>
      <c r="O8" s="24" t="s">
        <v>2050</v>
      </c>
      <c r="P8" s="24" t="s">
        <v>2060</v>
      </c>
      <c r="Q8" s="24" t="s">
        <v>2061</v>
      </c>
      <c r="R8" s="24" t="s">
        <v>2038</v>
      </c>
      <c r="S8" s="24" t="s">
        <v>2062</v>
      </c>
      <c r="T8" s="24" t="s">
        <v>2040</v>
      </c>
      <c r="U8" s="24" t="s">
        <v>2041</v>
      </c>
      <c r="V8" s="24" t="s">
        <v>2042</v>
      </c>
      <c r="W8" s="24" t="s">
        <v>2043</v>
      </c>
      <c r="X8" s="24" t="s">
        <v>2044</v>
      </c>
      <c r="Y8" s="24" t="s">
        <v>2045</v>
      </c>
      <c r="Z8" s="24" t="s">
        <v>2046</v>
      </c>
    </row>
    <row r="9" customFormat="false" ht="39" hidden="false" customHeight="true" outlineLevel="0" collapsed="false">
      <c r="A9" s="20" t="s">
        <v>1677</v>
      </c>
      <c r="B9" s="20" t="s">
        <v>1672</v>
      </c>
      <c r="C9" s="20" t="s">
        <v>1622</v>
      </c>
      <c r="D9" s="20" t="s">
        <v>1449</v>
      </c>
      <c r="E9" s="22" t="s">
        <v>1466</v>
      </c>
      <c r="F9" s="22" t="s">
        <v>1470</v>
      </c>
      <c r="G9" s="22" t="s">
        <v>1470</v>
      </c>
      <c r="H9" s="22" t="s">
        <v>1476</v>
      </c>
      <c r="I9" s="22" t="s">
        <v>1450</v>
      </c>
      <c r="J9" s="22" t="s">
        <v>1470</v>
      </c>
      <c r="K9" s="22" t="s">
        <v>2063</v>
      </c>
      <c r="L9" s="22" t="s">
        <v>2064</v>
      </c>
      <c r="M9" s="22" t="s">
        <v>2049</v>
      </c>
      <c r="N9" s="22" t="s">
        <v>1466</v>
      </c>
      <c r="O9" s="22" t="s">
        <v>2049</v>
      </c>
      <c r="P9" s="22" t="s">
        <v>2065</v>
      </c>
      <c r="Q9" s="22" t="s">
        <v>2066</v>
      </c>
      <c r="R9" s="22" t="s">
        <v>2038</v>
      </c>
      <c r="S9" s="22" t="s">
        <v>2067</v>
      </c>
      <c r="T9" s="22" t="s">
        <v>2040</v>
      </c>
      <c r="U9" s="22" t="s">
        <v>2041</v>
      </c>
      <c r="V9" s="22" t="s">
        <v>2042</v>
      </c>
      <c r="W9" s="22" t="s">
        <v>2043</v>
      </c>
      <c r="X9" s="22" t="s">
        <v>2044</v>
      </c>
      <c r="Y9" s="22" t="s">
        <v>2045</v>
      </c>
      <c r="Z9" s="22" t="s">
        <v>2046</v>
      </c>
    </row>
    <row r="10" customFormat="false" ht="39" hidden="false" customHeight="true" outlineLevel="0" collapsed="false">
      <c r="A10" s="21" t="s">
        <v>1717</v>
      </c>
      <c r="B10" s="21" t="s">
        <v>1712</v>
      </c>
      <c r="C10" s="21" t="s">
        <v>1622</v>
      </c>
      <c r="D10" s="21" t="s">
        <v>1449</v>
      </c>
      <c r="E10" s="24" t="s">
        <v>1466</v>
      </c>
      <c r="F10" s="24" t="s">
        <v>1470</v>
      </c>
      <c r="G10" s="24" t="s">
        <v>1470</v>
      </c>
      <c r="H10" s="24" t="s">
        <v>1476</v>
      </c>
      <c r="I10" s="24" t="s">
        <v>1450</v>
      </c>
      <c r="J10" s="24" t="s">
        <v>1470</v>
      </c>
      <c r="K10" s="24" t="s">
        <v>2068</v>
      </c>
      <c r="L10" s="24" t="s">
        <v>2069</v>
      </c>
      <c r="M10" s="24" t="s">
        <v>2049</v>
      </c>
      <c r="N10" s="24" t="s">
        <v>1466</v>
      </c>
      <c r="O10" s="24" t="s">
        <v>2049</v>
      </c>
      <c r="P10" s="24" t="s">
        <v>2070</v>
      </c>
      <c r="Q10" s="24" t="s">
        <v>2071</v>
      </c>
      <c r="R10" s="24" t="s">
        <v>2038</v>
      </c>
      <c r="S10" s="24" t="s">
        <v>2072</v>
      </c>
      <c r="T10" s="24" t="s">
        <v>2040</v>
      </c>
      <c r="U10" s="24" t="s">
        <v>2041</v>
      </c>
      <c r="V10" s="24" t="s">
        <v>2042</v>
      </c>
      <c r="W10" s="24" t="s">
        <v>2043</v>
      </c>
      <c r="X10" s="24" t="s">
        <v>2044</v>
      </c>
      <c r="Y10" s="24" t="s">
        <v>2045</v>
      </c>
      <c r="Z10" s="24" t="s">
        <v>2046</v>
      </c>
    </row>
    <row r="11" customFormat="false" ht="39" hidden="false" customHeight="true" outlineLevel="0" collapsed="false">
      <c r="A11" s="20" t="s">
        <v>1764</v>
      </c>
      <c r="B11" s="20" t="s">
        <v>1757</v>
      </c>
      <c r="C11" s="20" t="s">
        <v>1807</v>
      </c>
      <c r="D11" s="20" t="s">
        <v>1622</v>
      </c>
      <c r="E11" s="22" t="s">
        <v>1466</v>
      </c>
      <c r="F11" s="22" t="s">
        <v>1470</v>
      </c>
      <c r="G11" s="22" t="s">
        <v>1470</v>
      </c>
      <c r="H11" s="22" t="s">
        <v>1476</v>
      </c>
      <c r="I11" s="22" t="s">
        <v>1450</v>
      </c>
      <c r="J11" s="22" t="s">
        <v>1476</v>
      </c>
      <c r="K11" s="22" t="s">
        <v>2073</v>
      </c>
      <c r="L11" s="22" t="s">
        <v>2074</v>
      </c>
      <c r="M11" s="22" t="s">
        <v>2049</v>
      </c>
      <c r="N11" s="22" t="s">
        <v>1466</v>
      </c>
      <c r="O11" s="22" t="s">
        <v>2049</v>
      </c>
      <c r="P11" s="22" t="s">
        <v>2075</v>
      </c>
      <c r="Q11" s="22" t="s">
        <v>2076</v>
      </c>
      <c r="R11" s="22" t="s">
        <v>2038</v>
      </c>
      <c r="S11" s="22" t="s">
        <v>2077</v>
      </c>
      <c r="T11" s="22" t="s">
        <v>2040</v>
      </c>
      <c r="U11" s="22" t="s">
        <v>2041</v>
      </c>
      <c r="V11" s="22" t="s">
        <v>2042</v>
      </c>
      <c r="W11" s="22" t="s">
        <v>2043</v>
      </c>
      <c r="X11" s="22" t="s">
        <v>2044</v>
      </c>
      <c r="Y11" s="22" t="s">
        <v>2045</v>
      </c>
      <c r="Z11" s="22" t="s">
        <v>2046</v>
      </c>
    </row>
    <row r="12" customFormat="false" ht="39" hidden="false" customHeight="true" outlineLevel="0" collapsed="false">
      <c r="A12" s="21" t="s">
        <v>1814</v>
      </c>
      <c r="B12" s="21" t="s">
        <v>1807</v>
      </c>
      <c r="C12" s="21" t="s">
        <v>1622</v>
      </c>
      <c r="D12" s="21" t="s">
        <v>1449</v>
      </c>
      <c r="E12" s="24" t="s">
        <v>1470</v>
      </c>
      <c r="F12" s="24" t="s">
        <v>1476</v>
      </c>
      <c r="G12" s="24" t="s">
        <v>1476</v>
      </c>
      <c r="H12" s="24" t="s">
        <v>1482</v>
      </c>
      <c r="I12" s="24" t="s">
        <v>1450</v>
      </c>
      <c r="J12" s="24" t="s">
        <v>1476</v>
      </c>
      <c r="K12" s="24" t="s">
        <v>2078</v>
      </c>
      <c r="L12" s="24" t="s">
        <v>2079</v>
      </c>
      <c r="M12" s="24" t="s">
        <v>2049</v>
      </c>
      <c r="N12" s="24" t="s">
        <v>1466</v>
      </c>
      <c r="O12" s="24" t="s">
        <v>2049</v>
      </c>
      <c r="P12" s="24" t="s">
        <v>2080</v>
      </c>
      <c r="Q12" s="24" t="s">
        <v>2081</v>
      </c>
      <c r="R12" s="24" t="s">
        <v>2038</v>
      </c>
      <c r="S12" s="24" t="s">
        <v>2082</v>
      </c>
      <c r="T12" s="24" t="s">
        <v>2040</v>
      </c>
      <c r="U12" s="24" t="s">
        <v>2041</v>
      </c>
      <c r="V12" s="24" t="s">
        <v>2042</v>
      </c>
      <c r="W12" s="24" t="s">
        <v>2043</v>
      </c>
      <c r="X12" s="24" t="s">
        <v>2044</v>
      </c>
      <c r="Y12" s="24" t="s">
        <v>2045</v>
      </c>
      <c r="Z12" s="24" t="s">
        <v>2046</v>
      </c>
    </row>
    <row r="13" customFormat="false" ht="39" hidden="false" customHeight="true" outlineLevel="0" collapsed="false">
      <c r="A13" s="20" t="s">
        <v>1865</v>
      </c>
      <c r="B13" s="20" t="s">
        <v>1859</v>
      </c>
      <c r="C13" s="20" t="s">
        <v>1449</v>
      </c>
      <c r="D13" s="20" t="s">
        <v>1807</v>
      </c>
      <c r="E13" s="22" t="s">
        <v>1466</v>
      </c>
      <c r="F13" s="22" t="s">
        <v>1470</v>
      </c>
      <c r="G13" s="22" t="s">
        <v>1470</v>
      </c>
      <c r="H13" s="22" t="s">
        <v>1476</v>
      </c>
      <c r="I13" s="22" t="s">
        <v>1450</v>
      </c>
      <c r="J13" s="22" t="s">
        <v>1476</v>
      </c>
      <c r="K13" s="22" t="s">
        <v>2083</v>
      </c>
      <c r="L13" s="22" t="s">
        <v>2084</v>
      </c>
      <c r="M13" s="22" t="s">
        <v>2049</v>
      </c>
      <c r="N13" s="22" t="s">
        <v>1466</v>
      </c>
      <c r="O13" s="22" t="s">
        <v>2050</v>
      </c>
      <c r="P13" s="22" t="s">
        <v>2085</v>
      </c>
      <c r="Q13" s="22" t="s">
        <v>2086</v>
      </c>
      <c r="R13" s="22" t="s">
        <v>2038</v>
      </c>
      <c r="S13" s="22" t="s">
        <v>2087</v>
      </c>
      <c r="T13" s="22" t="s">
        <v>2040</v>
      </c>
      <c r="U13" s="22" t="s">
        <v>2041</v>
      </c>
      <c r="V13" s="22" t="s">
        <v>2042</v>
      </c>
      <c r="W13" s="22" t="s">
        <v>2043</v>
      </c>
      <c r="X13" s="22" t="s">
        <v>2044</v>
      </c>
      <c r="Y13" s="22" t="s">
        <v>2045</v>
      </c>
      <c r="Z13" s="22" t="s">
        <v>2046</v>
      </c>
    </row>
    <row r="14" customFormat="false" ht="39" hidden="false" customHeight="true" outlineLevel="0" collapsed="false">
      <c r="A14" s="21" t="s">
        <v>1912</v>
      </c>
      <c r="B14" s="21" t="s">
        <v>1906</v>
      </c>
      <c r="C14" s="21" t="s">
        <v>1622</v>
      </c>
      <c r="D14" s="21" t="s">
        <v>1807</v>
      </c>
      <c r="E14" s="24" t="s">
        <v>1466</v>
      </c>
      <c r="F14" s="24" t="s">
        <v>1470</v>
      </c>
      <c r="G14" s="24" t="s">
        <v>1470</v>
      </c>
      <c r="H14" s="24" t="s">
        <v>1476</v>
      </c>
      <c r="I14" s="24" t="s">
        <v>1450</v>
      </c>
      <c r="J14" s="24" t="s">
        <v>1470</v>
      </c>
      <c r="K14" s="24" t="s">
        <v>2088</v>
      </c>
      <c r="L14" s="24" t="s">
        <v>2089</v>
      </c>
      <c r="M14" s="24" t="s">
        <v>2049</v>
      </c>
      <c r="N14" s="24" t="s">
        <v>1466</v>
      </c>
      <c r="O14" s="24" t="s">
        <v>2049</v>
      </c>
      <c r="P14" s="24" t="s">
        <v>2090</v>
      </c>
      <c r="Q14" s="24" t="s">
        <v>2091</v>
      </c>
      <c r="R14" s="24" t="s">
        <v>2038</v>
      </c>
      <c r="S14" s="24" t="s">
        <v>2092</v>
      </c>
      <c r="T14" s="24" t="s">
        <v>2040</v>
      </c>
      <c r="U14" s="24" t="s">
        <v>2041</v>
      </c>
      <c r="V14" s="24" t="s">
        <v>2042</v>
      </c>
      <c r="W14" s="24" t="s">
        <v>2043</v>
      </c>
      <c r="X14" s="24" t="s">
        <v>2044</v>
      </c>
      <c r="Y14" s="24" t="s">
        <v>2045</v>
      </c>
      <c r="Z14" s="24" t="s">
        <v>2046</v>
      </c>
    </row>
    <row r="15" customFormat="false" ht="39" hidden="false" customHeight="true" outlineLevel="0" collapsed="false">
      <c r="A15" s="20" t="s">
        <v>1963</v>
      </c>
      <c r="B15" s="20" t="s">
        <v>1957</v>
      </c>
      <c r="C15" s="20" t="s">
        <v>1807</v>
      </c>
      <c r="D15" s="20" t="s">
        <v>1449</v>
      </c>
      <c r="E15" s="22" t="s">
        <v>1466</v>
      </c>
      <c r="F15" s="22" t="s">
        <v>1470</v>
      </c>
      <c r="G15" s="22" t="s">
        <v>1470</v>
      </c>
      <c r="H15" s="22" t="s">
        <v>1476</v>
      </c>
      <c r="I15" s="22" t="s">
        <v>1450</v>
      </c>
      <c r="J15" s="22" t="s">
        <v>1476</v>
      </c>
      <c r="K15" s="22" t="s">
        <v>2093</v>
      </c>
      <c r="L15" s="22" t="s">
        <v>2094</v>
      </c>
      <c r="M15" s="22" t="s">
        <v>2049</v>
      </c>
      <c r="N15" s="22" t="s">
        <v>1466</v>
      </c>
      <c r="O15" s="22" t="s">
        <v>2049</v>
      </c>
      <c r="P15" s="22" t="s">
        <v>2095</v>
      </c>
      <c r="Q15" s="22" t="s">
        <v>2096</v>
      </c>
      <c r="R15" s="22" t="s">
        <v>2038</v>
      </c>
      <c r="S15" s="22" t="s">
        <v>2097</v>
      </c>
      <c r="T15" s="22" t="s">
        <v>2040</v>
      </c>
      <c r="U15" s="22" t="s">
        <v>2041</v>
      </c>
      <c r="V15" s="22" t="s">
        <v>2042</v>
      </c>
      <c r="W15" s="22" t="s">
        <v>2043</v>
      </c>
      <c r="X15" s="22" t="s">
        <v>2044</v>
      </c>
      <c r="Y15" s="22" t="s">
        <v>2045</v>
      </c>
      <c r="Z15" s="22" t="s">
        <v>2046</v>
      </c>
    </row>
  </sheetData>
  <mergeCells count="2">
    <mergeCell ref="A1:Z1"/>
    <mergeCell ref="A2:Z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94"/>
    <col collapsed="false" customWidth="true" hidden="false" outlineLevel="0" max="4" min="4" style="1" width="30"/>
  </cols>
  <sheetData>
    <row r="1" customFormat="false" ht="30" hidden="false" customHeight="true" outlineLevel="0" collapsed="false">
      <c r="A1" s="8" t="s">
        <v>2098</v>
      </c>
      <c r="B1" s="8"/>
      <c r="C1" s="8"/>
      <c r="D1" s="8"/>
    </row>
    <row r="2" customFormat="false" ht="33.75" hidden="false" customHeight="true" outlineLevel="0" collapsed="false">
      <c r="A2" s="19" t="s">
        <v>2099</v>
      </c>
      <c r="B2" s="19"/>
      <c r="C2" s="19"/>
      <c r="D2" s="19"/>
    </row>
    <row r="4" customFormat="false" ht="33.75" hidden="false" customHeight="true" outlineLevel="0" collapsed="false">
      <c r="A4" s="10" t="s">
        <v>2100</v>
      </c>
      <c r="B4" s="10" t="s">
        <v>2101</v>
      </c>
      <c r="C4" s="10" t="s">
        <v>2102</v>
      </c>
      <c r="D4" s="10" t="s">
        <v>30</v>
      </c>
    </row>
    <row r="5" customFormat="false" ht="15" hidden="false" customHeight="true" outlineLevel="0" collapsed="false">
      <c r="A5" s="20" t="s">
        <v>2103</v>
      </c>
      <c r="B5" s="20" t="s">
        <v>2104</v>
      </c>
      <c r="C5" s="20" t="s">
        <v>2105</v>
      </c>
      <c r="D5" s="22" t="s">
        <v>2106</v>
      </c>
    </row>
    <row r="6" customFormat="false" ht="26.25" hidden="false" customHeight="true" outlineLevel="0" collapsed="false">
      <c r="A6" s="21" t="s">
        <v>2107</v>
      </c>
      <c r="B6" s="21" t="s">
        <v>2108</v>
      </c>
      <c r="C6" s="21" t="s">
        <v>2109</v>
      </c>
      <c r="D6" s="24" t="s">
        <v>2106</v>
      </c>
    </row>
    <row r="7" customFormat="false" ht="26.25" hidden="false" customHeight="true" outlineLevel="0" collapsed="false">
      <c r="A7" s="20" t="s">
        <v>2110</v>
      </c>
      <c r="B7" s="20" t="s">
        <v>2111</v>
      </c>
      <c r="C7" s="20" t="s">
        <v>2112</v>
      </c>
      <c r="D7" s="22" t="s">
        <v>2106</v>
      </c>
    </row>
    <row r="8" customFormat="false" ht="26.25" hidden="false" customHeight="true" outlineLevel="0" collapsed="false">
      <c r="A8" s="21" t="s">
        <v>2113</v>
      </c>
      <c r="B8" s="21" t="s">
        <v>2114</v>
      </c>
      <c r="C8" s="21" t="s">
        <v>2115</v>
      </c>
      <c r="D8" s="24" t="s">
        <v>2106</v>
      </c>
    </row>
    <row r="9" customFormat="false" ht="26.25" hidden="false" customHeight="true" outlineLevel="0" collapsed="false">
      <c r="A9" s="20" t="s">
        <v>2116</v>
      </c>
      <c r="B9" s="20" t="s">
        <v>2117</v>
      </c>
      <c r="C9" s="20" t="s">
        <v>2118</v>
      </c>
      <c r="D9" s="22" t="s">
        <v>2106</v>
      </c>
    </row>
    <row r="10" customFormat="false" ht="26.25" hidden="false" customHeight="true" outlineLevel="0" collapsed="false">
      <c r="A10" s="21" t="s">
        <v>2119</v>
      </c>
      <c r="B10" s="21" t="s">
        <v>2120</v>
      </c>
      <c r="C10" s="21" t="s">
        <v>2121</v>
      </c>
      <c r="D10" s="24" t="s">
        <v>2122</v>
      </c>
    </row>
    <row r="11" customFormat="false" ht="26.25" hidden="false" customHeight="true" outlineLevel="0" collapsed="false">
      <c r="A11" s="20" t="s">
        <v>2123</v>
      </c>
      <c r="B11" s="20" t="s">
        <v>2124</v>
      </c>
      <c r="C11" s="20" t="s">
        <v>2125</v>
      </c>
      <c r="D11" s="22" t="s">
        <v>2126</v>
      </c>
    </row>
    <row r="12" customFormat="false" ht="15" hidden="false" customHeight="true" outlineLevel="0" collapsed="false">
      <c r="A12" s="21" t="s">
        <v>2127</v>
      </c>
      <c r="B12" s="21" t="s">
        <v>2128</v>
      </c>
      <c r="C12" s="21" t="s">
        <v>2129</v>
      </c>
      <c r="D12" s="24" t="s">
        <v>2130</v>
      </c>
    </row>
    <row r="13" customFormat="false" ht="15" hidden="false" customHeight="true" outlineLevel="0" collapsed="false">
      <c r="A13" s="20" t="s">
        <v>2131</v>
      </c>
      <c r="B13" s="20" t="s">
        <v>2132</v>
      </c>
      <c r="C13" s="20" t="s">
        <v>2133</v>
      </c>
      <c r="D13" s="22" t="s">
        <v>2122</v>
      </c>
    </row>
    <row r="14" customFormat="false" ht="15" hidden="false" customHeight="true" outlineLevel="0" collapsed="false">
      <c r="A14" s="21" t="s">
        <v>2134</v>
      </c>
      <c r="B14" s="21" t="s">
        <v>2135</v>
      </c>
      <c r="C14" s="21" t="s">
        <v>2136</v>
      </c>
      <c r="D14" s="24" t="s">
        <v>2122</v>
      </c>
    </row>
    <row r="15" customFormat="false" ht="26.25" hidden="false" customHeight="true" outlineLevel="0" collapsed="false">
      <c r="A15" s="20" t="s">
        <v>2137</v>
      </c>
      <c r="B15" s="20" t="s">
        <v>2138</v>
      </c>
      <c r="C15" s="20" t="s">
        <v>2139</v>
      </c>
      <c r="D15" s="22" t="s">
        <v>2140</v>
      </c>
    </row>
    <row r="16" customFormat="false" ht="26.25" hidden="false" customHeight="true" outlineLevel="0" collapsed="false">
      <c r="A16" s="21" t="s">
        <v>2141</v>
      </c>
      <c r="B16" s="21" t="s">
        <v>2142</v>
      </c>
      <c r="C16" s="21" t="s">
        <v>2143</v>
      </c>
      <c r="D16" s="24" t="s">
        <v>2106</v>
      </c>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7"/>
    <col collapsed="false" customWidth="true" hidden="false" outlineLevel="0" max="2" min="2" style="1" width="42"/>
    <col collapsed="false" customWidth="true" hidden="false" outlineLevel="0" max="3" min="3" style="1" width="37"/>
    <col collapsed="false" customWidth="true" hidden="false" outlineLevel="0" max="4" min="4" style="1" width="52"/>
    <col collapsed="false" customWidth="true" hidden="false" outlineLevel="0" max="5" min="5" style="1" width="28"/>
    <col collapsed="false" customWidth="true" hidden="false" outlineLevel="0" max="6" min="6" style="1" width="34"/>
    <col collapsed="false" customWidth="true" hidden="false" outlineLevel="0" max="7" min="7" style="1" width="58"/>
    <col collapsed="false" customWidth="true" hidden="false" outlineLevel="0" max="8" min="8" style="1" width="45"/>
    <col collapsed="false" customWidth="true" hidden="false" outlineLevel="0" max="9" min="9" style="1" width="28"/>
    <col collapsed="false" customWidth="true" hidden="false" outlineLevel="0" max="10" min="10" style="1" width="72"/>
    <col collapsed="false" customWidth="true" hidden="false" outlineLevel="0" max="11" min="11" style="1" width="55"/>
    <col collapsed="false" customWidth="true" hidden="false" outlineLevel="0" max="12" min="12" style="1" width="66"/>
  </cols>
  <sheetData>
    <row r="1" customFormat="false" ht="30" hidden="false" customHeight="true" outlineLevel="0" collapsed="false">
      <c r="A1" s="8" t="s">
        <v>2144</v>
      </c>
      <c r="B1" s="8"/>
      <c r="C1" s="8"/>
      <c r="D1" s="8"/>
      <c r="E1" s="8"/>
      <c r="F1" s="8"/>
      <c r="G1" s="8"/>
      <c r="H1" s="8"/>
      <c r="I1" s="8"/>
      <c r="J1" s="8"/>
      <c r="K1" s="8"/>
      <c r="L1" s="8"/>
    </row>
    <row r="2" customFormat="false" ht="33.75" hidden="false" customHeight="true" outlineLevel="0" collapsed="false">
      <c r="A2" s="19" t="s">
        <v>2145</v>
      </c>
      <c r="B2" s="19"/>
      <c r="C2" s="19"/>
      <c r="D2" s="19"/>
      <c r="E2" s="19"/>
      <c r="F2" s="19"/>
      <c r="G2" s="19"/>
      <c r="H2" s="19"/>
      <c r="I2" s="19"/>
      <c r="J2" s="19"/>
      <c r="K2" s="19"/>
      <c r="L2" s="19"/>
    </row>
    <row r="4" customFormat="false" ht="33.75" hidden="false" customHeight="true" outlineLevel="0" collapsed="false">
      <c r="A4" s="10" t="s">
        <v>2146</v>
      </c>
      <c r="B4" s="10" t="s">
        <v>2147</v>
      </c>
      <c r="C4" s="10" t="s">
        <v>2148</v>
      </c>
      <c r="D4" s="10" t="s">
        <v>2149</v>
      </c>
      <c r="E4" s="10" t="s">
        <v>2150</v>
      </c>
      <c r="F4" s="10" t="s">
        <v>2151</v>
      </c>
      <c r="G4" s="10" t="s">
        <v>2152</v>
      </c>
      <c r="H4" s="10" t="s">
        <v>2153</v>
      </c>
      <c r="I4" s="10" t="s">
        <v>2154</v>
      </c>
      <c r="J4" s="10" t="s">
        <v>1446</v>
      </c>
      <c r="K4" s="10" t="s">
        <v>2155</v>
      </c>
      <c r="L4" s="10" t="s">
        <v>2156</v>
      </c>
    </row>
    <row r="5" customFormat="false" ht="26.25" hidden="false" customHeight="true" outlineLevel="0" collapsed="false">
      <c r="A5" s="20" t="s">
        <v>2157</v>
      </c>
      <c r="B5" s="20" t="s">
        <v>2158</v>
      </c>
      <c r="C5" s="20" t="s">
        <v>2159</v>
      </c>
      <c r="D5" s="23" t="s">
        <v>2160</v>
      </c>
      <c r="E5" s="20" t="s">
        <v>2161</v>
      </c>
      <c r="F5" s="22" t="s">
        <v>2162</v>
      </c>
      <c r="G5" s="20" t="s">
        <v>2163</v>
      </c>
      <c r="H5" s="20" t="s">
        <v>2164</v>
      </c>
      <c r="I5" s="22" t="s">
        <v>2165</v>
      </c>
      <c r="J5" s="22" t="s">
        <v>2166</v>
      </c>
      <c r="K5" s="20" t="s">
        <v>2167</v>
      </c>
      <c r="L5" s="23" t="s">
        <v>2168</v>
      </c>
    </row>
    <row r="6" customFormat="false" ht="26.25" hidden="false" customHeight="true" outlineLevel="0" collapsed="false">
      <c r="A6" s="21" t="s">
        <v>2169</v>
      </c>
      <c r="B6" s="21" t="s">
        <v>2170</v>
      </c>
      <c r="C6" s="21" t="s">
        <v>2171</v>
      </c>
      <c r="D6" s="25" t="s">
        <v>2172</v>
      </c>
      <c r="E6" s="21" t="s">
        <v>2173</v>
      </c>
      <c r="F6" s="24" t="s">
        <v>2174</v>
      </c>
      <c r="G6" s="21" t="s">
        <v>2175</v>
      </c>
      <c r="H6" s="21" t="s">
        <v>2176</v>
      </c>
      <c r="I6" s="24" t="s">
        <v>2165</v>
      </c>
      <c r="J6" s="24" t="s">
        <v>2177</v>
      </c>
      <c r="K6" s="21" t="s">
        <v>2178</v>
      </c>
      <c r="L6" s="25" t="s">
        <v>2179</v>
      </c>
    </row>
    <row r="7" customFormat="false" ht="26.25" hidden="false" customHeight="true" outlineLevel="0" collapsed="false">
      <c r="A7" s="20" t="s">
        <v>2180</v>
      </c>
      <c r="B7" s="20" t="s">
        <v>2181</v>
      </c>
      <c r="C7" s="20" t="s">
        <v>2182</v>
      </c>
      <c r="D7" s="23" t="s">
        <v>2183</v>
      </c>
      <c r="E7" s="20" t="s">
        <v>2184</v>
      </c>
      <c r="F7" s="22" t="s">
        <v>2185</v>
      </c>
      <c r="G7" s="20" t="s">
        <v>2186</v>
      </c>
      <c r="H7" s="20" t="s">
        <v>2187</v>
      </c>
      <c r="I7" s="22" t="s">
        <v>2165</v>
      </c>
      <c r="J7" s="22" t="s">
        <v>2188</v>
      </c>
      <c r="K7" s="20" t="s">
        <v>2189</v>
      </c>
      <c r="L7" s="23" t="s">
        <v>2190</v>
      </c>
    </row>
    <row r="8" customFormat="false" ht="26.25" hidden="false" customHeight="true" outlineLevel="0" collapsed="false">
      <c r="A8" s="21" t="s">
        <v>2191</v>
      </c>
      <c r="B8" s="21" t="s">
        <v>2192</v>
      </c>
      <c r="C8" s="21" t="s">
        <v>2193</v>
      </c>
      <c r="D8" s="25" t="s">
        <v>2194</v>
      </c>
      <c r="E8" s="21" t="s">
        <v>2195</v>
      </c>
      <c r="F8" s="24" t="s">
        <v>2196</v>
      </c>
      <c r="G8" s="21" t="s">
        <v>2197</v>
      </c>
      <c r="H8" s="21" t="s">
        <v>2198</v>
      </c>
      <c r="I8" s="24" t="s">
        <v>2165</v>
      </c>
      <c r="J8" s="24" t="s">
        <v>2199</v>
      </c>
      <c r="K8" s="21" t="s">
        <v>2200</v>
      </c>
      <c r="L8" s="25" t="s">
        <v>2201</v>
      </c>
    </row>
    <row r="9" customFormat="false" ht="26.25" hidden="false" customHeight="true" outlineLevel="0" collapsed="false">
      <c r="A9" s="20" t="s">
        <v>2202</v>
      </c>
      <c r="B9" s="20" t="s">
        <v>2203</v>
      </c>
      <c r="C9" s="20" t="s">
        <v>2204</v>
      </c>
      <c r="D9" s="23" t="s">
        <v>2205</v>
      </c>
      <c r="E9" s="20" t="s">
        <v>2206</v>
      </c>
      <c r="F9" s="22" t="s">
        <v>2207</v>
      </c>
      <c r="G9" s="20" t="s">
        <v>2208</v>
      </c>
      <c r="H9" s="20" t="s">
        <v>2209</v>
      </c>
      <c r="I9" s="22" t="s">
        <v>2210</v>
      </c>
      <c r="J9" s="22" t="s">
        <v>2211</v>
      </c>
      <c r="K9" s="20" t="s">
        <v>2212</v>
      </c>
      <c r="L9" s="23" t="s">
        <v>2213</v>
      </c>
    </row>
    <row r="10" customFormat="false" ht="26.25" hidden="false" customHeight="true" outlineLevel="0" collapsed="false">
      <c r="A10" s="21" t="s">
        <v>2214</v>
      </c>
      <c r="B10" s="21" t="s">
        <v>2215</v>
      </c>
      <c r="C10" s="21" t="s">
        <v>2216</v>
      </c>
      <c r="D10" s="25" t="s">
        <v>2217</v>
      </c>
      <c r="E10" s="21" t="s">
        <v>2206</v>
      </c>
      <c r="F10" s="24" t="s">
        <v>2218</v>
      </c>
      <c r="G10" s="21" t="s">
        <v>2219</v>
      </c>
      <c r="H10" s="21" t="s">
        <v>2220</v>
      </c>
      <c r="I10" s="24" t="s">
        <v>2210</v>
      </c>
      <c r="J10" s="24" t="s">
        <v>2221</v>
      </c>
      <c r="K10" s="21" t="s">
        <v>2222</v>
      </c>
      <c r="L10" s="25" t="s">
        <v>2223</v>
      </c>
    </row>
    <row r="11" customFormat="false" ht="26.25" hidden="false" customHeight="true" outlineLevel="0" collapsed="false">
      <c r="A11" s="20" t="s">
        <v>2224</v>
      </c>
      <c r="B11" s="20" t="s">
        <v>2225</v>
      </c>
      <c r="C11" s="20" t="s">
        <v>2226</v>
      </c>
      <c r="D11" s="23" t="s">
        <v>2227</v>
      </c>
      <c r="E11" s="20" t="s">
        <v>2228</v>
      </c>
      <c r="F11" s="22" t="s">
        <v>2229</v>
      </c>
      <c r="G11" s="20" t="s">
        <v>2230</v>
      </c>
      <c r="H11" s="20" t="s">
        <v>2231</v>
      </c>
      <c r="I11" s="22" t="s">
        <v>2210</v>
      </c>
      <c r="J11" s="22" t="s">
        <v>2232</v>
      </c>
      <c r="K11" s="20" t="s">
        <v>2233</v>
      </c>
      <c r="L11" s="23" t="s">
        <v>2234</v>
      </c>
    </row>
    <row r="12" customFormat="false" ht="26.25" hidden="false" customHeight="true" outlineLevel="0" collapsed="false">
      <c r="A12" s="21" t="s">
        <v>2235</v>
      </c>
      <c r="B12" s="21" t="s">
        <v>2236</v>
      </c>
      <c r="C12" s="21" t="s">
        <v>2237</v>
      </c>
      <c r="D12" s="25" t="s">
        <v>2238</v>
      </c>
      <c r="E12" s="21" t="s">
        <v>2239</v>
      </c>
      <c r="F12" s="24" t="s">
        <v>2240</v>
      </c>
      <c r="G12" s="21" t="s">
        <v>2241</v>
      </c>
      <c r="H12" s="21" t="s">
        <v>2242</v>
      </c>
      <c r="I12" s="24" t="s">
        <v>2210</v>
      </c>
      <c r="J12" s="24" t="s">
        <v>2243</v>
      </c>
      <c r="K12" s="21" t="s">
        <v>2244</v>
      </c>
      <c r="L12" s="25" t="s">
        <v>2245</v>
      </c>
    </row>
    <row r="13" customFormat="false" ht="26.25" hidden="false" customHeight="true" outlineLevel="0" collapsed="false">
      <c r="A13" s="20" t="s">
        <v>2246</v>
      </c>
      <c r="B13" s="20" t="s">
        <v>2247</v>
      </c>
      <c r="C13" s="20" t="s">
        <v>2248</v>
      </c>
      <c r="D13" s="23" t="s">
        <v>2249</v>
      </c>
      <c r="E13" s="20" t="s">
        <v>2250</v>
      </c>
      <c r="F13" s="22" t="s">
        <v>2251</v>
      </c>
      <c r="G13" s="20" t="s">
        <v>2252</v>
      </c>
      <c r="H13" s="20" t="s">
        <v>2253</v>
      </c>
      <c r="I13" s="22" t="s">
        <v>2210</v>
      </c>
      <c r="J13" s="22" t="s">
        <v>2254</v>
      </c>
      <c r="K13" s="20" t="s">
        <v>2255</v>
      </c>
      <c r="L13" s="23" t="s">
        <v>2256</v>
      </c>
    </row>
    <row r="14" customFormat="false" ht="26.25" hidden="false" customHeight="true" outlineLevel="0" collapsed="false">
      <c r="A14" s="21" t="s">
        <v>2257</v>
      </c>
      <c r="B14" s="21" t="s">
        <v>2258</v>
      </c>
      <c r="C14" s="21" t="s">
        <v>2259</v>
      </c>
      <c r="D14" s="25" t="s">
        <v>2260</v>
      </c>
      <c r="E14" s="21" t="s">
        <v>2261</v>
      </c>
      <c r="F14" s="24" t="s">
        <v>2262</v>
      </c>
      <c r="G14" s="21" t="s">
        <v>2263</v>
      </c>
      <c r="H14" s="21" t="s">
        <v>2264</v>
      </c>
      <c r="I14" s="24" t="s">
        <v>2210</v>
      </c>
      <c r="J14" s="24" t="s">
        <v>2265</v>
      </c>
      <c r="K14" s="21" t="s">
        <v>2266</v>
      </c>
      <c r="L14" s="25" t="s">
        <v>2267</v>
      </c>
    </row>
    <row r="15" customFormat="false" ht="26.25" hidden="false" customHeight="true" outlineLevel="0" collapsed="false">
      <c r="A15" s="20" t="s">
        <v>2268</v>
      </c>
      <c r="B15" s="20" t="s">
        <v>2269</v>
      </c>
      <c r="C15" s="20" t="s">
        <v>2270</v>
      </c>
      <c r="D15" s="23" t="s">
        <v>2271</v>
      </c>
      <c r="E15" s="20" t="s">
        <v>2272</v>
      </c>
      <c r="F15" s="22" t="s">
        <v>2273</v>
      </c>
      <c r="G15" s="20" t="s">
        <v>2274</v>
      </c>
      <c r="H15" s="20" t="s">
        <v>2275</v>
      </c>
      <c r="I15" s="22" t="s">
        <v>2276</v>
      </c>
      <c r="J15" s="22" t="s">
        <v>2277</v>
      </c>
      <c r="K15" s="20" t="s">
        <v>2278</v>
      </c>
      <c r="L15" s="23" t="s">
        <v>2279</v>
      </c>
    </row>
    <row r="16" customFormat="false" ht="26.25" hidden="false" customHeight="true" outlineLevel="0" collapsed="false">
      <c r="A16" s="21" t="s">
        <v>2280</v>
      </c>
      <c r="B16" s="21" t="s">
        <v>2281</v>
      </c>
      <c r="C16" s="21" t="s">
        <v>2282</v>
      </c>
      <c r="D16" s="25" t="s">
        <v>2283</v>
      </c>
      <c r="E16" s="21" t="s">
        <v>2272</v>
      </c>
      <c r="F16" s="24" t="s">
        <v>2284</v>
      </c>
      <c r="G16" s="21" t="s">
        <v>2285</v>
      </c>
      <c r="H16" s="21" t="s">
        <v>2286</v>
      </c>
      <c r="I16" s="24" t="s">
        <v>2276</v>
      </c>
      <c r="J16" s="24" t="s">
        <v>2287</v>
      </c>
      <c r="K16" s="21" t="s">
        <v>2288</v>
      </c>
      <c r="L16" s="25" t="s">
        <v>2289</v>
      </c>
    </row>
    <row r="17" customFormat="false" ht="26.25" hidden="false" customHeight="true" outlineLevel="0" collapsed="false">
      <c r="A17" s="20" t="s">
        <v>2290</v>
      </c>
      <c r="B17" s="20" t="s">
        <v>2291</v>
      </c>
      <c r="C17" s="20" t="s">
        <v>2292</v>
      </c>
      <c r="D17" s="23" t="s">
        <v>2293</v>
      </c>
      <c r="E17" s="20" t="s">
        <v>2272</v>
      </c>
      <c r="F17" s="22" t="s">
        <v>2284</v>
      </c>
      <c r="G17" s="20" t="s">
        <v>2294</v>
      </c>
      <c r="H17" s="20" t="s">
        <v>2286</v>
      </c>
      <c r="I17" s="22" t="s">
        <v>2276</v>
      </c>
      <c r="J17" s="22" t="s">
        <v>2295</v>
      </c>
      <c r="K17" s="20" t="s">
        <v>2296</v>
      </c>
      <c r="L17" s="23" t="s">
        <v>2297</v>
      </c>
    </row>
  </sheetData>
  <mergeCells count="2">
    <mergeCell ref="A1:L1"/>
    <mergeCell ref="A2:L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38"/>
    <col collapsed="false" customWidth="true" hidden="false" outlineLevel="0" max="4" min="4" style="1" width="27"/>
    <col collapsed="false" customWidth="true" hidden="false" outlineLevel="0" max="5" min="5" style="1" width="24"/>
    <col collapsed="false" customWidth="true" hidden="false" outlineLevel="0" max="6" min="6" style="1" width="58"/>
    <col collapsed="false" customWidth="true" hidden="false" outlineLevel="0" max="7" min="7" style="1" width="72"/>
    <col collapsed="false" customWidth="true" hidden="false" outlineLevel="0" max="8" min="8" style="1" width="14"/>
    <col collapsed="false" customWidth="true" hidden="false" outlineLevel="0" max="9" min="9" style="1" width="72"/>
    <col collapsed="false" customWidth="true" hidden="false" outlineLevel="0" max="10" min="10" style="1" width="27"/>
    <col collapsed="false" customWidth="true" hidden="false" outlineLevel="0" max="11" min="11" style="1" width="39"/>
    <col collapsed="false" customWidth="true" hidden="false" outlineLevel="0" max="12" min="12" style="1" width="58"/>
  </cols>
  <sheetData>
    <row r="1" customFormat="false" ht="30" hidden="false" customHeight="true" outlineLevel="0" collapsed="false">
      <c r="A1" s="8" t="s">
        <v>2298</v>
      </c>
      <c r="B1" s="8"/>
      <c r="C1" s="8"/>
      <c r="D1" s="8"/>
      <c r="E1" s="8"/>
      <c r="F1" s="8"/>
      <c r="G1" s="8"/>
      <c r="H1" s="8"/>
      <c r="I1" s="8"/>
      <c r="J1" s="8"/>
      <c r="K1" s="8"/>
      <c r="L1" s="8"/>
    </row>
    <row r="2" customFormat="false" ht="33.75" hidden="false" customHeight="true" outlineLevel="0" collapsed="false">
      <c r="A2" s="19" t="s">
        <v>2299</v>
      </c>
      <c r="B2" s="19"/>
      <c r="C2" s="19"/>
      <c r="D2" s="19"/>
      <c r="E2" s="19"/>
      <c r="F2" s="19"/>
      <c r="G2" s="19"/>
      <c r="H2" s="19"/>
      <c r="I2" s="19"/>
      <c r="J2" s="19"/>
      <c r="K2" s="19"/>
      <c r="L2" s="19"/>
    </row>
    <row r="4" customFormat="false" ht="33.75" hidden="false" customHeight="true" outlineLevel="0" collapsed="false">
      <c r="A4" s="10" t="s">
        <v>2300</v>
      </c>
      <c r="B4" s="10" t="s">
        <v>2146</v>
      </c>
      <c r="C4" s="10" t="s">
        <v>2301</v>
      </c>
      <c r="D4" s="10" t="s">
        <v>2302</v>
      </c>
      <c r="E4" s="10" t="s">
        <v>2303</v>
      </c>
      <c r="F4" s="10" t="s">
        <v>2304</v>
      </c>
      <c r="G4" s="10" t="s">
        <v>2305</v>
      </c>
      <c r="H4" s="10" t="s">
        <v>2306</v>
      </c>
      <c r="I4" s="10" t="s">
        <v>1446</v>
      </c>
      <c r="J4" s="10" t="s">
        <v>2307</v>
      </c>
      <c r="K4" s="10" t="s">
        <v>2308</v>
      </c>
      <c r="L4" s="10" t="s">
        <v>2309</v>
      </c>
    </row>
    <row r="5" customFormat="false" ht="26.25" hidden="false" customHeight="true" outlineLevel="0" collapsed="false">
      <c r="A5" s="20" t="s">
        <v>2310</v>
      </c>
      <c r="B5" s="23" t="s">
        <v>2157</v>
      </c>
      <c r="C5" s="23" t="s">
        <v>2311</v>
      </c>
      <c r="D5" s="20" t="s">
        <v>2312</v>
      </c>
      <c r="E5" s="20" t="s">
        <v>2313</v>
      </c>
      <c r="F5" s="20" t="s">
        <v>2314</v>
      </c>
      <c r="G5" s="20" t="s">
        <v>2315</v>
      </c>
      <c r="H5" s="22" t="s">
        <v>2316</v>
      </c>
      <c r="I5" s="22" t="s">
        <v>2317</v>
      </c>
      <c r="J5" s="22" t="s">
        <v>2318</v>
      </c>
      <c r="K5" s="20" t="s">
        <v>2319</v>
      </c>
      <c r="L5" s="22" t="s">
        <v>2320</v>
      </c>
    </row>
    <row r="6" customFormat="false" ht="26.25" hidden="false" customHeight="true" outlineLevel="0" collapsed="false">
      <c r="A6" s="21" t="s">
        <v>2321</v>
      </c>
      <c r="B6" s="25" t="s">
        <v>2157</v>
      </c>
      <c r="C6" s="25" t="s">
        <v>2322</v>
      </c>
      <c r="D6" s="21" t="s">
        <v>2323</v>
      </c>
      <c r="E6" s="21" t="s">
        <v>2324</v>
      </c>
      <c r="F6" s="21" t="s">
        <v>2325</v>
      </c>
      <c r="G6" s="21" t="s">
        <v>2326</v>
      </c>
      <c r="H6" s="24" t="s">
        <v>2316</v>
      </c>
      <c r="I6" s="24" t="s">
        <v>2317</v>
      </c>
      <c r="J6" s="24" t="s">
        <v>2318</v>
      </c>
      <c r="K6" s="21" t="s">
        <v>2327</v>
      </c>
      <c r="L6" s="24" t="s">
        <v>2328</v>
      </c>
    </row>
    <row r="7" customFormat="false" ht="26.25" hidden="false" customHeight="true" outlineLevel="0" collapsed="false">
      <c r="A7" s="20" t="s">
        <v>2329</v>
      </c>
      <c r="B7" s="23" t="s">
        <v>2157</v>
      </c>
      <c r="C7" s="23" t="s">
        <v>2311</v>
      </c>
      <c r="D7" s="20" t="s">
        <v>2330</v>
      </c>
      <c r="E7" s="20" t="s">
        <v>2331</v>
      </c>
      <c r="F7" s="20" t="s">
        <v>2332</v>
      </c>
      <c r="G7" s="20" t="s">
        <v>2333</v>
      </c>
      <c r="H7" s="22" t="s">
        <v>1489</v>
      </c>
      <c r="I7" s="22" t="s">
        <v>2317</v>
      </c>
      <c r="J7" s="22" t="s">
        <v>2334</v>
      </c>
      <c r="K7" s="20" t="s">
        <v>2335</v>
      </c>
      <c r="L7" s="22" t="s">
        <v>2336</v>
      </c>
    </row>
    <row r="8" customFormat="false" ht="26.25" hidden="false" customHeight="true" outlineLevel="0" collapsed="false">
      <c r="A8" s="21" t="s">
        <v>2337</v>
      </c>
      <c r="B8" s="25" t="s">
        <v>2157</v>
      </c>
      <c r="C8" s="25" t="s">
        <v>2338</v>
      </c>
      <c r="D8" s="21" t="s">
        <v>2339</v>
      </c>
      <c r="E8" s="21" t="s">
        <v>2340</v>
      </c>
      <c r="F8" s="21" t="s">
        <v>2341</v>
      </c>
      <c r="G8" s="21" t="s">
        <v>2342</v>
      </c>
      <c r="H8" s="24" t="s">
        <v>1489</v>
      </c>
      <c r="I8" s="24" t="s">
        <v>2317</v>
      </c>
      <c r="J8" s="24" t="s">
        <v>2343</v>
      </c>
      <c r="K8" s="21" t="s">
        <v>2344</v>
      </c>
      <c r="L8" s="24" t="s">
        <v>2345</v>
      </c>
    </row>
    <row r="9" customFormat="false" ht="26.25" hidden="false" customHeight="true" outlineLevel="0" collapsed="false">
      <c r="A9" s="20" t="s">
        <v>2346</v>
      </c>
      <c r="B9" s="23" t="s">
        <v>2157</v>
      </c>
      <c r="C9" s="23" t="s">
        <v>2347</v>
      </c>
      <c r="D9" s="20" t="s">
        <v>2348</v>
      </c>
      <c r="E9" s="20" t="s">
        <v>2349</v>
      </c>
      <c r="F9" s="20" t="s">
        <v>2350</v>
      </c>
      <c r="G9" s="20" t="s">
        <v>2351</v>
      </c>
      <c r="H9" s="22" t="s">
        <v>1489</v>
      </c>
      <c r="I9" s="22" t="s">
        <v>2317</v>
      </c>
      <c r="J9" s="22" t="s">
        <v>2352</v>
      </c>
      <c r="K9" s="20" t="s">
        <v>2353</v>
      </c>
      <c r="L9" s="22" t="s">
        <v>2354</v>
      </c>
    </row>
    <row r="10" customFormat="false" ht="26.25" hidden="false" customHeight="true" outlineLevel="0" collapsed="false">
      <c r="A10" s="21" t="s">
        <v>2355</v>
      </c>
      <c r="B10" s="25" t="s">
        <v>2157</v>
      </c>
      <c r="C10" s="25" t="s">
        <v>2338</v>
      </c>
      <c r="D10" s="21" t="s">
        <v>2356</v>
      </c>
      <c r="E10" s="21" t="s">
        <v>2357</v>
      </c>
      <c r="F10" s="21" t="s">
        <v>2358</v>
      </c>
      <c r="G10" s="21" t="s">
        <v>2359</v>
      </c>
      <c r="H10" s="24" t="s">
        <v>2316</v>
      </c>
      <c r="I10" s="24" t="s">
        <v>2317</v>
      </c>
      <c r="J10" s="24" t="s">
        <v>2318</v>
      </c>
      <c r="K10" s="21" t="s">
        <v>2360</v>
      </c>
      <c r="L10" s="24" t="s">
        <v>2361</v>
      </c>
    </row>
    <row r="11" customFormat="false" ht="26.25" hidden="false" customHeight="true" outlineLevel="0" collapsed="false">
      <c r="A11" s="20" t="s">
        <v>2362</v>
      </c>
      <c r="B11" s="23" t="s">
        <v>2157</v>
      </c>
      <c r="C11" s="23" t="s">
        <v>2363</v>
      </c>
      <c r="D11" s="20" t="s">
        <v>65</v>
      </c>
      <c r="E11" s="20" t="s">
        <v>2364</v>
      </c>
      <c r="F11" s="20" t="s">
        <v>2365</v>
      </c>
      <c r="G11" s="20" t="s">
        <v>2366</v>
      </c>
      <c r="H11" s="22" t="s">
        <v>1489</v>
      </c>
      <c r="I11" s="22" t="s">
        <v>2317</v>
      </c>
      <c r="J11" s="22" t="s">
        <v>2367</v>
      </c>
      <c r="K11" s="20" t="s">
        <v>2368</v>
      </c>
      <c r="L11" s="22" t="s">
        <v>2369</v>
      </c>
    </row>
    <row r="12" customFormat="false" ht="26.25" hidden="false" customHeight="true" outlineLevel="0" collapsed="false">
      <c r="A12" s="21" t="s">
        <v>2370</v>
      </c>
      <c r="B12" s="25" t="s">
        <v>2157</v>
      </c>
      <c r="C12" s="25" t="s">
        <v>2371</v>
      </c>
      <c r="D12" s="21" t="s">
        <v>2372</v>
      </c>
      <c r="E12" s="21" t="s">
        <v>2373</v>
      </c>
      <c r="F12" s="21" t="s">
        <v>2374</v>
      </c>
      <c r="G12" s="21" t="s">
        <v>2375</v>
      </c>
      <c r="H12" s="24" t="s">
        <v>2316</v>
      </c>
      <c r="I12" s="24" t="s">
        <v>2317</v>
      </c>
      <c r="J12" s="24" t="s">
        <v>2352</v>
      </c>
      <c r="K12" s="21" t="s">
        <v>2376</v>
      </c>
      <c r="L12" s="24" t="s">
        <v>2377</v>
      </c>
    </row>
    <row r="13" customFormat="false" ht="26.25" hidden="false" customHeight="true" outlineLevel="0" collapsed="false">
      <c r="A13" s="20" t="s">
        <v>2378</v>
      </c>
      <c r="B13" s="23" t="s">
        <v>2169</v>
      </c>
      <c r="C13" s="23" t="s">
        <v>2379</v>
      </c>
      <c r="D13" s="20" t="s">
        <v>1671</v>
      </c>
      <c r="E13" s="20" t="s">
        <v>2380</v>
      </c>
      <c r="F13" s="20" t="s">
        <v>2381</v>
      </c>
      <c r="G13" s="20" t="s">
        <v>2382</v>
      </c>
      <c r="H13" s="22" t="s">
        <v>2316</v>
      </c>
      <c r="I13" s="22" t="s">
        <v>2317</v>
      </c>
      <c r="J13" s="22" t="s">
        <v>2318</v>
      </c>
      <c r="K13" s="20" t="s">
        <v>2383</v>
      </c>
      <c r="L13" s="22" t="s">
        <v>2384</v>
      </c>
    </row>
    <row r="14" customFormat="false" ht="26.25" hidden="false" customHeight="true" outlineLevel="0" collapsed="false">
      <c r="A14" s="21" t="s">
        <v>2385</v>
      </c>
      <c r="B14" s="25" t="s">
        <v>2169</v>
      </c>
      <c r="C14" s="25" t="s">
        <v>2386</v>
      </c>
      <c r="D14" s="21" t="s">
        <v>2323</v>
      </c>
      <c r="E14" s="21" t="s">
        <v>2387</v>
      </c>
      <c r="F14" s="21" t="s">
        <v>2388</v>
      </c>
      <c r="G14" s="21" t="s">
        <v>2389</v>
      </c>
      <c r="H14" s="24" t="s">
        <v>1458</v>
      </c>
      <c r="I14" s="24" t="s">
        <v>2317</v>
      </c>
      <c r="J14" s="24" t="s">
        <v>2390</v>
      </c>
      <c r="K14" s="21" t="s">
        <v>2391</v>
      </c>
      <c r="L14" s="24" t="s">
        <v>2392</v>
      </c>
    </row>
    <row r="15" customFormat="false" ht="26.25" hidden="false" customHeight="true" outlineLevel="0" collapsed="false">
      <c r="A15" s="20" t="s">
        <v>2393</v>
      </c>
      <c r="B15" s="23" t="s">
        <v>2169</v>
      </c>
      <c r="C15" s="23" t="s">
        <v>2394</v>
      </c>
      <c r="D15" s="20" t="s">
        <v>2395</v>
      </c>
      <c r="E15" s="20" t="s">
        <v>2396</v>
      </c>
      <c r="F15" s="20" t="s">
        <v>2397</v>
      </c>
      <c r="G15" s="20" t="s">
        <v>2398</v>
      </c>
      <c r="H15" s="22" t="s">
        <v>1489</v>
      </c>
      <c r="I15" s="22" t="s">
        <v>2317</v>
      </c>
      <c r="J15" s="22" t="s">
        <v>2399</v>
      </c>
      <c r="K15" s="20" t="s">
        <v>2400</v>
      </c>
      <c r="L15" s="22" t="s">
        <v>2401</v>
      </c>
    </row>
    <row r="16" customFormat="false" ht="26.25" hidden="false" customHeight="true" outlineLevel="0" collapsed="false">
      <c r="A16" s="21" t="s">
        <v>2402</v>
      </c>
      <c r="B16" s="25" t="s">
        <v>2169</v>
      </c>
      <c r="C16" s="25" t="s">
        <v>2403</v>
      </c>
      <c r="D16" s="21" t="s">
        <v>2404</v>
      </c>
      <c r="E16" s="21" t="s">
        <v>2405</v>
      </c>
      <c r="F16" s="21" t="s">
        <v>2406</v>
      </c>
      <c r="G16" s="21" t="s">
        <v>2407</v>
      </c>
      <c r="H16" s="24" t="s">
        <v>1458</v>
      </c>
      <c r="I16" s="24" t="s">
        <v>2317</v>
      </c>
      <c r="J16" s="24" t="s">
        <v>2408</v>
      </c>
      <c r="K16" s="21" t="s">
        <v>2409</v>
      </c>
      <c r="L16" s="24" t="s">
        <v>2410</v>
      </c>
    </row>
    <row r="17" customFormat="false" ht="26.25" hidden="false" customHeight="true" outlineLevel="0" collapsed="false">
      <c r="A17" s="20" t="s">
        <v>2411</v>
      </c>
      <c r="B17" s="23" t="s">
        <v>2169</v>
      </c>
      <c r="C17" s="23" t="s">
        <v>2412</v>
      </c>
      <c r="D17" s="20" t="s">
        <v>2413</v>
      </c>
      <c r="E17" s="20" t="s">
        <v>2414</v>
      </c>
      <c r="F17" s="20" t="s">
        <v>2415</v>
      </c>
      <c r="G17" s="20" t="s">
        <v>2416</v>
      </c>
      <c r="H17" s="22" t="s">
        <v>1489</v>
      </c>
      <c r="I17" s="22" t="s">
        <v>2317</v>
      </c>
      <c r="J17" s="22" t="s">
        <v>2343</v>
      </c>
      <c r="K17" s="20" t="s">
        <v>2417</v>
      </c>
      <c r="L17" s="22" t="s">
        <v>2418</v>
      </c>
    </row>
    <row r="18" customFormat="false" ht="26.25" hidden="false" customHeight="true" outlineLevel="0" collapsed="false">
      <c r="A18" s="21" t="s">
        <v>2419</v>
      </c>
      <c r="B18" s="25" t="s">
        <v>2169</v>
      </c>
      <c r="C18" s="25" t="s">
        <v>2420</v>
      </c>
      <c r="D18" s="21" t="s">
        <v>2421</v>
      </c>
      <c r="E18" s="21" t="s">
        <v>2422</v>
      </c>
      <c r="F18" s="21" t="s">
        <v>2423</v>
      </c>
      <c r="G18" s="21" t="s">
        <v>2424</v>
      </c>
      <c r="H18" s="24" t="s">
        <v>2316</v>
      </c>
      <c r="I18" s="24" t="s">
        <v>2317</v>
      </c>
      <c r="J18" s="24" t="s">
        <v>2352</v>
      </c>
      <c r="K18" s="21" t="s">
        <v>2425</v>
      </c>
      <c r="L18" s="24" t="s">
        <v>2426</v>
      </c>
    </row>
    <row r="19" customFormat="false" ht="26.25" hidden="false" customHeight="true" outlineLevel="0" collapsed="false">
      <c r="A19" s="20" t="s">
        <v>2427</v>
      </c>
      <c r="B19" s="23" t="s">
        <v>2169</v>
      </c>
      <c r="C19" s="23" t="s">
        <v>2428</v>
      </c>
      <c r="D19" s="20" t="s">
        <v>2429</v>
      </c>
      <c r="E19" s="20" t="s">
        <v>2430</v>
      </c>
      <c r="F19" s="20" t="s">
        <v>2431</v>
      </c>
      <c r="G19" s="20" t="s">
        <v>2432</v>
      </c>
      <c r="H19" s="22" t="s">
        <v>2316</v>
      </c>
      <c r="I19" s="22" t="s">
        <v>2317</v>
      </c>
      <c r="J19" s="22" t="s">
        <v>2318</v>
      </c>
      <c r="K19" s="20" t="s">
        <v>2433</v>
      </c>
      <c r="L19" s="22" t="s">
        <v>2434</v>
      </c>
    </row>
    <row r="20" customFormat="false" ht="26.25" hidden="false" customHeight="true" outlineLevel="0" collapsed="false">
      <c r="A20" s="21" t="s">
        <v>2435</v>
      </c>
      <c r="B20" s="25" t="s">
        <v>2169</v>
      </c>
      <c r="C20" s="25" t="s">
        <v>2436</v>
      </c>
      <c r="D20" s="21" t="s">
        <v>2323</v>
      </c>
      <c r="E20" s="21" t="s">
        <v>2437</v>
      </c>
      <c r="F20" s="21" t="s">
        <v>2438</v>
      </c>
      <c r="G20" s="21" t="s">
        <v>2439</v>
      </c>
      <c r="H20" s="24" t="s">
        <v>2316</v>
      </c>
      <c r="I20" s="24" t="s">
        <v>2317</v>
      </c>
      <c r="J20" s="24" t="s">
        <v>2318</v>
      </c>
      <c r="K20" s="21" t="s">
        <v>2440</v>
      </c>
      <c r="L20" s="24" t="s">
        <v>2441</v>
      </c>
    </row>
    <row r="21" customFormat="false" ht="26.25" hidden="false" customHeight="true" outlineLevel="0" collapsed="false">
      <c r="A21" s="20" t="s">
        <v>2442</v>
      </c>
      <c r="B21" s="23" t="s">
        <v>2180</v>
      </c>
      <c r="C21" s="23" t="s">
        <v>2443</v>
      </c>
      <c r="D21" s="20" t="s">
        <v>2444</v>
      </c>
      <c r="E21" s="20" t="s">
        <v>2445</v>
      </c>
      <c r="F21" s="20" t="s">
        <v>2446</v>
      </c>
      <c r="G21" s="20" t="s">
        <v>2447</v>
      </c>
      <c r="H21" s="22" t="s">
        <v>2316</v>
      </c>
      <c r="I21" s="22" t="s">
        <v>2317</v>
      </c>
      <c r="J21" s="22" t="s">
        <v>2448</v>
      </c>
      <c r="K21" s="20" t="s">
        <v>2449</v>
      </c>
      <c r="L21" s="22" t="s">
        <v>2450</v>
      </c>
    </row>
    <row r="22" customFormat="false" ht="26.25" hidden="false" customHeight="true" outlineLevel="0" collapsed="false">
      <c r="A22" s="21" t="s">
        <v>2451</v>
      </c>
      <c r="B22" s="25" t="s">
        <v>2180</v>
      </c>
      <c r="C22" s="25" t="s">
        <v>2452</v>
      </c>
      <c r="D22" s="21" t="s">
        <v>1671</v>
      </c>
      <c r="E22" s="21" t="s">
        <v>2453</v>
      </c>
      <c r="F22" s="21" t="s">
        <v>2454</v>
      </c>
      <c r="G22" s="21" t="s">
        <v>2455</v>
      </c>
      <c r="H22" s="24" t="s">
        <v>2316</v>
      </c>
      <c r="I22" s="24" t="s">
        <v>2317</v>
      </c>
      <c r="J22" s="24" t="s">
        <v>2318</v>
      </c>
      <c r="K22" s="21" t="s">
        <v>2383</v>
      </c>
      <c r="L22" s="24" t="s">
        <v>2456</v>
      </c>
    </row>
    <row r="23" customFormat="false" ht="26.25" hidden="false" customHeight="true" outlineLevel="0" collapsed="false">
      <c r="A23" s="20" t="s">
        <v>2457</v>
      </c>
      <c r="B23" s="23" t="s">
        <v>2180</v>
      </c>
      <c r="C23" s="23" t="s">
        <v>2458</v>
      </c>
      <c r="D23" s="20" t="s">
        <v>2459</v>
      </c>
      <c r="E23" s="20" t="s">
        <v>2460</v>
      </c>
      <c r="F23" s="20" t="s">
        <v>2461</v>
      </c>
      <c r="G23" s="20" t="s">
        <v>2462</v>
      </c>
      <c r="H23" s="22" t="s">
        <v>2316</v>
      </c>
      <c r="I23" s="22" t="s">
        <v>2317</v>
      </c>
      <c r="J23" s="22" t="s">
        <v>2352</v>
      </c>
      <c r="K23" s="20" t="s">
        <v>2463</v>
      </c>
      <c r="L23" s="22" t="s">
        <v>2464</v>
      </c>
    </row>
    <row r="24" customFormat="false" ht="26.25" hidden="false" customHeight="true" outlineLevel="0" collapsed="false">
      <c r="A24" s="21" t="s">
        <v>2465</v>
      </c>
      <c r="B24" s="25" t="s">
        <v>2180</v>
      </c>
      <c r="C24" s="25" t="s">
        <v>2466</v>
      </c>
      <c r="D24" s="21" t="s">
        <v>2323</v>
      </c>
      <c r="E24" s="21" t="s">
        <v>2467</v>
      </c>
      <c r="F24" s="21" t="s">
        <v>2468</v>
      </c>
      <c r="G24" s="21" t="s">
        <v>2469</v>
      </c>
      <c r="H24" s="24" t="s">
        <v>2316</v>
      </c>
      <c r="I24" s="24" t="s">
        <v>2317</v>
      </c>
      <c r="J24" s="24" t="s">
        <v>2318</v>
      </c>
      <c r="K24" s="21" t="s">
        <v>2470</v>
      </c>
      <c r="L24" s="24" t="s">
        <v>2471</v>
      </c>
    </row>
    <row r="25" customFormat="false" ht="26.25" hidden="false" customHeight="true" outlineLevel="0" collapsed="false">
      <c r="A25" s="20" t="s">
        <v>2472</v>
      </c>
      <c r="B25" s="23" t="s">
        <v>2180</v>
      </c>
      <c r="C25" s="23" t="s">
        <v>2473</v>
      </c>
      <c r="D25" s="20" t="s">
        <v>2474</v>
      </c>
      <c r="E25" s="20" t="s">
        <v>2475</v>
      </c>
      <c r="F25" s="20" t="s">
        <v>2476</v>
      </c>
      <c r="G25" s="20" t="s">
        <v>2477</v>
      </c>
      <c r="H25" s="22" t="s">
        <v>2316</v>
      </c>
      <c r="I25" s="22" t="s">
        <v>2317</v>
      </c>
      <c r="J25" s="22" t="s">
        <v>2478</v>
      </c>
      <c r="K25" s="20" t="s">
        <v>2479</v>
      </c>
      <c r="L25" s="22" t="s">
        <v>2480</v>
      </c>
    </row>
    <row r="26" customFormat="false" ht="39" hidden="false" customHeight="true" outlineLevel="0" collapsed="false">
      <c r="A26" s="21" t="s">
        <v>2481</v>
      </c>
      <c r="B26" s="25" t="s">
        <v>2180</v>
      </c>
      <c r="C26" s="25" t="s">
        <v>2482</v>
      </c>
      <c r="D26" s="21" t="s">
        <v>2483</v>
      </c>
      <c r="E26" s="21" t="s">
        <v>2484</v>
      </c>
      <c r="F26" s="21" t="s">
        <v>2485</v>
      </c>
      <c r="G26" s="21" t="s">
        <v>2486</v>
      </c>
      <c r="H26" s="24" t="s">
        <v>2316</v>
      </c>
      <c r="I26" s="24" t="s">
        <v>2317</v>
      </c>
      <c r="J26" s="24" t="s">
        <v>2487</v>
      </c>
      <c r="K26" s="21" t="s">
        <v>2488</v>
      </c>
      <c r="L26" s="24" t="s">
        <v>2489</v>
      </c>
    </row>
    <row r="27" customFormat="false" ht="26.25" hidden="false" customHeight="true" outlineLevel="0" collapsed="false">
      <c r="A27" s="20" t="s">
        <v>2490</v>
      </c>
      <c r="B27" s="23" t="s">
        <v>2191</v>
      </c>
      <c r="C27" s="23" t="s">
        <v>2491</v>
      </c>
      <c r="D27" s="20" t="s">
        <v>2413</v>
      </c>
      <c r="E27" s="20" t="s">
        <v>2492</v>
      </c>
      <c r="F27" s="20" t="s">
        <v>2493</v>
      </c>
      <c r="G27" s="20" t="s">
        <v>2494</v>
      </c>
      <c r="H27" s="22" t="s">
        <v>2316</v>
      </c>
      <c r="I27" s="22" t="s">
        <v>2317</v>
      </c>
      <c r="J27" s="22" t="s">
        <v>2495</v>
      </c>
      <c r="K27" s="20" t="s">
        <v>2496</v>
      </c>
      <c r="L27" s="22" t="s">
        <v>2497</v>
      </c>
    </row>
    <row r="28" customFormat="false" ht="26.25" hidden="false" customHeight="true" outlineLevel="0" collapsed="false">
      <c r="A28" s="21" t="s">
        <v>2498</v>
      </c>
      <c r="B28" s="25" t="s">
        <v>2191</v>
      </c>
      <c r="C28" s="25" t="s">
        <v>2499</v>
      </c>
      <c r="D28" s="21" t="s">
        <v>2348</v>
      </c>
      <c r="E28" s="21" t="s">
        <v>2500</v>
      </c>
      <c r="F28" s="21" t="s">
        <v>2501</v>
      </c>
      <c r="G28" s="21" t="s">
        <v>2502</v>
      </c>
      <c r="H28" s="24" t="s">
        <v>2316</v>
      </c>
      <c r="I28" s="24" t="s">
        <v>2317</v>
      </c>
      <c r="J28" s="24" t="s">
        <v>2352</v>
      </c>
      <c r="K28" s="21" t="s">
        <v>2503</v>
      </c>
      <c r="L28" s="24" t="s">
        <v>2504</v>
      </c>
    </row>
    <row r="29" customFormat="false" ht="26.25" hidden="false" customHeight="true" outlineLevel="0" collapsed="false">
      <c r="A29" s="20" t="s">
        <v>2505</v>
      </c>
      <c r="B29" s="23" t="s">
        <v>2191</v>
      </c>
      <c r="C29" s="23" t="s">
        <v>2506</v>
      </c>
      <c r="D29" s="20" t="s">
        <v>2483</v>
      </c>
      <c r="E29" s="20" t="s">
        <v>2507</v>
      </c>
      <c r="F29" s="20" t="s">
        <v>2508</v>
      </c>
      <c r="G29" s="20" t="s">
        <v>2509</v>
      </c>
      <c r="H29" s="22" t="s">
        <v>2316</v>
      </c>
      <c r="I29" s="22" t="s">
        <v>2317</v>
      </c>
      <c r="J29" s="22" t="s">
        <v>2510</v>
      </c>
      <c r="K29" s="20" t="s">
        <v>2511</v>
      </c>
      <c r="L29" s="22" t="s">
        <v>2512</v>
      </c>
    </row>
    <row r="30" customFormat="false" ht="26.25" hidden="false" customHeight="true" outlineLevel="0" collapsed="false">
      <c r="A30" s="21" t="s">
        <v>2513</v>
      </c>
      <c r="B30" s="25" t="s">
        <v>2191</v>
      </c>
      <c r="C30" s="25" t="s">
        <v>2514</v>
      </c>
      <c r="D30" s="21" t="s">
        <v>2515</v>
      </c>
      <c r="E30" s="21" t="s">
        <v>2516</v>
      </c>
      <c r="F30" s="21" t="s">
        <v>2517</v>
      </c>
      <c r="G30" s="21" t="s">
        <v>2518</v>
      </c>
      <c r="H30" s="24" t="s">
        <v>2316</v>
      </c>
      <c r="I30" s="24" t="s">
        <v>2317</v>
      </c>
      <c r="J30" s="24" t="s">
        <v>2519</v>
      </c>
      <c r="K30" s="21" t="s">
        <v>2520</v>
      </c>
      <c r="L30" s="24" t="s">
        <v>2521</v>
      </c>
    </row>
    <row r="31" customFormat="false" ht="26.25" hidden="false" customHeight="true" outlineLevel="0" collapsed="false">
      <c r="A31" s="20" t="s">
        <v>2522</v>
      </c>
      <c r="B31" s="23" t="s">
        <v>2214</v>
      </c>
      <c r="C31" s="23" t="s">
        <v>2523</v>
      </c>
      <c r="D31" s="20" t="s">
        <v>2524</v>
      </c>
      <c r="E31" s="20" t="s">
        <v>2525</v>
      </c>
      <c r="F31" s="20" t="s">
        <v>2526</v>
      </c>
      <c r="G31" s="20" t="s">
        <v>2527</v>
      </c>
      <c r="H31" s="22" t="s">
        <v>1489</v>
      </c>
      <c r="I31" s="22" t="s">
        <v>2317</v>
      </c>
      <c r="J31" s="22" t="s">
        <v>2352</v>
      </c>
      <c r="K31" s="20" t="s">
        <v>2528</v>
      </c>
      <c r="L31" s="22" t="s">
        <v>2529</v>
      </c>
    </row>
    <row r="32" customFormat="false" ht="26.25" hidden="false" customHeight="true" outlineLevel="0" collapsed="false">
      <c r="A32" s="21" t="s">
        <v>2530</v>
      </c>
      <c r="B32" s="25" t="s">
        <v>2214</v>
      </c>
      <c r="C32" s="25" t="s">
        <v>2531</v>
      </c>
      <c r="D32" s="21" t="s">
        <v>2532</v>
      </c>
      <c r="E32" s="21" t="s">
        <v>2533</v>
      </c>
      <c r="F32" s="21" t="s">
        <v>2534</v>
      </c>
      <c r="G32" s="21" t="s">
        <v>2535</v>
      </c>
      <c r="H32" s="24" t="s">
        <v>2316</v>
      </c>
      <c r="I32" s="24" t="s">
        <v>2317</v>
      </c>
      <c r="J32" s="24" t="s">
        <v>2352</v>
      </c>
      <c r="K32" s="21" t="s">
        <v>2536</v>
      </c>
      <c r="L32" s="24" t="s">
        <v>2537</v>
      </c>
    </row>
    <row r="33" customFormat="false" ht="26.25" hidden="false" customHeight="true" outlineLevel="0" collapsed="false">
      <c r="A33" s="20" t="s">
        <v>2538</v>
      </c>
      <c r="B33" s="23" t="s">
        <v>2214</v>
      </c>
      <c r="C33" s="23" t="s">
        <v>2539</v>
      </c>
      <c r="D33" s="20" t="s">
        <v>2540</v>
      </c>
      <c r="E33" s="20" t="s">
        <v>2541</v>
      </c>
      <c r="F33" s="20" t="s">
        <v>2542</v>
      </c>
      <c r="G33" s="20" t="s">
        <v>2543</v>
      </c>
      <c r="H33" s="22" t="s">
        <v>1489</v>
      </c>
      <c r="I33" s="22" t="s">
        <v>2317</v>
      </c>
      <c r="J33" s="22" t="s">
        <v>2544</v>
      </c>
      <c r="K33" s="20" t="s">
        <v>2545</v>
      </c>
      <c r="L33" s="22" t="s">
        <v>2546</v>
      </c>
    </row>
    <row r="34" customFormat="false" ht="39" hidden="false" customHeight="true" outlineLevel="0" collapsed="false">
      <c r="A34" s="21" t="s">
        <v>2547</v>
      </c>
      <c r="B34" s="25" t="s">
        <v>2214</v>
      </c>
      <c r="C34" s="25" t="s">
        <v>2548</v>
      </c>
      <c r="D34" s="21" t="s">
        <v>2549</v>
      </c>
      <c r="E34" s="21" t="s">
        <v>2550</v>
      </c>
      <c r="F34" s="21" t="s">
        <v>2551</v>
      </c>
      <c r="G34" s="21" t="s">
        <v>2552</v>
      </c>
      <c r="H34" s="24" t="s">
        <v>1489</v>
      </c>
      <c r="I34" s="24" t="s">
        <v>2317</v>
      </c>
      <c r="J34" s="24" t="s">
        <v>2553</v>
      </c>
      <c r="K34" s="21" t="s">
        <v>2554</v>
      </c>
      <c r="L34" s="24" t="s">
        <v>2555</v>
      </c>
    </row>
    <row r="35" customFormat="false" ht="26.25" hidden="false" customHeight="true" outlineLevel="0" collapsed="false">
      <c r="A35" s="20" t="s">
        <v>2556</v>
      </c>
      <c r="B35" s="23" t="s">
        <v>2214</v>
      </c>
      <c r="C35" s="23" t="s">
        <v>2557</v>
      </c>
      <c r="D35" s="20" t="s">
        <v>2558</v>
      </c>
      <c r="E35" s="20" t="s">
        <v>2559</v>
      </c>
      <c r="F35" s="20" t="s">
        <v>2560</v>
      </c>
      <c r="G35" s="20" t="s">
        <v>2561</v>
      </c>
      <c r="H35" s="22" t="s">
        <v>2316</v>
      </c>
      <c r="I35" s="22" t="s">
        <v>2317</v>
      </c>
      <c r="J35" s="22" t="s">
        <v>2352</v>
      </c>
      <c r="K35" s="20" t="s">
        <v>2562</v>
      </c>
      <c r="L35" s="22" t="s">
        <v>2563</v>
      </c>
    </row>
    <row r="36" customFormat="false" ht="26.25" hidden="false" customHeight="true" outlineLevel="0" collapsed="false">
      <c r="A36" s="21" t="s">
        <v>2564</v>
      </c>
      <c r="B36" s="25" t="s">
        <v>2214</v>
      </c>
      <c r="C36" s="25" t="s">
        <v>2565</v>
      </c>
      <c r="D36" s="21" t="s">
        <v>2312</v>
      </c>
      <c r="E36" s="21" t="s">
        <v>2566</v>
      </c>
      <c r="F36" s="21" t="s">
        <v>2567</v>
      </c>
      <c r="G36" s="21" t="s">
        <v>2568</v>
      </c>
      <c r="H36" s="24" t="s">
        <v>2316</v>
      </c>
      <c r="I36" s="24" t="s">
        <v>2317</v>
      </c>
      <c r="J36" s="24" t="s">
        <v>2487</v>
      </c>
      <c r="K36" s="21" t="s">
        <v>2569</v>
      </c>
      <c r="L36" s="24" t="s">
        <v>2570</v>
      </c>
    </row>
    <row r="37" customFormat="false" ht="26.25" hidden="false" customHeight="true" outlineLevel="0" collapsed="false">
      <c r="A37" s="20" t="s">
        <v>2571</v>
      </c>
      <c r="B37" s="23" t="s">
        <v>2202</v>
      </c>
      <c r="C37" s="23" t="s">
        <v>2572</v>
      </c>
      <c r="D37" s="20" t="s">
        <v>2573</v>
      </c>
      <c r="E37" s="20" t="s">
        <v>2574</v>
      </c>
      <c r="F37" s="20" t="s">
        <v>2575</v>
      </c>
      <c r="G37" s="20" t="s">
        <v>2576</v>
      </c>
      <c r="H37" s="22" t="s">
        <v>2316</v>
      </c>
      <c r="I37" s="22" t="s">
        <v>2317</v>
      </c>
      <c r="J37" s="22" t="s">
        <v>2577</v>
      </c>
      <c r="K37" s="20" t="s">
        <v>2578</v>
      </c>
      <c r="L37" s="22" t="s">
        <v>2579</v>
      </c>
    </row>
    <row r="38" customFormat="false" ht="26.25" hidden="false" customHeight="true" outlineLevel="0" collapsed="false">
      <c r="A38" s="21" t="s">
        <v>2580</v>
      </c>
      <c r="B38" s="25" t="s">
        <v>2224</v>
      </c>
      <c r="C38" s="25" t="s">
        <v>2581</v>
      </c>
      <c r="D38" s="21" t="s">
        <v>2582</v>
      </c>
      <c r="E38" s="21" t="s">
        <v>2583</v>
      </c>
      <c r="F38" s="21" t="s">
        <v>2584</v>
      </c>
      <c r="G38" s="21" t="s">
        <v>2585</v>
      </c>
      <c r="H38" s="24" t="s">
        <v>2316</v>
      </c>
      <c r="I38" s="24" t="s">
        <v>2317</v>
      </c>
      <c r="J38" s="24" t="s">
        <v>2318</v>
      </c>
      <c r="K38" s="21" t="s">
        <v>2586</v>
      </c>
      <c r="L38" s="24" t="s">
        <v>2587</v>
      </c>
    </row>
    <row r="39" customFormat="false" ht="26.25" hidden="false" customHeight="true" outlineLevel="0" collapsed="false">
      <c r="A39" s="20" t="s">
        <v>2588</v>
      </c>
      <c r="B39" s="23" t="s">
        <v>2235</v>
      </c>
      <c r="C39" s="23" t="s">
        <v>2589</v>
      </c>
      <c r="D39" s="20" t="s">
        <v>2590</v>
      </c>
      <c r="E39" s="20" t="s">
        <v>2591</v>
      </c>
      <c r="F39" s="20" t="s">
        <v>2592</v>
      </c>
      <c r="G39" s="20" t="s">
        <v>2593</v>
      </c>
      <c r="H39" s="22" t="s">
        <v>1489</v>
      </c>
      <c r="I39" s="22" t="s">
        <v>2317</v>
      </c>
      <c r="J39" s="22" t="s">
        <v>2577</v>
      </c>
      <c r="K39" s="20" t="s">
        <v>2594</v>
      </c>
      <c r="L39" s="22" t="s">
        <v>2595</v>
      </c>
    </row>
    <row r="40" customFormat="false" ht="26.25" hidden="false" customHeight="true" outlineLevel="0" collapsed="false">
      <c r="A40" s="21" t="s">
        <v>2596</v>
      </c>
      <c r="B40" s="25" t="s">
        <v>2246</v>
      </c>
      <c r="C40" s="25" t="s">
        <v>2597</v>
      </c>
      <c r="D40" s="21" t="s">
        <v>2429</v>
      </c>
      <c r="E40" s="21" t="s">
        <v>2598</v>
      </c>
      <c r="F40" s="21" t="s">
        <v>2599</v>
      </c>
      <c r="G40" s="21" t="s">
        <v>2600</v>
      </c>
      <c r="H40" s="24" t="s">
        <v>2316</v>
      </c>
      <c r="I40" s="24" t="s">
        <v>2317</v>
      </c>
      <c r="J40" s="24" t="s">
        <v>2318</v>
      </c>
      <c r="K40" s="21" t="s">
        <v>2601</v>
      </c>
      <c r="L40" s="24" t="s">
        <v>2602</v>
      </c>
    </row>
    <row r="41" customFormat="false" ht="26.25" hidden="false" customHeight="true" outlineLevel="0" collapsed="false">
      <c r="A41" s="20" t="s">
        <v>2603</v>
      </c>
      <c r="B41" s="23" t="s">
        <v>2257</v>
      </c>
      <c r="C41" s="23" t="s">
        <v>2604</v>
      </c>
      <c r="D41" s="20" t="s">
        <v>1449</v>
      </c>
      <c r="E41" s="20" t="s">
        <v>2605</v>
      </c>
      <c r="F41" s="20" t="s">
        <v>2606</v>
      </c>
      <c r="G41" s="20" t="s">
        <v>2607</v>
      </c>
      <c r="H41" s="22" t="s">
        <v>2316</v>
      </c>
      <c r="I41" s="22" t="s">
        <v>2317</v>
      </c>
      <c r="J41" s="22" t="s">
        <v>2352</v>
      </c>
      <c r="K41" s="20" t="s">
        <v>2608</v>
      </c>
      <c r="L41" s="22" t="s">
        <v>2609</v>
      </c>
    </row>
    <row r="42" customFormat="false" ht="26.25" hidden="false" customHeight="true" outlineLevel="0" collapsed="false">
      <c r="A42" s="21" t="s">
        <v>2610</v>
      </c>
      <c r="B42" s="25" t="s">
        <v>2268</v>
      </c>
      <c r="C42" s="25" t="s">
        <v>2611</v>
      </c>
      <c r="D42" s="21" t="s">
        <v>65</v>
      </c>
      <c r="E42" s="21" t="s">
        <v>2612</v>
      </c>
      <c r="F42" s="21" t="s">
        <v>2613</v>
      </c>
      <c r="G42" s="21" t="s">
        <v>2614</v>
      </c>
      <c r="H42" s="24" t="s">
        <v>2316</v>
      </c>
      <c r="I42" s="24" t="s">
        <v>2317</v>
      </c>
      <c r="J42" s="24" t="s">
        <v>2367</v>
      </c>
      <c r="K42" s="21" t="s">
        <v>2615</v>
      </c>
      <c r="L42" s="24" t="s">
        <v>2616</v>
      </c>
    </row>
    <row r="43" customFormat="false" ht="26.25" hidden="false" customHeight="true" outlineLevel="0" collapsed="false">
      <c r="A43" s="20" t="s">
        <v>2617</v>
      </c>
      <c r="B43" s="23" t="s">
        <v>2280</v>
      </c>
      <c r="C43" s="23" t="s">
        <v>2618</v>
      </c>
      <c r="D43" s="20" t="s">
        <v>2619</v>
      </c>
      <c r="E43" s="20" t="s">
        <v>2620</v>
      </c>
      <c r="F43" s="20" t="s">
        <v>2621</v>
      </c>
      <c r="G43" s="20" t="s">
        <v>2622</v>
      </c>
      <c r="H43" s="22" t="s">
        <v>1489</v>
      </c>
      <c r="I43" s="22" t="s">
        <v>2317</v>
      </c>
      <c r="J43" s="22" t="s">
        <v>2343</v>
      </c>
      <c r="K43" s="20" t="s">
        <v>2623</v>
      </c>
      <c r="L43" s="22" t="s">
        <v>2624</v>
      </c>
    </row>
    <row r="44" customFormat="false" ht="26.25" hidden="false" customHeight="true" outlineLevel="0" collapsed="false">
      <c r="A44" s="21" t="s">
        <v>2625</v>
      </c>
      <c r="B44" s="25" t="s">
        <v>2290</v>
      </c>
      <c r="C44" s="25" t="s">
        <v>2626</v>
      </c>
      <c r="D44" s="21" t="s">
        <v>65</v>
      </c>
      <c r="E44" s="21" t="s">
        <v>2627</v>
      </c>
      <c r="F44" s="21" t="s">
        <v>2628</v>
      </c>
      <c r="G44" s="21" t="s">
        <v>2629</v>
      </c>
      <c r="H44" s="24" t="s">
        <v>2316</v>
      </c>
      <c r="I44" s="24" t="s">
        <v>2317</v>
      </c>
      <c r="J44" s="24" t="s">
        <v>2487</v>
      </c>
      <c r="K44" s="21" t="s">
        <v>2615</v>
      </c>
      <c r="L44" s="24" t="s">
        <v>2630</v>
      </c>
    </row>
  </sheetData>
  <mergeCells count="2">
    <mergeCell ref="A1:L1"/>
    <mergeCell ref="A2:L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48"/>
    <col collapsed="false" customWidth="true" hidden="false" outlineLevel="0" max="4" min="4" style="1" width="58"/>
    <col collapsed="false" customWidth="true" hidden="false" outlineLevel="0" max="5" min="5" style="1" width="26"/>
    <col collapsed="false" customWidth="true" hidden="false" outlineLevel="0" max="6" min="6" style="1" width="46"/>
  </cols>
  <sheetData>
    <row r="1" customFormat="false" ht="30" hidden="false" customHeight="true" outlineLevel="0" collapsed="false">
      <c r="A1" s="8" t="s">
        <v>2631</v>
      </c>
      <c r="B1" s="8"/>
      <c r="C1" s="8"/>
      <c r="D1" s="8"/>
      <c r="E1" s="8"/>
      <c r="F1" s="8"/>
    </row>
    <row r="2" customFormat="false" ht="33.75" hidden="false" customHeight="true" outlineLevel="0" collapsed="false">
      <c r="A2" s="9" t="s">
        <v>2632</v>
      </c>
      <c r="B2" s="9"/>
      <c r="C2" s="9"/>
      <c r="D2" s="9"/>
      <c r="E2" s="9"/>
      <c r="F2" s="9"/>
    </row>
    <row r="3" customFormat="false" ht="7.5" hidden="false" customHeight="true" outlineLevel="0" collapsed="false"/>
    <row r="4" customFormat="false" ht="30" hidden="false" customHeight="true" outlineLevel="0" collapsed="false">
      <c r="A4" s="10" t="s">
        <v>2101</v>
      </c>
      <c r="B4" s="10" t="s">
        <v>2633</v>
      </c>
      <c r="C4" s="10" t="s">
        <v>2634</v>
      </c>
      <c r="D4" s="10" t="s">
        <v>2635</v>
      </c>
      <c r="E4" s="10" t="s">
        <v>30</v>
      </c>
      <c r="F4" s="10" t="s">
        <v>2636</v>
      </c>
    </row>
    <row r="5" customFormat="false" ht="42" hidden="false" customHeight="true" outlineLevel="0" collapsed="false">
      <c r="A5" s="16" t="s">
        <v>2637</v>
      </c>
      <c r="B5" s="16" t="s">
        <v>2638</v>
      </c>
      <c r="C5" s="16" t="s">
        <v>2639</v>
      </c>
      <c r="D5" s="16" t="s">
        <v>2640</v>
      </c>
      <c r="E5" s="18" t="s">
        <v>2641</v>
      </c>
      <c r="F5" s="16" t="s">
        <v>2642</v>
      </c>
    </row>
    <row r="6" customFormat="false" ht="42" hidden="false" customHeight="true" outlineLevel="0" collapsed="false">
      <c r="A6" s="16" t="s">
        <v>2643</v>
      </c>
      <c r="B6" s="16" t="s">
        <v>2644</v>
      </c>
      <c r="C6" s="16" t="s">
        <v>2645</v>
      </c>
      <c r="D6" s="16" t="s">
        <v>2646</v>
      </c>
      <c r="E6" s="18" t="s">
        <v>2641</v>
      </c>
      <c r="F6" s="16" t="s">
        <v>2647</v>
      </c>
    </row>
    <row r="7" customFormat="false" ht="42" hidden="false" customHeight="true" outlineLevel="0" collapsed="false">
      <c r="A7" s="16" t="s">
        <v>2648</v>
      </c>
      <c r="B7" s="16" t="s">
        <v>2649</v>
      </c>
      <c r="C7" s="16" t="s">
        <v>2650</v>
      </c>
      <c r="D7" s="16" t="s">
        <v>2651</v>
      </c>
      <c r="E7" s="18" t="s">
        <v>2652</v>
      </c>
      <c r="F7" s="16" t="s">
        <v>2653</v>
      </c>
    </row>
    <row r="8" customFormat="false" ht="42" hidden="false" customHeight="true" outlineLevel="0" collapsed="false">
      <c r="A8" s="16" t="s">
        <v>2654</v>
      </c>
      <c r="B8" s="16" t="s">
        <v>2655</v>
      </c>
      <c r="C8" s="16" t="s">
        <v>2656</v>
      </c>
      <c r="D8" s="16" t="s">
        <v>2657</v>
      </c>
      <c r="E8" s="18" t="s">
        <v>2641</v>
      </c>
      <c r="F8" s="16" t="s">
        <v>2658</v>
      </c>
    </row>
    <row r="9" customFormat="false" ht="42" hidden="false" customHeight="true" outlineLevel="0" collapsed="false">
      <c r="A9" s="16" t="s">
        <v>2659</v>
      </c>
      <c r="B9" s="16" t="s">
        <v>2660</v>
      </c>
      <c r="C9" s="16" t="s">
        <v>2661</v>
      </c>
      <c r="D9" s="16" t="s">
        <v>2662</v>
      </c>
      <c r="E9" s="18" t="s">
        <v>2641</v>
      </c>
      <c r="F9" s="16" t="s">
        <v>2663</v>
      </c>
    </row>
    <row r="10" customFormat="false" ht="42" hidden="false" customHeight="true" outlineLevel="0" collapsed="false">
      <c r="A10" s="16" t="s">
        <v>2664</v>
      </c>
      <c r="B10" s="16" t="s">
        <v>2665</v>
      </c>
      <c r="C10" s="16" t="s">
        <v>2666</v>
      </c>
      <c r="D10" s="16" t="s">
        <v>2667</v>
      </c>
      <c r="E10" s="18" t="s">
        <v>2641</v>
      </c>
      <c r="F10" s="16" t="s">
        <v>2668</v>
      </c>
    </row>
    <row r="11" customFormat="false" ht="42" hidden="false" customHeight="true" outlineLevel="0" collapsed="false">
      <c r="A11" s="16" t="s">
        <v>2669</v>
      </c>
      <c r="B11" s="16" t="s">
        <v>2670</v>
      </c>
      <c r="C11" s="16" t="s">
        <v>2671</v>
      </c>
      <c r="D11" s="16" t="s">
        <v>2672</v>
      </c>
      <c r="E11" s="18" t="s">
        <v>2673</v>
      </c>
      <c r="F11" s="16" t="s">
        <v>2674</v>
      </c>
    </row>
    <row r="12" customFormat="false" ht="42" hidden="false" customHeight="true" outlineLevel="0" collapsed="false">
      <c r="A12" s="16" t="s">
        <v>2675</v>
      </c>
      <c r="B12" s="16" t="s">
        <v>2676</v>
      </c>
      <c r="C12" s="16" t="s">
        <v>2677</v>
      </c>
      <c r="D12" s="16" t="s">
        <v>2678</v>
      </c>
      <c r="E12" s="18" t="s">
        <v>2652</v>
      </c>
      <c r="F12" s="16" t="s">
        <v>2679</v>
      </c>
    </row>
    <row r="13" customFormat="false" ht="42" hidden="false" customHeight="true" outlineLevel="0" collapsed="false">
      <c r="A13" s="16" t="s">
        <v>2680</v>
      </c>
      <c r="B13" s="16" t="s">
        <v>2681</v>
      </c>
      <c r="C13" s="16" t="s">
        <v>2682</v>
      </c>
      <c r="D13" s="16" t="s">
        <v>2683</v>
      </c>
      <c r="E13" s="18" t="s">
        <v>2641</v>
      </c>
      <c r="F13" s="16" t="s">
        <v>2684</v>
      </c>
    </row>
    <row r="14" customFormat="false" ht="42" hidden="false" customHeight="true" outlineLevel="0" collapsed="false">
      <c r="A14" s="16" t="s">
        <v>2685</v>
      </c>
      <c r="B14" s="16" t="s">
        <v>2686</v>
      </c>
      <c r="C14" s="16" t="s">
        <v>2687</v>
      </c>
      <c r="D14" s="16" t="s">
        <v>2688</v>
      </c>
      <c r="E14" s="18" t="s">
        <v>2641</v>
      </c>
      <c r="F14" s="16" t="s">
        <v>2689</v>
      </c>
    </row>
    <row r="15" customFormat="false" ht="42" hidden="false" customHeight="true" outlineLevel="0" collapsed="false">
      <c r="A15" s="16" t="s">
        <v>2690</v>
      </c>
      <c r="B15" s="16" t="s">
        <v>2691</v>
      </c>
      <c r="C15" s="16" t="s">
        <v>2692</v>
      </c>
      <c r="D15" s="16" t="s">
        <v>2693</v>
      </c>
      <c r="E15" s="18" t="s">
        <v>2641</v>
      </c>
      <c r="F15" s="16" t="s">
        <v>2694</v>
      </c>
    </row>
    <row r="16" customFormat="false" ht="42" hidden="false" customHeight="true" outlineLevel="0" collapsed="false">
      <c r="A16" s="16" t="s">
        <v>2695</v>
      </c>
      <c r="B16" s="16" t="s">
        <v>2696</v>
      </c>
      <c r="C16" s="16" t="s">
        <v>2697</v>
      </c>
      <c r="D16" s="16" t="s">
        <v>2698</v>
      </c>
      <c r="E16" s="18" t="s">
        <v>2641</v>
      </c>
      <c r="F16" s="16" t="s">
        <v>2699</v>
      </c>
    </row>
    <row r="17" customFormat="false" ht="42" hidden="false" customHeight="true" outlineLevel="0" collapsed="false">
      <c r="A17" s="16" t="s">
        <v>2700</v>
      </c>
      <c r="B17" s="16" t="s">
        <v>2701</v>
      </c>
      <c r="C17" s="16" t="s">
        <v>2702</v>
      </c>
      <c r="D17" s="16" t="s">
        <v>2703</v>
      </c>
      <c r="E17" s="18" t="s">
        <v>2641</v>
      </c>
      <c r="F17" s="16" t="s">
        <v>2704</v>
      </c>
    </row>
    <row r="18" customFormat="false" ht="42" hidden="false" customHeight="true" outlineLevel="0" collapsed="false">
      <c r="A18" s="16" t="s">
        <v>2705</v>
      </c>
      <c r="B18" s="16" t="s">
        <v>2706</v>
      </c>
      <c r="C18" s="16" t="s">
        <v>2707</v>
      </c>
      <c r="D18" s="16" t="s">
        <v>2708</v>
      </c>
      <c r="E18" s="18" t="s">
        <v>2641</v>
      </c>
      <c r="F18" s="16" t="s">
        <v>2709</v>
      </c>
    </row>
    <row r="19" customFormat="false" ht="42" hidden="false" customHeight="true" outlineLevel="0" collapsed="false">
      <c r="A19" s="16" t="s">
        <v>2710</v>
      </c>
      <c r="B19" s="16" t="s">
        <v>2711</v>
      </c>
      <c r="C19" s="16" t="s">
        <v>2712</v>
      </c>
      <c r="D19" s="16" t="s">
        <v>2713</v>
      </c>
      <c r="E19" s="18" t="s">
        <v>2652</v>
      </c>
      <c r="F19" s="16" t="s">
        <v>2714</v>
      </c>
    </row>
    <row r="20" customFormat="false" ht="42" hidden="false" customHeight="true" outlineLevel="0" collapsed="false">
      <c r="A20" s="16" t="s">
        <v>276</v>
      </c>
      <c r="B20" s="16" t="s">
        <v>2715</v>
      </c>
      <c r="C20" s="16" t="s">
        <v>2716</v>
      </c>
      <c r="D20" s="16" t="s">
        <v>2717</v>
      </c>
      <c r="E20" s="18" t="s">
        <v>2652</v>
      </c>
      <c r="F20" s="16" t="s">
        <v>2718</v>
      </c>
    </row>
    <row r="21" customFormat="false" ht="42" hidden="false" customHeight="true" outlineLevel="0" collapsed="false">
      <c r="A21" s="16" t="s">
        <v>557</v>
      </c>
      <c r="B21" s="16" t="s">
        <v>2719</v>
      </c>
      <c r="C21" s="16" t="s">
        <v>2720</v>
      </c>
      <c r="D21" s="16" t="s">
        <v>2721</v>
      </c>
      <c r="E21" s="18" t="s">
        <v>2652</v>
      </c>
      <c r="F21" s="16" t="s">
        <v>2722</v>
      </c>
    </row>
    <row r="22" customFormat="false" ht="42" hidden="false" customHeight="true" outlineLevel="0" collapsed="false">
      <c r="A22" s="16" t="s">
        <v>2723</v>
      </c>
      <c r="B22" s="16" t="s">
        <v>2724</v>
      </c>
      <c r="C22" s="16" t="s">
        <v>2725</v>
      </c>
      <c r="D22" s="16" t="s">
        <v>2726</v>
      </c>
      <c r="E22" s="18" t="s">
        <v>2641</v>
      </c>
      <c r="F22" s="16" t="s">
        <v>2727</v>
      </c>
    </row>
    <row r="23" customFormat="false" ht="42" hidden="false" customHeight="true" outlineLevel="0" collapsed="false">
      <c r="A23" s="16" t="s">
        <v>2728</v>
      </c>
      <c r="B23" s="16" t="s">
        <v>2729</v>
      </c>
      <c r="C23" s="16" t="s">
        <v>2730</v>
      </c>
      <c r="D23" s="16" t="s">
        <v>2731</v>
      </c>
      <c r="E23" s="18" t="s">
        <v>2641</v>
      </c>
      <c r="F23" s="16" t="s">
        <v>2732</v>
      </c>
    </row>
    <row r="24" customFormat="false" ht="42" hidden="false" customHeight="true" outlineLevel="0" collapsed="false">
      <c r="A24" s="16" t="s">
        <v>2733</v>
      </c>
      <c r="B24" s="16" t="s">
        <v>2734</v>
      </c>
      <c r="C24" s="16" t="s">
        <v>2735</v>
      </c>
      <c r="D24" s="16" t="s">
        <v>2736</v>
      </c>
      <c r="E24" s="18" t="s">
        <v>2737</v>
      </c>
      <c r="F24" s="16" t="s">
        <v>2738</v>
      </c>
    </row>
    <row r="25" customFormat="false" ht="42" hidden="false" customHeight="true" outlineLevel="0" collapsed="false">
      <c r="A25" s="16" t="s">
        <v>2739</v>
      </c>
      <c r="B25" s="16" t="s">
        <v>2740</v>
      </c>
      <c r="C25" s="16" t="s">
        <v>2741</v>
      </c>
      <c r="D25" s="16" t="s">
        <v>2742</v>
      </c>
      <c r="E25" s="18" t="s">
        <v>2652</v>
      </c>
      <c r="F25" s="16" t="s">
        <v>2743</v>
      </c>
    </row>
    <row r="26" customFormat="false" ht="42" hidden="false" customHeight="true" outlineLevel="0" collapsed="false">
      <c r="A26" s="16" t="s">
        <v>2744</v>
      </c>
      <c r="B26" s="16" t="s">
        <v>2745</v>
      </c>
      <c r="C26" s="16" t="s">
        <v>2746</v>
      </c>
      <c r="D26" s="16" t="s">
        <v>2747</v>
      </c>
      <c r="E26" s="18" t="s">
        <v>2748</v>
      </c>
      <c r="F26" s="16" t="s">
        <v>2749</v>
      </c>
    </row>
    <row r="27" customFormat="false" ht="42" hidden="false" customHeight="true" outlineLevel="0" collapsed="false">
      <c r="A27" s="16" t="s">
        <v>2750</v>
      </c>
      <c r="B27" s="16" t="s">
        <v>2751</v>
      </c>
      <c r="C27" s="16" t="s">
        <v>2752</v>
      </c>
      <c r="D27" s="16" t="s">
        <v>2753</v>
      </c>
      <c r="E27" s="18" t="s">
        <v>2748</v>
      </c>
      <c r="F27" s="16" t="s">
        <v>2754</v>
      </c>
    </row>
    <row r="28" customFormat="false" ht="42" hidden="false" customHeight="true" outlineLevel="0" collapsed="false">
      <c r="A28" s="16" t="s">
        <v>2755</v>
      </c>
      <c r="B28" s="16" t="s">
        <v>2756</v>
      </c>
      <c r="C28" s="16" t="s">
        <v>2757</v>
      </c>
      <c r="D28" s="16" t="s">
        <v>2758</v>
      </c>
      <c r="E28" s="18" t="s">
        <v>2759</v>
      </c>
      <c r="F28" s="16" t="s">
        <v>2760</v>
      </c>
    </row>
    <row r="29" customFormat="false" ht="26.25" hidden="false" customHeight="true" outlineLevel="0" collapsed="false">
      <c r="A29" s="16" t="s">
        <v>2761</v>
      </c>
      <c r="B29" s="16" t="s">
        <v>2762</v>
      </c>
      <c r="C29" s="16" t="s">
        <v>2763</v>
      </c>
      <c r="D29" s="16" t="s">
        <v>2764</v>
      </c>
      <c r="E29" s="18" t="s">
        <v>2765</v>
      </c>
      <c r="F29" s="16" t="s">
        <v>2766</v>
      </c>
    </row>
    <row r="30" customFormat="false" ht="26.25" hidden="false" customHeight="true" outlineLevel="0" collapsed="false">
      <c r="A30" s="16" t="s">
        <v>2767</v>
      </c>
      <c r="B30" s="16" t="s">
        <v>2768</v>
      </c>
      <c r="C30" s="16" t="s">
        <v>2769</v>
      </c>
      <c r="D30" s="16" t="s">
        <v>2770</v>
      </c>
      <c r="E30" s="18" t="s">
        <v>2765</v>
      </c>
      <c r="F30" s="16" t="s">
        <v>2771</v>
      </c>
    </row>
    <row r="31" customFormat="false" ht="26.25" hidden="false" customHeight="true" outlineLevel="0" collapsed="false">
      <c r="A31" s="16" t="s">
        <v>2772</v>
      </c>
      <c r="B31" s="16" t="s">
        <v>2773</v>
      </c>
      <c r="C31" s="16" t="s">
        <v>2774</v>
      </c>
      <c r="D31" s="16" t="s">
        <v>2775</v>
      </c>
      <c r="E31" s="18" t="s">
        <v>2765</v>
      </c>
      <c r="F31" s="16" t="s">
        <v>2776</v>
      </c>
    </row>
    <row r="32" customFormat="false" ht="26.25" hidden="false" customHeight="true" outlineLevel="0" collapsed="false">
      <c r="A32" s="16" t="s">
        <v>2777</v>
      </c>
      <c r="B32" s="16" t="s">
        <v>2778</v>
      </c>
      <c r="C32" s="16" t="s">
        <v>2779</v>
      </c>
      <c r="D32" s="16" t="s">
        <v>2780</v>
      </c>
      <c r="E32" s="18" t="s">
        <v>2765</v>
      </c>
      <c r="F32" s="16" t="s">
        <v>2781</v>
      </c>
    </row>
    <row r="33" customFormat="false" ht="26.25" hidden="false" customHeight="true" outlineLevel="0" collapsed="false">
      <c r="A33" s="16" t="s">
        <v>2782</v>
      </c>
      <c r="B33" s="16" t="s">
        <v>2783</v>
      </c>
      <c r="C33" s="16" t="s">
        <v>2784</v>
      </c>
      <c r="D33" s="16" t="s">
        <v>2785</v>
      </c>
      <c r="E33" s="18" t="s">
        <v>2765</v>
      </c>
      <c r="F33" s="16" t="s">
        <v>2786</v>
      </c>
    </row>
    <row r="34" customFormat="false" ht="26.25" hidden="false" customHeight="true" outlineLevel="0" collapsed="false">
      <c r="A34" s="16" t="s">
        <v>2787</v>
      </c>
      <c r="B34" s="16" t="s">
        <v>2788</v>
      </c>
      <c r="C34" s="16" t="s">
        <v>2789</v>
      </c>
      <c r="D34" s="16" t="s">
        <v>2790</v>
      </c>
      <c r="E34" s="18" t="s">
        <v>2765</v>
      </c>
      <c r="F34" s="16" t="s">
        <v>2791</v>
      </c>
    </row>
    <row r="35" customFormat="false" ht="36" hidden="false" customHeight="true" outlineLevel="0" collapsed="false">
      <c r="A35" s="16" t="s">
        <v>2792</v>
      </c>
      <c r="B35" s="16" t="s">
        <v>2793</v>
      </c>
      <c r="C35" s="16" t="s">
        <v>2794</v>
      </c>
      <c r="D35" s="16" t="s">
        <v>2795</v>
      </c>
      <c r="E35" s="18" t="s">
        <v>2765</v>
      </c>
      <c r="F35" s="16" t="s">
        <v>2796</v>
      </c>
    </row>
    <row r="36" customFormat="false" ht="36" hidden="false" customHeight="true" outlineLevel="0" collapsed="false">
      <c r="A36" s="16" t="s">
        <v>2797</v>
      </c>
      <c r="B36" s="16" t="s">
        <v>2798</v>
      </c>
      <c r="C36" s="16" t="s">
        <v>2799</v>
      </c>
      <c r="D36" s="16" t="s">
        <v>2800</v>
      </c>
      <c r="E36" s="18" t="s">
        <v>2801</v>
      </c>
      <c r="F36" s="16" t="s">
        <v>2802</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4" min="3" style="1" width="72"/>
  </cols>
  <sheetData>
    <row r="1" customFormat="false" ht="30" hidden="false" customHeight="true" outlineLevel="0" collapsed="false">
      <c r="A1" s="8" t="s">
        <v>2803</v>
      </c>
      <c r="B1" s="8"/>
      <c r="C1" s="8"/>
      <c r="D1" s="8"/>
    </row>
    <row r="2" customFormat="false" ht="33.75" hidden="false" customHeight="true" outlineLevel="0" collapsed="false">
      <c r="A2" s="19" t="s">
        <v>2804</v>
      </c>
      <c r="B2" s="19"/>
      <c r="C2" s="19"/>
      <c r="D2" s="19"/>
    </row>
    <row r="4" customFormat="false" ht="33.75" hidden="false" customHeight="true" outlineLevel="0" collapsed="false">
      <c r="A4" s="10" t="s">
        <v>1304</v>
      </c>
      <c r="B4" s="10" t="s">
        <v>1305</v>
      </c>
      <c r="C4" s="10" t="s">
        <v>2805</v>
      </c>
      <c r="D4" s="10" t="s">
        <v>2806</v>
      </c>
    </row>
    <row r="5" customFormat="false" ht="15" hidden="false" customHeight="true" outlineLevel="0" collapsed="false">
      <c r="A5" s="20" t="n">
        <v>1</v>
      </c>
      <c r="B5" s="20" t="s">
        <v>1317</v>
      </c>
      <c r="C5" s="20" t="s">
        <v>2807</v>
      </c>
      <c r="D5" s="22" t="s">
        <v>2808</v>
      </c>
    </row>
    <row r="6" customFormat="false" ht="15" hidden="false" customHeight="true" outlineLevel="0" collapsed="false">
      <c r="A6" s="21" t="n">
        <v>2</v>
      </c>
      <c r="B6" s="21" t="s">
        <v>1329</v>
      </c>
      <c r="C6" s="21" t="s">
        <v>2809</v>
      </c>
      <c r="D6" s="24" t="s">
        <v>2810</v>
      </c>
    </row>
    <row r="7" customFormat="false" ht="15" hidden="false" customHeight="true" outlineLevel="0" collapsed="false">
      <c r="A7" s="20" t="n">
        <v>3</v>
      </c>
      <c r="B7" s="20" t="s">
        <v>1341</v>
      </c>
      <c r="C7" s="20" t="s">
        <v>2811</v>
      </c>
      <c r="D7" s="22" t="s">
        <v>2812</v>
      </c>
    </row>
    <row r="8" customFormat="false" ht="15" hidden="false" customHeight="true" outlineLevel="0" collapsed="false">
      <c r="A8" s="21" t="n">
        <v>4</v>
      </c>
      <c r="B8" s="21" t="s">
        <v>1353</v>
      </c>
      <c r="C8" s="21" t="s">
        <v>2813</v>
      </c>
      <c r="D8" s="24" t="s">
        <v>2814</v>
      </c>
    </row>
    <row r="9" customFormat="false" ht="15" hidden="false" customHeight="true" outlineLevel="0" collapsed="false">
      <c r="A9" s="20" t="n">
        <v>5</v>
      </c>
      <c r="B9" s="20" t="s">
        <v>1365</v>
      </c>
      <c r="C9" s="20" t="s">
        <v>2815</v>
      </c>
      <c r="D9" s="22" t="s">
        <v>2816</v>
      </c>
    </row>
    <row r="10" customFormat="false" ht="15" hidden="false" customHeight="true" outlineLevel="0" collapsed="false">
      <c r="A10" s="21" t="n">
        <v>6</v>
      </c>
      <c r="B10" s="21" t="s">
        <v>1377</v>
      </c>
      <c r="C10" s="21" t="s">
        <v>2817</v>
      </c>
      <c r="D10" s="24" t="s">
        <v>2818</v>
      </c>
    </row>
    <row r="11" customFormat="false" ht="15" hidden="false" customHeight="true" outlineLevel="0" collapsed="false">
      <c r="A11" s="20" t="n">
        <v>7</v>
      </c>
      <c r="B11" s="20" t="s">
        <v>1389</v>
      </c>
      <c r="C11" s="20" t="s">
        <v>2819</v>
      </c>
      <c r="D11" s="22" t="s">
        <v>2820</v>
      </c>
    </row>
    <row r="12" customFormat="false" ht="15" hidden="false" customHeight="true" outlineLevel="0" collapsed="false">
      <c r="A12" s="21" t="n">
        <v>8</v>
      </c>
      <c r="B12" s="21" t="s">
        <v>1401</v>
      </c>
      <c r="C12" s="21" t="s">
        <v>2821</v>
      </c>
      <c r="D12" s="24" t="s">
        <v>2822</v>
      </c>
    </row>
    <row r="13" customFormat="false" ht="15" hidden="false" customHeight="true" outlineLevel="0" collapsed="false">
      <c r="A13" s="20" t="n">
        <v>9</v>
      </c>
      <c r="B13" s="20" t="s">
        <v>1413</v>
      </c>
      <c r="C13" s="20" t="s">
        <v>2823</v>
      </c>
      <c r="D13" s="22" t="s">
        <v>2824</v>
      </c>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3"/>
    <col collapsed="false" customWidth="true" hidden="false" outlineLevel="0" max="2" min="2" style="1" width="104"/>
    <col collapsed="false" customWidth="true" hidden="false" outlineLevel="0" max="3" min="3" style="1" width="34"/>
    <col collapsed="false" customWidth="true" hidden="false" outlineLevel="0" max="4" min="4" style="1" width="20"/>
  </cols>
  <sheetData>
    <row r="1" customFormat="false" ht="30" hidden="false" customHeight="true" outlineLevel="0" collapsed="false">
      <c r="A1" s="8" t="s">
        <v>2825</v>
      </c>
      <c r="B1" s="8"/>
      <c r="C1" s="8"/>
      <c r="D1" s="8"/>
    </row>
    <row r="2" customFormat="false" ht="42" hidden="false" customHeight="true" outlineLevel="0" collapsed="false">
      <c r="A2" s="19" t="s">
        <v>2826</v>
      </c>
      <c r="B2" s="19"/>
      <c r="C2" s="19"/>
      <c r="D2" s="19"/>
    </row>
    <row r="4" customFormat="false" ht="33.75" hidden="false" customHeight="true" outlineLevel="0" collapsed="false">
      <c r="A4" s="10" t="s">
        <v>2827</v>
      </c>
      <c r="B4" s="10" t="s">
        <v>2828</v>
      </c>
      <c r="C4" s="10" t="s">
        <v>30</v>
      </c>
    </row>
    <row r="5" customFormat="false" ht="15" hidden="false" customHeight="true" outlineLevel="0" collapsed="false">
      <c r="A5" s="20" t="s">
        <v>2829</v>
      </c>
      <c r="B5" s="20" t="s">
        <v>2830</v>
      </c>
      <c r="C5" s="22" t="s">
        <v>2831</v>
      </c>
    </row>
    <row r="6" customFormat="false" ht="15" hidden="false" customHeight="true" outlineLevel="0" collapsed="false">
      <c r="A6" s="21" t="s">
        <v>2832</v>
      </c>
      <c r="B6" s="21" t="s">
        <v>2833</v>
      </c>
      <c r="C6" s="24" t="s">
        <v>2831</v>
      </c>
    </row>
    <row r="7" customFormat="false" ht="26.25" hidden="false" customHeight="true" outlineLevel="0" collapsed="false">
      <c r="A7" s="20" t="s">
        <v>2488</v>
      </c>
      <c r="B7" s="20" t="s">
        <v>2834</v>
      </c>
      <c r="C7" s="22" t="s">
        <v>2831</v>
      </c>
    </row>
    <row r="8" customFormat="false" ht="26.25" hidden="false" customHeight="true" outlineLevel="0" collapsed="false">
      <c r="A8" s="21" t="s">
        <v>2835</v>
      </c>
      <c r="B8" s="21" t="s">
        <v>2836</v>
      </c>
      <c r="C8" s="24" t="s">
        <v>2837</v>
      </c>
    </row>
    <row r="9" customFormat="false" ht="26.25" hidden="false" customHeight="true" outlineLevel="0" collapsed="false">
      <c r="A9" s="20" t="s">
        <v>2615</v>
      </c>
      <c r="B9" s="20" t="s">
        <v>2838</v>
      </c>
      <c r="C9" s="22" t="s">
        <v>2839</v>
      </c>
    </row>
    <row r="10" customFormat="false" ht="26.25" hidden="false" customHeight="true" outlineLevel="0" collapsed="false">
      <c r="A10" s="21" t="s">
        <v>2840</v>
      </c>
      <c r="B10" s="21" t="s">
        <v>2841</v>
      </c>
      <c r="C10" s="24" t="s">
        <v>2831</v>
      </c>
    </row>
    <row r="11" customFormat="false" ht="26.25" hidden="false" customHeight="true" outlineLevel="0" collapsed="false">
      <c r="A11" s="20" t="s">
        <v>2842</v>
      </c>
      <c r="B11" s="20" t="s">
        <v>2843</v>
      </c>
      <c r="C11" s="22" t="s">
        <v>2844</v>
      </c>
    </row>
    <row r="12" customFormat="false" ht="26.25" hidden="false" customHeight="true" outlineLevel="0" collapsed="false">
      <c r="A12" s="21" t="s">
        <v>2845</v>
      </c>
      <c r="B12" s="21" t="s">
        <v>2846</v>
      </c>
      <c r="C12" s="24" t="s">
        <v>2831</v>
      </c>
    </row>
    <row r="13" customFormat="false" ht="48" hidden="false" customHeight="true" outlineLevel="0" collapsed="false">
      <c r="A13" s="26" t="s">
        <v>2847</v>
      </c>
      <c r="B13" s="26" t="s">
        <v>2848</v>
      </c>
      <c r="C13" s="26" t="s">
        <v>2831</v>
      </c>
      <c r="D13" s="26"/>
    </row>
    <row r="14" customFormat="false" ht="48" hidden="false" customHeight="true" outlineLevel="0" collapsed="false">
      <c r="A14" s="26" t="s">
        <v>2849</v>
      </c>
      <c r="B14" s="26" t="s">
        <v>2850</v>
      </c>
      <c r="C14" s="26" t="s">
        <v>2831</v>
      </c>
      <c r="D14" s="26"/>
    </row>
    <row r="15" customFormat="false" ht="48" hidden="false" customHeight="true" outlineLevel="0" collapsed="false">
      <c r="A15" s="26" t="s">
        <v>2851</v>
      </c>
      <c r="B15" s="26" t="s">
        <v>2852</v>
      </c>
      <c r="C15" s="26" t="s">
        <v>2853</v>
      </c>
      <c r="D15" s="26"/>
    </row>
    <row r="16" customFormat="false" ht="48" hidden="false" customHeight="true" outlineLevel="0" collapsed="false">
      <c r="A16" s="26" t="s">
        <v>2854</v>
      </c>
      <c r="B16" s="26" t="s">
        <v>2855</v>
      </c>
      <c r="C16" s="26" t="s">
        <v>2831</v>
      </c>
      <c r="D16" s="26"/>
    </row>
    <row r="17" customFormat="false" ht="48" hidden="false" customHeight="true" outlineLevel="0" collapsed="false">
      <c r="A17" s="26" t="s">
        <v>2856</v>
      </c>
      <c r="B17" s="26" t="s">
        <v>2857</v>
      </c>
      <c r="C17" s="26" t="s">
        <v>2831</v>
      </c>
      <c r="D17" s="26"/>
    </row>
    <row r="18" customFormat="false" ht="48" hidden="false" customHeight="true" outlineLevel="0" collapsed="false">
      <c r="A18" s="26" t="s">
        <v>2858</v>
      </c>
      <c r="B18" s="26" t="s">
        <v>2859</v>
      </c>
      <c r="C18" s="26" t="s">
        <v>2831</v>
      </c>
      <c r="D18" s="26"/>
    </row>
    <row r="19" customFormat="false" ht="48" hidden="false" customHeight="true" outlineLevel="0" collapsed="false">
      <c r="A19" s="26" t="s">
        <v>2860</v>
      </c>
      <c r="B19" s="26" t="s">
        <v>2861</v>
      </c>
      <c r="C19" s="26" t="s">
        <v>2831</v>
      </c>
      <c r="D19" s="26"/>
    </row>
    <row r="20" customFormat="false" ht="48" hidden="false" customHeight="true" outlineLevel="0" collapsed="false">
      <c r="A20" s="26" t="s">
        <v>2862</v>
      </c>
      <c r="B20" s="26" t="s">
        <v>2863</v>
      </c>
      <c r="C20" s="26" t="s">
        <v>2864</v>
      </c>
      <c r="D20" s="26"/>
    </row>
    <row r="21" customFormat="false" ht="48" hidden="false" customHeight="true" outlineLevel="0" collapsed="false">
      <c r="A21" s="26" t="s">
        <v>2865</v>
      </c>
      <c r="B21" s="26" t="s">
        <v>2866</v>
      </c>
      <c r="C21" s="26" t="s">
        <v>2831</v>
      </c>
      <c r="D21" s="26"/>
    </row>
    <row r="22" customFormat="false" ht="48" hidden="false" customHeight="true" outlineLevel="0" collapsed="false">
      <c r="A22" s="26" t="s">
        <v>2867</v>
      </c>
      <c r="B22" s="26" t="s">
        <v>2868</v>
      </c>
      <c r="C22" s="26" t="s">
        <v>2831</v>
      </c>
      <c r="D22" s="26"/>
    </row>
    <row r="23" customFormat="false" ht="48" hidden="false" customHeight="true" outlineLevel="0" collapsed="false">
      <c r="A23" s="26" t="s">
        <v>2869</v>
      </c>
      <c r="B23" s="26" t="s">
        <v>2870</v>
      </c>
      <c r="C23" s="26" t="s">
        <v>2831</v>
      </c>
      <c r="D23" s="26"/>
    </row>
    <row r="24" customFormat="false" ht="48" hidden="false" customHeight="true" outlineLevel="0" collapsed="false">
      <c r="A24" s="26" t="s">
        <v>2871</v>
      </c>
      <c r="B24" s="26" t="s">
        <v>2872</v>
      </c>
      <c r="C24" s="26" t="s">
        <v>2873</v>
      </c>
      <c r="D24" s="26"/>
    </row>
    <row r="25" customFormat="false" ht="48" hidden="false" customHeight="true" outlineLevel="0" collapsed="false">
      <c r="A25" s="26" t="s">
        <v>2874</v>
      </c>
      <c r="B25" s="26" t="s">
        <v>2875</v>
      </c>
      <c r="C25" s="26" t="s">
        <v>2831</v>
      </c>
      <c r="D25" s="26"/>
    </row>
    <row r="26" customFormat="false" ht="48" hidden="false" customHeight="true" outlineLevel="0" collapsed="false">
      <c r="A26" s="26" t="s">
        <v>2876</v>
      </c>
      <c r="B26" s="26" t="s">
        <v>2877</v>
      </c>
      <c r="C26" s="26" t="s">
        <v>2878</v>
      </c>
      <c r="D26" s="26"/>
    </row>
    <row r="27" customFormat="false" ht="48" hidden="false" customHeight="true" outlineLevel="0" collapsed="false">
      <c r="A27" s="26" t="s">
        <v>2879</v>
      </c>
      <c r="B27" s="26" t="s">
        <v>2880</v>
      </c>
      <c r="C27" s="26" t="s">
        <v>2831</v>
      </c>
      <c r="D27" s="26"/>
    </row>
    <row r="28" customFormat="false" ht="48" hidden="false" customHeight="true" outlineLevel="0" collapsed="false">
      <c r="A28" s="26" t="s">
        <v>2881</v>
      </c>
      <c r="B28" s="26" t="s">
        <v>2882</v>
      </c>
      <c r="C28" s="26" t="s">
        <v>2831</v>
      </c>
      <c r="D28" s="26"/>
    </row>
    <row r="29" customFormat="false" ht="48" hidden="false" customHeight="true" outlineLevel="0" collapsed="false">
      <c r="A29" s="26" t="s">
        <v>2883</v>
      </c>
      <c r="B29" s="26" t="s">
        <v>2884</v>
      </c>
      <c r="C29" s="26" t="s">
        <v>2831</v>
      </c>
      <c r="D29" s="26"/>
    </row>
    <row r="30" customFormat="false" ht="48" hidden="false" customHeight="true" outlineLevel="0" collapsed="false">
      <c r="A30" s="26" t="s">
        <v>2885</v>
      </c>
      <c r="B30" s="26" t="s">
        <v>2886</v>
      </c>
      <c r="C30" s="26" t="s">
        <v>2831</v>
      </c>
      <c r="D30" s="26"/>
    </row>
    <row r="31" customFormat="false" ht="48" hidden="false" customHeight="true" outlineLevel="0" collapsed="false">
      <c r="A31" s="26" t="s">
        <v>2887</v>
      </c>
      <c r="B31" s="26" t="s">
        <v>2888</v>
      </c>
      <c r="C31" s="26" t="s">
        <v>2889</v>
      </c>
      <c r="D31" s="26"/>
    </row>
    <row r="32" customFormat="false" ht="48" hidden="false" customHeight="true" outlineLevel="0" collapsed="false">
      <c r="A32" s="26" t="s">
        <v>2890</v>
      </c>
      <c r="B32" s="26" t="s">
        <v>2891</v>
      </c>
      <c r="C32" s="26" t="s">
        <v>2831</v>
      </c>
      <c r="D32" s="26"/>
    </row>
    <row r="33" customFormat="false" ht="48" hidden="false" customHeight="true" outlineLevel="0" collapsed="false">
      <c r="A33" s="26" t="s">
        <v>2892</v>
      </c>
      <c r="B33" s="26" t="s">
        <v>2893</v>
      </c>
      <c r="C33" s="26" t="s">
        <v>2831</v>
      </c>
      <c r="D33" s="26"/>
    </row>
    <row r="34" customFormat="false" ht="48" hidden="false" customHeight="true" outlineLevel="0" collapsed="false">
      <c r="A34" s="26" t="s">
        <v>2894</v>
      </c>
      <c r="B34" s="26" t="s">
        <v>2895</v>
      </c>
      <c r="C34" s="26" t="s">
        <v>2831</v>
      </c>
      <c r="D34" s="26"/>
    </row>
    <row r="35" customFormat="false" ht="48" hidden="false" customHeight="true" outlineLevel="0" collapsed="false">
      <c r="A35" s="26" t="s">
        <v>2896</v>
      </c>
      <c r="B35" s="26" t="s">
        <v>2897</v>
      </c>
      <c r="C35" s="26" t="s">
        <v>2898</v>
      </c>
      <c r="D35" s="26"/>
    </row>
    <row r="36" customFormat="false" ht="48" hidden="false" customHeight="true" outlineLevel="0" collapsed="false">
      <c r="A36" s="26" t="s">
        <v>2899</v>
      </c>
      <c r="B36" s="26" t="s">
        <v>2900</v>
      </c>
      <c r="C36" s="26" t="s">
        <v>2831</v>
      </c>
      <c r="D36" s="26"/>
    </row>
    <row r="37" customFormat="false" ht="48" hidden="false" customHeight="true" outlineLevel="0" collapsed="false">
      <c r="A37" s="26" t="s">
        <v>2901</v>
      </c>
      <c r="B37" s="26" t="s">
        <v>2902</v>
      </c>
      <c r="C37" s="26" t="s">
        <v>2903</v>
      </c>
      <c r="D37" s="26"/>
    </row>
    <row r="38" customFormat="false" ht="48" hidden="false" customHeight="true" outlineLevel="0" collapsed="false">
      <c r="A38" s="26" t="s">
        <v>2904</v>
      </c>
      <c r="B38" s="26" t="s">
        <v>2905</v>
      </c>
      <c r="C38" s="26" t="s">
        <v>2831</v>
      </c>
      <c r="D38" s="26"/>
    </row>
    <row r="39" customFormat="false" ht="48" hidden="false" customHeight="true" outlineLevel="0" collapsed="false">
      <c r="A39" s="26" t="s">
        <v>2906</v>
      </c>
      <c r="B39" s="26" t="s">
        <v>2907</v>
      </c>
      <c r="C39" s="26" t="s">
        <v>2831</v>
      </c>
      <c r="D39" s="26"/>
    </row>
    <row r="40" customFormat="false" ht="48" hidden="false" customHeight="true" outlineLevel="0" collapsed="false">
      <c r="A40" s="26" t="s">
        <v>2908</v>
      </c>
      <c r="B40" s="26" t="s">
        <v>2909</v>
      </c>
      <c r="C40" s="26" t="s">
        <v>2831</v>
      </c>
      <c r="D40" s="26"/>
    </row>
    <row r="41" customFormat="false" ht="48" hidden="false" customHeight="true" outlineLevel="0" collapsed="false">
      <c r="A41" s="26" t="s">
        <v>2910</v>
      </c>
      <c r="B41" s="26" t="s">
        <v>2911</v>
      </c>
      <c r="C41" s="26" t="s">
        <v>2912</v>
      </c>
      <c r="D41" s="26"/>
    </row>
    <row r="42" customFormat="false" ht="48" hidden="false" customHeight="true" outlineLevel="0" collapsed="false">
      <c r="A42" s="26" t="s">
        <v>2913</v>
      </c>
      <c r="B42" s="26" t="s">
        <v>2914</v>
      </c>
      <c r="C42" s="26" t="s">
        <v>2912</v>
      </c>
      <c r="D42" s="26"/>
    </row>
    <row r="43" customFormat="false" ht="48" hidden="false" customHeight="true" outlineLevel="0" collapsed="false">
      <c r="A43" s="26" t="s">
        <v>2915</v>
      </c>
      <c r="B43" s="26" t="s">
        <v>2916</v>
      </c>
      <c r="C43" s="26" t="s">
        <v>2831</v>
      </c>
      <c r="D43" s="26"/>
    </row>
    <row r="44" customFormat="false" ht="48" hidden="false" customHeight="true" outlineLevel="0" collapsed="false">
      <c r="A44" s="26" t="s">
        <v>2917</v>
      </c>
      <c r="B44" s="26" t="s">
        <v>2918</v>
      </c>
      <c r="C44" s="26" t="s">
        <v>2919</v>
      </c>
      <c r="D44" s="26"/>
    </row>
    <row r="45" customFormat="false" ht="48" hidden="false" customHeight="true" outlineLevel="0" collapsed="false">
      <c r="A45" s="26" t="s">
        <v>2920</v>
      </c>
      <c r="B45" s="26" t="s">
        <v>2921</v>
      </c>
      <c r="C45" s="26" t="s">
        <v>2831</v>
      </c>
      <c r="D45" s="26"/>
    </row>
    <row r="46" customFormat="false" ht="48" hidden="false" customHeight="true" outlineLevel="0" collapsed="false">
      <c r="A46" s="26" t="s">
        <v>2922</v>
      </c>
      <c r="B46" s="26" t="s">
        <v>2923</v>
      </c>
      <c r="C46" s="26" t="s">
        <v>2924</v>
      </c>
      <c r="D46" s="26"/>
    </row>
    <row r="47" customFormat="false" ht="48" hidden="false" customHeight="true" outlineLevel="0" collapsed="false">
      <c r="A47" s="26" t="s">
        <v>2925</v>
      </c>
      <c r="B47" s="26" t="s">
        <v>2926</v>
      </c>
      <c r="C47" s="26" t="s">
        <v>2924</v>
      </c>
      <c r="D47" s="26"/>
    </row>
    <row r="48" customFormat="false" ht="48" hidden="false" customHeight="true" outlineLevel="0" collapsed="false">
      <c r="A48" s="26" t="s">
        <v>2927</v>
      </c>
      <c r="B48" s="26" t="s">
        <v>2928</v>
      </c>
      <c r="C48" s="26" t="s">
        <v>2924</v>
      </c>
      <c r="D48" s="26"/>
    </row>
    <row r="49" customFormat="false" ht="26.25" hidden="false" customHeight="true" outlineLevel="0" collapsed="false">
      <c r="A49" s="26" t="s">
        <v>2929</v>
      </c>
      <c r="B49" s="26" t="s">
        <v>2930</v>
      </c>
      <c r="C49" s="26" t="s">
        <v>2931</v>
      </c>
    </row>
    <row r="50" customFormat="false" ht="26.25" hidden="false" customHeight="true" outlineLevel="0" collapsed="false">
      <c r="A50" s="26" t="s">
        <v>2932</v>
      </c>
      <c r="B50" s="26" t="s">
        <v>2933</v>
      </c>
      <c r="C50" s="26" t="s">
        <v>2931</v>
      </c>
    </row>
    <row r="51" customFormat="false" ht="26.25" hidden="false" customHeight="true" outlineLevel="0" collapsed="false">
      <c r="A51" s="26" t="s">
        <v>2934</v>
      </c>
      <c r="B51" s="26" t="s">
        <v>2935</v>
      </c>
      <c r="C51" s="26" t="s">
        <v>2931</v>
      </c>
    </row>
    <row r="52" customFormat="false" ht="26.25" hidden="false" customHeight="true" outlineLevel="0" collapsed="false">
      <c r="A52" s="26" t="s">
        <v>2936</v>
      </c>
      <c r="B52" s="26" t="s">
        <v>2937</v>
      </c>
      <c r="C52" s="26" t="s">
        <v>2931</v>
      </c>
    </row>
    <row r="53" customFormat="false" ht="26.25" hidden="false" customHeight="true" outlineLevel="0" collapsed="false">
      <c r="A53" s="26" t="s">
        <v>2938</v>
      </c>
      <c r="B53" s="26" t="s">
        <v>2939</v>
      </c>
      <c r="C53" s="26" t="s">
        <v>2931</v>
      </c>
    </row>
    <row r="54" customFormat="false" ht="26.25" hidden="false" customHeight="true" outlineLevel="0" collapsed="false">
      <c r="A54" s="26" t="s">
        <v>2940</v>
      </c>
      <c r="B54" s="26" t="s">
        <v>2941</v>
      </c>
      <c r="C54" s="26" t="s">
        <v>2942</v>
      </c>
    </row>
    <row r="55" customFormat="false" ht="26.25" hidden="false" customHeight="true" outlineLevel="0" collapsed="false">
      <c r="A55" s="26" t="s">
        <v>2943</v>
      </c>
      <c r="B55" s="26" t="s">
        <v>2944</v>
      </c>
      <c r="C55" s="26" t="s">
        <v>2945</v>
      </c>
    </row>
    <row r="56" customFormat="false" ht="51.75" hidden="false" customHeight="true" outlineLevel="0" collapsed="false">
      <c r="A56" s="26" t="s">
        <v>2946</v>
      </c>
      <c r="B56" s="26" t="s">
        <v>2947</v>
      </c>
      <c r="C56" s="26" t="s">
        <v>2931</v>
      </c>
    </row>
    <row r="57" customFormat="false" ht="15" hidden="false" customHeight="true" outlineLevel="0" collapsed="false">
      <c r="A57" s="1" t="s">
        <v>2948</v>
      </c>
      <c r="B57" s="1" t="s">
        <v>2949</v>
      </c>
      <c r="C57" s="1" t="s">
        <v>2950</v>
      </c>
    </row>
    <row r="58" customFormat="false" ht="15" hidden="false" customHeight="true" outlineLevel="0" collapsed="false">
      <c r="A58" s="1" t="s">
        <v>2951</v>
      </c>
      <c r="B58" s="1" t="s">
        <v>2952</v>
      </c>
      <c r="C58" s="1" t="s">
        <v>2950</v>
      </c>
    </row>
    <row r="59" customFormat="false" ht="15" hidden="false" customHeight="true" outlineLevel="0" collapsed="false">
      <c r="A59" s="1" t="s">
        <v>2953</v>
      </c>
      <c r="B59" s="1" t="s">
        <v>2954</v>
      </c>
      <c r="C59" s="1" t="s">
        <v>2950</v>
      </c>
    </row>
    <row r="60" customFormat="false" ht="15" hidden="false" customHeight="true" outlineLevel="0" collapsed="false">
      <c r="A60" s="1" t="s">
        <v>2955</v>
      </c>
      <c r="B60" s="1" t="s">
        <v>2956</v>
      </c>
      <c r="C60" s="1" t="s">
        <v>2950</v>
      </c>
    </row>
    <row r="61" customFormat="false" ht="15" hidden="false" customHeight="true" outlineLevel="0" collapsed="false">
      <c r="A61" s="1" t="s">
        <v>2957</v>
      </c>
      <c r="B61" s="1" t="s">
        <v>2958</v>
      </c>
      <c r="C61" s="1" t="s">
        <v>2959</v>
      </c>
    </row>
    <row r="62" customFormat="false" ht="15" hidden="false" customHeight="true" outlineLevel="0" collapsed="false">
      <c r="A62" s="1" t="s">
        <v>2960</v>
      </c>
      <c r="B62" s="1" t="s">
        <v>2961</v>
      </c>
      <c r="C62" s="1" t="s">
        <v>2959</v>
      </c>
    </row>
    <row r="63" customFormat="false" ht="15" hidden="false" customHeight="true" outlineLevel="0" collapsed="false">
      <c r="A63" s="1" t="s">
        <v>2962</v>
      </c>
      <c r="B63" s="1" t="s">
        <v>2963</v>
      </c>
      <c r="C63" s="1" t="s">
        <v>2964</v>
      </c>
    </row>
    <row r="64" customFormat="false" ht="15" hidden="false" customHeight="true" outlineLevel="0" collapsed="false">
      <c r="A64" s="1" t="s">
        <v>2965</v>
      </c>
      <c r="B64" s="1" t="s">
        <v>2966</v>
      </c>
      <c r="C64" s="1" t="s">
        <v>2967</v>
      </c>
    </row>
    <row r="65" customFormat="false" ht="15" hidden="false" customHeight="true" outlineLevel="0" collapsed="false">
      <c r="A65" s="1" t="s">
        <v>2968</v>
      </c>
      <c r="B65" s="1" t="s">
        <v>2969</v>
      </c>
      <c r="C65" s="1" t="s">
        <v>2967</v>
      </c>
    </row>
    <row r="66" customFormat="false" ht="15" hidden="false" customHeight="true" outlineLevel="0" collapsed="false">
      <c r="A66" s="1" t="s">
        <v>2970</v>
      </c>
      <c r="B66" s="1" t="s">
        <v>2971</v>
      </c>
      <c r="C66" s="1" t="s">
        <v>2972</v>
      </c>
    </row>
    <row r="67" customFormat="false" ht="15" hidden="false" customHeight="true" outlineLevel="0" collapsed="false">
      <c r="A67" s="1" t="s">
        <v>2973</v>
      </c>
      <c r="B67" s="1" t="s">
        <v>2974</v>
      </c>
      <c r="C67" s="1" t="s">
        <v>2972</v>
      </c>
    </row>
    <row r="68" customFormat="false" ht="15" hidden="false" customHeight="true" outlineLevel="0" collapsed="false">
      <c r="A68" s="1" t="s">
        <v>2975</v>
      </c>
      <c r="B68" s="1" t="s">
        <v>2976</v>
      </c>
      <c r="C68" s="1" t="s">
        <v>2972</v>
      </c>
    </row>
    <row r="69" customFormat="false" ht="15" hidden="false" customHeight="true" outlineLevel="0" collapsed="false">
      <c r="A69" s="1" t="s">
        <v>2977</v>
      </c>
      <c r="B69" s="1" t="s">
        <v>2978</v>
      </c>
      <c r="C69" s="1" t="s">
        <v>2972</v>
      </c>
    </row>
    <row r="70" customFormat="false" ht="15" hidden="false" customHeight="true" outlineLevel="0" collapsed="false">
      <c r="A70" s="1" t="s">
        <v>2979</v>
      </c>
      <c r="B70" s="1" t="s">
        <v>2980</v>
      </c>
      <c r="C70" s="1" t="s">
        <v>2981</v>
      </c>
    </row>
    <row r="71" customFormat="false" ht="15" hidden="false" customHeight="true" outlineLevel="0" collapsed="false">
      <c r="A71" s="1" t="s">
        <v>2982</v>
      </c>
      <c r="B71" s="1" t="s">
        <v>2983</v>
      </c>
      <c r="C71" s="1" t="s">
        <v>2984</v>
      </c>
    </row>
    <row r="72" customFormat="false" ht="15" hidden="false" customHeight="true" outlineLevel="0" collapsed="false">
      <c r="A72" s="1" t="s">
        <v>2985</v>
      </c>
      <c r="B72" s="1" t="s">
        <v>2986</v>
      </c>
      <c r="C72" s="1" t="s">
        <v>2984</v>
      </c>
    </row>
    <row r="73" customFormat="false" ht="15" hidden="false" customHeight="true" outlineLevel="0" collapsed="false">
      <c r="A73" s="1" t="s">
        <v>2987</v>
      </c>
      <c r="B73" s="1" t="s">
        <v>2988</v>
      </c>
      <c r="C73" s="1" t="s">
        <v>2989</v>
      </c>
    </row>
    <row r="74" customFormat="false" ht="15" hidden="false" customHeight="true" outlineLevel="0" collapsed="false">
      <c r="A74" s="1" t="s">
        <v>2990</v>
      </c>
      <c r="B74" s="1" t="s">
        <v>2991</v>
      </c>
      <c r="C74" s="1" t="s">
        <v>2989</v>
      </c>
    </row>
    <row r="75" customFormat="false" ht="15" hidden="false" customHeight="true" outlineLevel="0" collapsed="false">
      <c r="A75" s="1" t="s">
        <v>2992</v>
      </c>
      <c r="B75" s="1" t="s">
        <v>2993</v>
      </c>
      <c r="C75" s="1" t="s">
        <v>2989</v>
      </c>
    </row>
    <row r="76" customFormat="false" ht="15" hidden="false" customHeight="true" outlineLevel="0" collapsed="false">
      <c r="A76" s="1" t="s">
        <v>2994</v>
      </c>
      <c r="B76" s="1" t="s">
        <v>2995</v>
      </c>
      <c r="C76" s="1" t="s">
        <v>2989</v>
      </c>
    </row>
    <row r="77" customFormat="false" ht="15" hidden="false" customHeight="true" outlineLevel="0" collapsed="false">
      <c r="A77" s="1" t="s">
        <v>2996</v>
      </c>
      <c r="B77" s="1" t="s">
        <v>2997</v>
      </c>
      <c r="C77" s="1" t="s">
        <v>2989</v>
      </c>
    </row>
    <row r="78" customFormat="false" ht="15" hidden="false" customHeight="true" outlineLevel="0" collapsed="false">
      <c r="A78" s="1" t="s">
        <v>2998</v>
      </c>
      <c r="B78" s="1" t="s">
        <v>2999</v>
      </c>
      <c r="C78" s="1" t="s">
        <v>2989</v>
      </c>
    </row>
    <row r="79" customFormat="false" ht="15" hidden="false" customHeight="true" outlineLevel="0" collapsed="false">
      <c r="A79" s="1" t="s">
        <v>3000</v>
      </c>
      <c r="B79" s="1" t="s">
        <v>3001</v>
      </c>
      <c r="C79" s="1" t="s">
        <v>2989</v>
      </c>
    </row>
    <row r="80" customFormat="false" ht="15" hidden="false" customHeight="true" outlineLevel="0" collapsed="false">
      <c r="A80" s="1" t="s">
        <v>3002</v>
      </c>
      <c r="B80" s="1" t="s">
        <v>3003</v>
      </c>
      <c r="C80" s="1" t="s">
        <v>2989</v>
      </c>
    </row>
    <row r="81" customFormat="false" ht="15" hidden="false" customHeight="true" outlineLevel="0" collapsed="false">
      <c r="A81" s="1" t="s">
        <v>3004</v>
      </c>
      <c r="B81" s="1" t="s">
        <v>3005</v>
      </c>
      <c r="C81" s="1" t="s">
        <v>2989</v>
      </c>
    </row>
    <row r="82" customFormat="false" ht="15" hidden="false" customHeight="true" outlineLevel="0" collapsed="false">
      <c r="A82" s="1" t="s">
        <v>3006</v>
      </c>
      <c r="B82" s="1" t="s">
        <v>3007</v>
      </c>
      <c r="C82" s="1" t="s">
        <v>3008</v>
      </c>
    </row>
    <row r="83" customFormat="false" ht="15" hidden="false" customHeight="true" outlineLevel="0" collapsed="false">
      <c r="A83" s="1" t="s">
        <v>3009</v>
      </c>
      <c r="B83" s="1" t="s">
        <v>3010</v>
      </c>
      <c r="C83" s="1" t="s">
        <v>3008</v>
      </c>
    </row>
    <row r="84" customFormat="false" ht="15" hidden="false" customHeight="true" outlineLevel="0" collapsed="false">
      <c r="A84" s="1" t="s">
        <v>3011</v>
      </c>
      <c r="B84" s="1" t="s">
        <v>3012</v>
      </c>
      <c r="C84" s="1" t="s">
        <v>3008</v>
      </c>
    </row>
    <row r="85" customFormat="false" ht="15" hidden="false" customHeight="true" outlineLevel="0" collapsed="false">
      <c r="A85" s="1" t="s">
        <v>3013</v>
      </c>
      <c r="B85" s="1" t="s">
        <v>3014</v>
      </c>
      <c r="C85" s="1" t="s">
        <v>3008</v>
      </c>
    </row>
    <row r="86" customFormat="false" ht="15" hidden="false" customHeight="true" outlineLevel="0" collapsed="false">
      <c r="A86" s="1" t="s">
        <v>3015</v>
      </c>
      <c r="B86" s="1" t="s">
        <v>3016</v>
      </c>
      <c r="C86" s="1" t="s">
        <v>3008</v>
      </c>
    </row>
    <row r="87" customFormat="false" ht="15" hidden="false" customHeight="true" outlineLevel="0" collapsed="false">
      <c r="A87" s="1" t="s">
        <v>3017</v>
      </c>
      <c r="B87" s="1" t="s">
        <v>3018</v>
      </c>
      <c r="C87" s="1" t="s">
        <v>3008</v>
      </c>
    </row>
    <row r="88" customFormat="false" ht="15" hidden="false" customHeight="true" outlineLevel="0" collapsed="false">
      <c r="A88" s="1" t="s">
        <v>3019</v>
      </c>
      <c r="B88" s="1" t="s">
        <v>3020</v>
      </c>
      <c r="C88" s="1" t="s">
        <v>3008</v>
      </c>
    </row>
    <row r="89" customFormat="false" ht="15" hidden="false" customHeight="true" outlineLevel="0" collapsed="false">
      <c r="A89" s="1" t="s">
        <v>3021</v>
      </c>
      <c r="B89" s="1" t="s">
        <v>3022</v>
      </c>
      <c r="C89" s="1" t="s">
        <v>3008</v>
      </c>
    </row>
    <row r="90" customFormat="false" ht="15" hidden="false" customHeight="true" outlineLevel="0" collapsed="false">
      <c r="A90" s="1" t="s">
        <v>3023</v>
      </c>
      <c r="B90" s="1" t="s">
        <v>3024</v>
      </c>
      <c r="C90" s="1" t="s">
        <v>3008</v>
      </c>
    </row>
    <row r="91" customFormat="false" ht="15" hidden="false" customHeight="true" outlineLevel="0" collapsed="false">
      <c r="A91" s="1" t="s">
        <v>3025</v>
      </c>
      <c r="B91" s="1" t="s">
        <v>3026</v>
      </c>
      <c r="C91" s="1" t="s">
        <v>3027</v>
      </c>
    </row>
    <row r="92" customFormat="false" ht="15" hidden="false" customHeight="true" outlineLevel="0" collapsed="false">
      <c r="A92" s="1" t="s">
        <v>3028</v>
      </c>
      <c r="B92" s="1" t="s">
        <v>3029</v>
      </c>
      <c r="C92" s="1" t="s">
        <v>3027</v>
      </c>
    </row>
    <row r="93" customFormat="false" ht="15" hidden="false" customHeight="true" outlineLevel="0" collapsed="false">
      <c r="A93" s="1" t="s">
        <v>3030</v>
      </c>
      <c r="B93" s="1" t="s">
        <v>3031</v>
      </c>
      <c r="C93" s="1" t="s">
        <v>3027</v>
      </c>
    </row>
    <row r="94" customFormat="false" ht="15" hidden="false" customHeight="true" outlineLevel="0" collapsed="false">
      <c r="A94" s="1" t="s">
        <v>3032</v>
      </c>
      <c r="B94" s="1" t="s">
        <v>3033</v>
      </c>
      <c r="C94" s="1" t="s">
        <v>3027</v>
      </c>
    </row>
    <row r="95" customFormat="false" ht="15" hidden="false" customHeight="true" outlineLevel="0" collapsed="false">
      <c r="A95" s="1" t="s">
        <v>3034</v>
      </c>
      <c r="B95" s="1" t="s">
        <v>3035</v>
      </c>
      <c r="C95" s="1" t="s">
        <v>3036</v>
      </c>
    </row>
    <row r="96" customFormat="false" ht="15" hidden="false" customHeight="true" outlineLevel="0" collapsed="false">
      <c r="A96" s="1" t="s">
        <v>3037</v>
      </c>
      <c r="B96" s="1" t="s">
        <v>3038</v>
      </c>
      <c r="C96" s="1" t="s">
        <v>3027</v>
      </c>
    </row>
    <row r="97" customFormat="false" ht="15" hidden="false" customHeight="true" outlineLevel="0" collapsed="false">
      <c r="A97" s="1" t="s">
        <v>3039</v>
      </c>
      <c r="B97" s="1" t="s">
        <v>3040</v>
      </c>
      <c r="C97" s="1" t="s">
        <v>3027</v>
      </c>
    </row>
    <row r="98" customFormat="false" ht="15" hidden="false" customHeight="true" outlineLevel="0" collapsed="false">
      <c r="A98" s="1" t="s">
        <v>3041</v>
      </c>
      <c r="B98" s="1" t="s">
        <v>3042</v>
      </c>
      <c r="C98" s="1" t="s">
        <v>3043</v>
      </c>
    </row>
    <row r="99" customFormat="false" ht="15" hidden="false" customHeight="true" outlineLevel="0" collapsed="false">
      <c r="A99" s="1" t="s">
        <v>3044</v>
      </c>
      <c r="B99" s="1" t="s">
        <v>3045</v>
      </c>
      <c r="C99" s="1" t="s">
        <v>3043</v>
      </c>
    </row>
    <row r="100" customFormat="false" ht="15" hidden="false" customHeight="true" outlineLevel="0" collapsed="false">
      <c r="A100" s="1" t="s">
        <v>3046</v>
      </c>
      <c r="B100" s="1" t="s">
        <v>3047</v>
      </c>
      <c r="C100" s="1" t="s">
        <v>3048</v>
      </c>
    </row>
    <row r="101" customFormat="false" ht="15" hidden="false" customHeight="true" outlineLevel="0" collapsed="false">
      <c r="A101" s="1" t="s">
        <v>3049</v>
      </c>
      <c r="B101" s="1" t="s">
        <v>3050</v>
      </c>
      <c r="C101" s="1" t="s">
        <v>3048</v>
      </c>
    </row>
    <row r="102" customFormat="false" ht="15" hidden="false" customHeight="true" outlineLevel="0" collapsed="false">
      <c r="A102" s="1" t="s">
        <v>3051</v>
      </c>
      <c r="B102" s="1" t="s">
        <v>3052</v>
      </c>
      <c r="C102" s="1" t="s">
        <v>3048</v>
      </c>
    </row>
    <row r="103" customFormat="false" ht="15" hidden="false" customHeight="true" outlineLevel="0" collapsed="false">
      <c r="A103" s="1" t="s">
        <v>3053</v>
      </c>
      <c r="B103" s="1" t="s">
        <v>3054</v>
      </c>
      <c r="C103" s="1" t="s">
        <v>3055</v>
      </c>
    </row>
    <row r="104" customFormat="false" ht="15" hidden="false" customHeight="true" outlineLevel="0" collapsed="false">
      <c r="A104" s="1" t="s">
        <v>3056</v>
      </c>
      <c r="B104" s="1" t="s">
        <v>3057</v>
      </c>
      <c r="C104" s="1" t="s">
        <v>3058</v>
      </c>
    </row>
    <row r="105" customFormat="false" ht="15" hidden="false" customHeight="true" outlineLevel="0" collapsed="false">
      <c r="A105" s="1" t="s">
        <v>3059</v>
      </c>
      <c r="B105" s="1" t="s">
        <v>3060</v>
      </c>
      <c r="C105" s="1" t="s">
        <v>3061</v>
      </c>
    </row>
    <row r="106" customFormat="false" ht="15" hidden="false" customHeight="true" outlineLevel="0" collapsed="false">
      <c r="A106" s="1" t="s">
        <v>3062</v>
      </c>
      <c r="B106" s="1" t="s">
        <v>3063</v>
      </c>
      <c r="C106" s="1" t="s">
        <v>3061</v>
      </c>
    </row>
    <row r="107" customFormat="false" ht="15" hidden="false" customHeight="true" outlineLevel="0" collapsed="false">
      <c r="A107" s="1" t="s">
        <v>3064</v>
      </c>
      <c r="B107" s="1" t="s">
        <v>3065</v>
      </c>
      <c r="C107" s="1" t="s">
        <v>3061</v>
      </c>
    </row>
    <row r="108" customFormat="false" ht="15" hidden="false" customHeight="true" outlineLevel="0" collapsed="false">
      <c r="A108" s="1" t="s">
        <v>3066</v>
      </c>
      <c r="B108" s="1" t="s">
        <v>3067</v>
      </c>
      <c r="C108" s="1" t="s">
        <v>3061</v>
      </c>
    </row>
    <row r="109" customFormat="false" ht="15" hidden="false" customHeight="true" outlineLevel="0" collapsed="false">
      <c r="A109" s="1" t="s">
        <v>3068</v>
      </c>
      <c r="B109" s="1" t="s">
        <v>3069</v>
      </c>
      <c r="C109" s="1" t="s">
        <v>3061</v>
      </c>
    </row>
    <row r="110" customFormat="false" ht="15" hidden="false" customHeight="true" outlineLevel="0" collapsed="false">
      <c r="A110" s="1" t="s">
        <v>3070</v>
      </c>
      <c r="B110" s="1" t="s">
        <v>3071</v>
      </c>
      <c r="C110" s="1" t="s">
        <v>3061</v>
      </c>
    </row>
    <row r="111" customFormat="false" ht="15" hidden="false" customHeight="true" outlineLevel="0" collapsed="false">
      <c r="A111" s="1" t="s">
        <v>3072</v>
      </c>
      <c r="B111" s="1" t="s">
        <v>3073</v>
      </c>
      <c r="C111" s="1" t="s">
        <v>3061</v>
      </c>
    </row>
    <row r="112" customFormat="false" ht="15" hidden="false" customHeight="true" outlineLevel="0" collapsed="false">
      <c r="A112" s="1" t="s">
        <v>3074</v>
      </c>
      <c r="B112" s="1" t="s">
        <v>3075</v>
      </c>
      <c r="C112" s="1" t="s">
        <v>3061</v>
      </c>
    </row>
    <row r="113" customFormat="false" ht="15" hidden="false" customHeight="true" outlineLevel="0" collapsed="false">
      <c r="A113" s="1" t="s">
        <v>3076</v>
      </c>
      <c r="B113" s="1" t="s">
        <v>3077</v>
      </c>
      <c r="C113" s="1" t="s">
        <v>3078</v>
      </c>
    </row>
    <row r="114" customFormat="false" ht="15" hidden="false" customHeight="true" outlineLevel="0" collapsed="false">
      <c r="A114" s="1" t="s">
        <v>3079</v>
      </c>
      <c r="B114" s="1" t="s">
        <v>3080</v>
      </c>
      <c r="C114" s="1" t="s">
        <v>3078</v>
      </c>
    </row>
    <row r="115" customFormat="false" ht="15" hidden="false" customHeight="true" outlineLevel="0" collapsed="false">
      <c r="A115" s="1" t="s">
        <v>3081</v>
      </c>
      <c r="B115" s="1" t="s">
        <v>3082</v>
      </c>
      <c r="C115" s="1" t="s">
        <v>3083</v>
      </c>
    </row>
    <row r="116" customFormat="false" ht="15" hidden="false" customHeight="true" outlineLevel="0" collapsed="false">
      <c r="A116" s="1" t="s">
        <v>3084</v>
      </c>
      <c r="B116" s="1" t="s">
        <v>3085</v>
      </c>
      <c r="C116" s="1" t="s">
        <v>3086</v>
      </c>
    </row>
    <row r="117" customFormat="false" ht="15" hidden="false" customHeight="true" outlineLevel="0" collapsed="false">
      <c r="A117" s="1" t="s">
        <v>3087</v>
      </c>
      <c r="B117" s="1" t="s">
        <v>3088</v>
      </c>
      <c r="C117" s="1" t="s">
        <v>3089</v>
      </c>
    </row>
    <row r="118" customFormat="false" ht="15" hidden="false" customHeight="true" outlineLevel="0" collapsed="false">
      <c r="A118" s="1" t="s">
        <v>3090</v>
      </c>
      <c r="B118" s="1" t="s">
        <v>3091</v>
      </c>
      <c r="C118" s="1" t="s">
        <v>3083</v>
      </c>
    </row>
    <row r="119" customFormat="false" ht="15" hidden="false" customHeight="true" outlineLevel="0" collapsed="false">
      <c r="A119" s="1" t="s">
        <v>3092</v>
      </c>
      <c r="B119" s="1" t="s">
        <v>3093</v>
      </c>
      <c r="C119" s="1" t="s">
        <v>3078</v>
      </c>
    </row>
    <row r="120" customFormat="false" ht="15" hidden="false" customHeight="true" outlineLevel="0" collapsed="false">
      <c r="A120" s="1" t="s">
        <v>3094</v>
      </c>
      <c r="B120" s="1" t="s">
        <v>3095</v>
      </c>
      <c r="C120" s="1" t="s">
        <v>3078</v>
      </c>
    </row>
    <row r="121" customFormat="false" ht="15" hidden="false" customHeight="true" outlineLevel="0" collapsed="false">
      <c r="A121" s="1" t="s">
        <v>3096</v>
      </c>
      <c r="B121" s="1" t="s">
        <v>3097</v>
      </c>
      <c r="C121" s="1" t="s">
        <v>3078</v>
      </c>
    </row>
    <row r="122" customFormat="false" ht="15" hidden="false" customHeight="true" outlineLevel="0" collapsed="false">
      <c r="A122" s="1" t="s">
        <v>3098</v>
      </c>
      <c r="B122" s="1" t="s">
        <v>3099</v>
      </c>
      <c r="C122" s="1" t="s">
        <v>3078</v>
      </c>
    </row>
    <row r="123" customFormat="false" ht="15" hidden="false" customHeight="true" outlineLevel="0" collapsed="false">
      <c r="A123" s="1" t="s">
        <v>3100</v>
      </c>
      <c r="B123" s="1" t="s">
        <v>3101</v>
      </c>
      <c r="C123" s="1" t="s">
        <v>3102</v>
      </c>
    </row>
    <row r="124" customFormat="false" ht="15" hidden="false" customHeight="true" outlineLevel="0" collapsed="false">
      <c r="A124" s="1" t="s">
        <v>3103</v>
      </c>
      <c r="B124" s="1" t="s">
        <v>3104</v>
      </c>
      <c r="C124" s="1" t="s">
        <v>3105</v>
      </c>
    </row>
    <row r="125" customFormat="false" ht="15" hidden="false" customHeight="true" outlineLevel="0" collapsed="false">
      <c r="A125" s="1" t="s">
        <v>3106</v>
      </c>
      <c r="B125" s="1" t="s">
        <v>3107</v>
      </c>
      <c r="C125" s="1" t="s">
        <v>3083</v>
      </c>
    </row>
    <row r="126" customFormat="false" ht="15" hidden="false" customHeight="true" outlineLevel="0" collapsed="false">
      <c r="A126" s="1" t="s">
        <v>3108</v>
      </c>
      <c r="B126" s="1" t="s">
        <v>3109</v>
      </c>
      <c r="C126" s="1" t="s">
        <v>3110</v>
      </c>
    </row>
    <row r="127" customFormat="false" ht="15" hidden="false" customHeight="true" outlineLevel="0" collapsed="false">
      <c r="A127" s="1" t="s">
        <v>3111</v>
      </c>
      <c r="B127" s="1" t="s">
        <v>3112</v>
      </c>
      <c r="C127" s="1" t="s">
        <v>3078</v>
      </c>
    </row>
    <row r="128" customFormat="false" ht="15" hidden="false" customHeight="true" outlineLevel="0" collapsed="false">
      <c r="A128" s="1" t="s">
        <v>3113</v>
      </c>
      <c r="B128" s="1" t="s">
        <v>3114</v>
      </c>
      <c r="C128" s="1" t="s">
        <v>3078</v>
      </c>
    </row>
    <row r="129" customFormat="false" ht="15" hidden="false" customHeight="true" outlineLevel="0" collapsed="false">
      <c r="A129" s="1" t="s">
        <v>3115</v>
      </c>
      <c r="B129" s="1" t="s">
        <v>3116</v>
      </c>
      <c r="C129" s="1" t="s">
        <v>3078</v>
      </c>
    </row>
    <row r="130" customFormat="false" ht="15" hidden="false" customHeight="true" outlineLevel="0" collapsed="false">
      <c r="A130" s="1" t="s">
        <v>3117</v>
      </c>
      <c r="B130" s="1" t="s">
        <v>3118</v>
      </c>
      <c r="C130" s="1" t="s">
        <v>3078</v>
      </c>
    </row>
    <row r="131" customFormat="false" ht="15" hidden="false" customHeight="true" outlineLevel="0" collapsed="false">
      <c r="A131" s="1" t="s">
        <v>3119</v>
      </c>
      <c r="B131" s="1" t="s">
        <v>3120</v>
      </c>
      <c r="C131" s="1" t="s">
        <v>3121</v>
      </c>
    </row>
    <row r="132" customFormat="false" ht="15" hidden="false" customHeight="true" outlineLevel="0" collapsed="false">
      <c r="A132" s="1" t="s">
        <v>3122</v>
      </c>
      <c r="B132" s="1" t="s">
        <v>3123</v>
      </c>
      <c r="C132" s="1" t="s">
        <v>3078</v>
      </c>
    </row>
    <row r="133" customFormat="false" ht="15" hidden="false" customHeight="true" outlineLevel="0" collapsed="false">
      <c r="A133" s="1" t="s">
        <v>3124</v>
      </c>
      <c r="B133" s="1" t="s">
        <v>3125</v>
      </c>
      <c r="C133" s="1" t="s">
        <v>3078</v>
      </c>
    </row>
    <row r="134" customFormat="false" ht="15" hidden="false" customHeight="true" outlineLevel="0" collapsed="false">
      <c r="A134" s="1" t="s">
        <v>3126</v>
      </c>
      <c r="B134" s="1" t="s">
        <v>3127</v>
      </c>
      <c r="C134" s="1" t="s">
        <v>3078</v>
      </c>
    </row>
    <row r="135" customFormat="false" ht="15" hidden="false" customHeight="true" outlineLevel="0" collapsed="false">
      <c r="A135" s="1" t="s">
        <v>3128</v>
      </c>
      <c r="B135" s="1" t="s">
        <v>3129</v>
      </c>
      <c r="C135" s="1" t="s">
        <v>3130</v>
      </c>
    </row>
    <row r="136" customFormat="false" ht="15" hidden="false" customHeight="true" outlineLevel="0" collapsed="false">
      <c r="A136" s="1" t="s">
        <v>3131</v>
      </c>
      <c r="B136" s="1" t="s">
        <v>3132</v>
      </c>
      <c r="C136" s="1" t="s">
        <v>3078</v>
      </c>
    </row>
    <row r="137" customFormat="false" ht="15" hidden="false" customHeight="true" outlineLevel="0" collapsed="false">
      <c r="A137" s="1" t="s">
        <v>3133</v>
      </c>
      <c r="B137" s="1" t="s">
        <v>3134</v>
      </c>
      <c r="C137" s="1" t="s">
        <v>3078</v>
      </c>
    </row>
    <row r="138" customFormat="false" ht="15" hidden="false" customHeight="true" outlineLevel="0" collapsed="false">
      <c r="A138" s="1" t="s">
        <v>3135</v>
      </c>
      <c r="B138" s="1" t="s">
        <v>3136</v>
      </c>
      <c r="C138" s="1" t="s">
        <v>3078</v>
      </c>
    </row>
    <row r="139" customFormat="false" ht="15" hidden="false" customHeight="true" outlineLevel="0" collapsed="false">
      <c r="A139" s="1" t="s">
        <v>3137</v>
      </c>
      <c r="B139" s="1" t="s">
        <v>3138</v>
      </c>
      <c r="C139" s="1" t="s">
        <v>3078</v>
      </c>
    </row>
    <row r="140" customFormat="false" ht="15" hidden="false" customHeight="true" outlineLevel="0" collapsed="false">
      <c r="A140" s="1" t="s">
        <v>3139</v>
      </c>
      <c r="B140" s="1" t="s">
        <v>3140</v>
      </c>
      <c r="C140" s="1" t="s">
        <v>3078</v>
      </c>
    </row>
    <row r="141" customFormat="false" ht="15" hidden="false" customHeight="true" outlineLevel="0" collapsed="false">
      <c r="A141" s="1" t="s">
        <v>3141</v>
      </c>
      <c r="B141" s="1" t="s">
        <v>3142</v>
      </c>
      <c r="C141" s="1" t="s">
        <v>3078</v>
      </c>
    </row>
    <row r="142" customFormat="false" ht="15" hidden="false" customHeight="true" outlineLevel="0" collapsed="false">
      <c r="A142" s="1" t="s">
        <v>3143</v>
      </c>
      <c r="B142" s="1" t="s">
        <v>3144</v>
      </c>
      <c r="C142" s="1" t="s">
        <v>3145</v>
      </c>
    </row>
    <row r="143" customFormat="false" ht="15" hidden="false" customHeight="true" outlineLevel="0" collapsed="false">
      <c r="A143" s="1" t="s">
        <v>3146</v>
      </c>
      <c r="B143" s="1" t="s">
        <v>3147</v>
      </c>
      <c r="C143" s="1" t="s">
        <v>3078</v>
      </c>
    </row>
    <row r="144" customFormat="false" ht="15" hidden="false" customHeight="true" outlineLevel="0" collapsed="false">
      <c r="A144" s="1" t="s">
        <v>3148</v>
      </c>
      <c r="B144" s="1" t="s">
        <v>3149</v>
      </c>
      <c r="C144" s="1" t="s">
        <v>3078</v>
      </c>
    </row>
    <row r="145" customFormat="false" ht="15" hidden="false" customHeight="true" outlineLevel="0" collapsed="false">
      <c r="A145" s="1" t="s">
        <v>3150</v>
      </c>
      <c r="B145" s="1" t="s">
        <v>3151</v>
      </c>
      <c r="C145" s="1" t="s">
        <v>3078</v>
      </c>
    </row>
    <row r="146" customFormat="false" ht="15" hidden="false" customHeight="true" outlineLevel="0" collapsed="false">
      <c r="A146" s="1" t="s">
        <v>3152</v>
      </c>
      <c r="B146" s="1" t="s">
        <v>3153</v>
      </c>
      <c r="C146" s="1" t="s">
        <v>3078</v>
      </c>
    </row>
    <row r="147" customFormat="false" ht="15" hidden="false" customHeight="true" outlineLevel="0" collapsed="false">
      <c r="A147" s="1" t="s">
        <v>3154</v>
      </c>
      <c r="B147" s="1" t="s">
        <v>3155</v>
      </c>
      <c r="C147" s="1" t="s">
        <v>3156</v>
      </c>
    </row>
    <row r="148" customFormat="false" ht="15" hidden="false" customHeight="true" outlineLevel="0" collapsed="false">
      <c r="A148" s="1" t="s">
        <v>3157</v>
      </c>
      <c r="B148" s="1" t="s">
        <v>3158</v>
      </c>
      <c r="C148" s="1" t="s">
        <v>3145</v>
      </c>
    </row>
    <row r="149" customFormat="false" ht="15" hidden="false" customHeight="true" outlineLevel="0" collapsed="false">
      <c r="A149" s="1" t="s">
        <v>3159</v>
      </c>
      <c r="B149" s="1" t="s">
        <v>3160</v>
      </c>
      <c r="C149" s="1" t="s">
        <v>3161</v>
      </c>
    </row>
    <row r="150" customFormat="false" ht="15" hidden="false" customHeight="true" outlineLevel="0" collapsed="false">
      <c r="A150" s="1" t="s">
        <v>3162</v>
      </c>
      <c r="B150" s="1" t="s">
        <v>3163</v>
      </c>
      <c r="C150" s="1" t="s">
        <v>3078</v>
      </c>
    </row>
    <row r="151" customFormat="false" ht="15" hidden="false" customHeight="true" outlineLevel="0" collapsed="false">
      <c r="A151" s="1" t="s">
        <v>3164</v>
      </c>
      <c r="B151" s="1" t="s">
        <v>3165</v>
      </c>
      <c r="C151" s="1" t="s">
        <v>3166</v>
      </c>
    </row>
    <row r="152" customFormat="false" ht="15" hidden="false" customHeight="true" outlineLevel="0" collapsed="false">
      <c r="A152" s="1" t="s">
        <v>3167</v>
      </c>
      <c r="B152" s="1" t="s">
        <v>3168</v>
      </c>
      <c r="C152" s="1" t="s">
        <v>3169</v>
      </c>
    </row>
    <row r="153" customFormat="false" ht="15" hidden="false" customHeight="true" outlineLevel="0" collapsed="false">
      <c r="A153" s="1" t="s">
        <v>3170</v>
      </c>
      <c r="B153" s="1" t="s">
        <v>3171</v>
      </c>
      <c r="C153" s="1" t="s">
        <v>3172</v>
      </c>
    </row>
    <row r="154" customFormat="false" ht="15" hidden="false" customHeight="true" outlineLevel="0" collapsed="false">
      <c r="A154" s="1" t="s">
        <v>3173</v>
      </c>
      <c r="B154" s="1" t="s">
        <v>3174</v>
      </c>
      <c r="C154" s="1" t="s">
        <v>3175</v>
      </c>
    </row>
    <row r="155" customFormat="false" ht="15" hidden="false" customHeight="true" outlineLevel="0" collapsed="false">
      <c r="A155" s="1" t="s">
        <v>3176</v>
      </c>
      <c r="B155" s="1" t="s">
        <v>3177</v>
      </c>
      <c r="C155" s="1" t="s">
        <v>3078</v>
      </c>
    </row>
    <row r="156" customFormat="false" ht="15" hidden="false" customHeight="true" outlineLevel="0" collapsed="false">
      <c r="A156" s="1" t="s">
        <v>3178</v>
      </c>
      <c r="B156" s="1" t="s">
        <v>3179</v>
      </c>
      <c r="C156" s="1" t="s">
        <v>3180</v>
      </c>
    </row>
    <row r="157" customFormat="false" ht="15" hidden="false" customHeight="true" outlineLevel="0" collapsed="false">
      <c r="A157" s="1" t="s">
        <v>3181</v>
      </c>
      <c r="B157" s="1" t="s">
        <v>3182</v>
      </c>
      <c r="C157" s="1" t="s">
        <v>3183</v>
      </c>
    </row>
    <row r="158" customFormat="false" ht="90" hidden="false" customHeight="true" outlineLevel="0" collapsed="false">
      <c r="A158" s="27" t="s">
        <v>3184</v>
      </c>
      <c r="B158" s="27" t="s">
        <v>3185</v>
      </c>
      <c r="C158" s="27" t="s">
        <v>3186</v>
      </c>
    </row>
    <row r="159" customFormat="false" ht="105" hidden="false" customHeight="true" outlineLevel="0" collapsed="false">
      <c r="A159" s="27" t="s">
        <v>3187</v>
      </c>
      <c r="B159" s="27" t="s">
        <v>3188</v>
      </c>
      <c r="C159" s="27" t="s">
        <v>3189</v>
      </c>
    </row>
    <row r="160" customFormat="false" ht="90" hidden="false" customHeight="true" outlineLevel="0" collapsed="false">
      <c r="A160" s="27" t="s">
        <v>3190</v>
      </c>
      <c r="B160" s="27" t="s">
        <v>3191</v>
      </c>
      <c r="C160" s="27" t="s">
        <v>3192</v>
      </c>
    </row>
    <row r="161" customFormat="false" ht="120" hidden="false" customHeight="true" outlineLevel="0" collapsed="false">
      <c r="A161" s="27" t="s">
        <v>3193</v>
      </c>
      <c r="B161" s="27" t="s">
        <v>3194</v>
      </c>
      <c r="C161" s="27" t="s">
        <v>3195</v>
      </c>
    </row>
    <row r="162" customFormat="false" ht="90" hidden="false" customHeight="true" outlineLevel="0" collapsed="false">
      <c r="A162" s="27" t="s">
        <v>3196</v>
      </c>
      <c r="B162" s="27" t="s">
        <v>3197</v>
      </c>
      <c r="C162" s="27" t="s">
        <v>3198</v>
      </c>
    </row>
    <row r="163" customFormat="false" ht="90" hidden="false" customHeight="true" outlineLevel="0" collapsed="false">
      <c r="A163" s="27" t="s">
        <v>3199</v>
      </c>
      <c r="B163" s="27" t="s">
        <v>3200</v>
      </c>
      <c r="C163" s="27" t="s">
        <v>3201</v>
      </c>
    </row>
    <row r="164" customFormat="false" ht="120" hidden="false" customHeight="true" outlineLevel="0" collapsed="false">
      <c r="A164" s="27" t="s">
        <v>3202</v>
      </c>
      <c r="B164" s="27" t="s">
        <v>3203</v>
      </c>
      <c r="C164" s="27" t="s">
        <v>3204</v>
      </c>
    </row>
    <row r="165" customFormat="false" ht="120" hidden="false" customHeight="true" outlineLevel="0" collapsed="false">
      <c r="A165" s="27" t="s">
        <v>3205</v>
      </c>
      <c r="B165" s="27" t="s">
        <v>3206</v>
      </c>
      <c r="C165" s="27" t="s">
        <v>3207</v>
      </c>
    </row>
    <row r="166" customFormat="false" ht="120" hidden="false" customHeight="true" outlineLevel="0" collapsed="false">
      <c r="A166" s="27" t="s">
        <v>3208</v>
      </c>
      <c r="B166" s="27" t="s">
        <v>3209</v>
      </c>
      <c r="C166" s="27" t="s">
        <v>3210</v>
      </c>
    </row>
    <row r="167" customFormat="false" ht="120" hidden="false" customHeight="true" outlineLevel="0" collapsed="false">
      <c r="A167" s="27" t="s">
        <v>3211</v>
      </c>
      <c r="B167" s="27" t="s">
        <v>3212</v>
      </c>
      <c r="C167" s="27" t="s">
        <v>3213</v>
      </c>
    </row>
    <row r="168" customFormat="false" ht="120" hidden="false" customHeight="true" outlineLevel="0" collapsed="false">
      <c r="A168" s="27" t="s">
        <v>3214</v>
      </c>
      <c r="B168" s="27" t="s">
        <v>3215</v>
      </c>
      <c r="C168" s="27" t="s">
        <v>3216</v>
      </c>
    </row>
    <row r="169" customFormat="false" ht="120" hidden="false" customHeight="true" outlineLevel="0" collapsed="false">
      <c r="A169" s="27" t="s">
        <v>3217</v>
      </c>
      <c r="B169" s="27" t="s">
        <v>3218</v>
      </c>
      <c r="C169" s="27" t="s">
        <v>3219</v>
      </c>
    </row>
    <row r="170" customFormat="false" ht="120" hidden="false" customHeight="true" outlineLevel="0" collapsed="false">
      <c r="A170" s="27" t="s">
        <v>3220</v>
      </c>
      <c r="B170" s="27" t="s">
        <v>3221</v>
      </c>
      <c r="C170" s="27" t="s">
        <v>3222</v>
      </c>
    </row>
    <row r="171" customFormat="false" ht="27.75" hidden="false" customHeight="true" outlineLevel="0" collapsed="false">
      <c r="A171" s="27" t="s">
        <v>3223</v>
      </c>
      <c r="B171" s="27" t="s">
        <v>3224</v>
      </c>
      <c r="C171" s="27" t="s">
        <v>3225</v>
      </c>
    </row>
    <row r="172" customFormat="false" ht="27.75" hidden="false" customHeight="true" outlineLevel="0" collapsed="false">
      <c r="A172" s="27" t="s">
        <v>3226</v>
      </c>
      <c r="B172" s="27" t="s">
        <v>3227</v>
      </c>
      <c r="C172" s="27" t="s">
        <v>3225</v>
      </c>
    </row>
    <row r="173" customFormat="false" ht="27.75" hidden="false" customHeight="true" outlineLevel="0" collapsed="false">
      <c r="A173" s="27" t="s">
        <v>3228</v>
      </c>
      <c r="B173" s="27" t="s">
        <v>3229</v>
      </c>
      <c r="C173" s="27" t="s">
        <v>3230</v>
      </c>
    </row>
    <row r="174" customFormat="false" ht="27.75" hidden="false" customHeight="true" outlineLevel="0" collapsed="false">
      <c r="A174" s="27" t="s">
        <v>3231</v>
      </c>
      <c r="B174" s="27" t="s">
        <v>3232</v>
      </c>
      <c r="C174" s="27" t="s">
        <v>3233</v>
      </c>
    </row>
    <row r="175" customFormat="false" ht="41.25" hidden="false" customHeight="true" outlineLevel="0" collapsed="false">
      <c r="A175" s="27" t="s">
        <v>3234</v>
      </c>
      <c r="B175" s="27" t="s">
        <v>3235</v>
      </c>
      <c r="C175" s="27" t="s">
        <v>3236</v>
      </c>
    </row>
    <row r="176" customFormat="false" ht="27.75" hidden="false" customHeight="true" outlineLevel="0" collapsed="false">
      <c r="A176" s="27" t="s">
        <v>3237</v>
      </c>
      <c r="B176" s="27" t="s">
        <v>3238</v>
      </c>
      <c r="C176" s="27" t="s">
        <v>3239</v>
      </c>
    </row>
    <row r="177" customFormat="false" ht="27.75" hidden="false" customHeight="true" outlineLevel="0" collapsed="false">
      <c r="A177" s="27" t="s">
        <v>3240</v>
      </c>
      <c r="B177" s="27" t="s">
        <v>3241</v>
      </c>
      <c r="C177" s="27" t="s">
        <v>3242</v>
      </c>
    </row>
    <row r="178" customFormat="false" ht="36" hidden="false" customHeight="true" outlineLevel="0" collapsed="false">
      <c r="A178" s="27" t="s">
        <v>3243</v>
      </c>
      <c r="B178" s="27" t="s">
        <v>3244</v>
      </c>
      <c r="C178" s="27" t="s">
        <v>3245</v>
      </c>
    </row>
    <row r="179" customFormat="false" ht="36" hidden="false" customHeight="true" outlineLevel="0" collapsed="false">
      <c r="A179" s="27" t="s">
        <v>3246</v>
      </c>
      <c r="B179" s="27" t="s">
        <v>3247</v>
      </c>
      <c r="C179" s="27" t="s">
        <v>3248</v>
      </c>
    </row>
    <row r="180" customFormat="false" ht="36" hidden="false" customHeight="true" outlineLevel="0" collapsed="false">
      <c r="A180" s="27" t="s">
        <v>3249</v>
      </c>
      <c r="B180" s="27" t="s">
        <v>3250</v>
      </c>
      <c r="C180" s="27" t="s">
        <v>3251</v>
      </c>
    </row>
    <row r="181" customFormat="false" ht="36" hidden="false" customHeight="true" outlineLevel="0" collapsed="false">
      <c r="A181" s="27" t="s">
        <v>3252</v>
      </c>
      <c r="B181" s="27" t="s">
        <v>3253</v>
      </c>
      <c r="C181" s="27" t="s">
        <v>3254</v>
      </c>
    </row>
    <row r="182" customFormat="false" ht="36" hidden="false" customHeight="true" outlineLevel="0" collapsed="false">
      <c r="A182" s="27" t="s">
        <v>3255</v>
      </c>
      <c r="B182" s="27" t="s">
        <v>3256</v>
      </c>
      <c r="C182" s="27" t="s">
        <v>3257</v>
      </c>
    </row>
    <row r="183" customFormat="false" ht="36" hidden="false" customHeight="true" outlineLevel="0" collapsed="false">
      <c r="A183" s="27" t="s">
        <v>3258</v>
      </c>
      <c r="B183" s="27" t="s">
        <v>3259</v>
      </c>
      <c r="C183" s="27" t="s">
        <v>3260</v>
      </c>
    </row>
    <row r="184" customFormat="false" ht="42" hidden="false" customHeight="true" outlineLevel="0" collapsed="false">
      <c r="A184" s="27" t="s">
        <v>3261</v>
      </c>
      <c r="B184" s="27" t="s">
        <v>3262</v>
      </c>
      <c r="C184" s="27" t="s">
        <v>3263</v>
      </c>
    </row>
    <row r="185" customFormat="false" ht="42" hidden="false" customHeight="true" outlineLevel="0" collapsed="false">
      <c r="A185" s="27" t="s">
        <v>3264</v>
      </c>
      <c r="B185" s="27" t="s">
        <v>3265</v>
      </c>
      <c r="C185" s="27" t="s">
        <v>3266</v>
      </c>
    </row>
    <row r="186" customFormat="false" ht="42" hidden="false" customHeight="true" outlineLevel="0" collapsed="false">
      <c r="A186" s="27" t="s">
        <v>3267</v>
      </c>
      <c r="B186" s="27" t="s">
        <v>3268</v>
      </c>
      <c r="C186" s="27" t="s">
        <v>3269</v>
      </c>
    </row>
    <row r="187" customFormat="false" ht="42" hidden="false" customHeight="true" outlineLevel="0" collapsed="false">
      <c r="A187" s="27" t="s">
        <v>3270</v>
      </c>
      <c r="B187" s="27" t="s">
        <v>3271</v>
      </c>
      <c r="C187" s="27" t="s">
        <v>3272</v>
      </c>
    </row>
    <row r="188" customFormat="false" ht="42" hidden="false" customHeight="true" outlineLevel="0" collapsed="false">
      <c r="A188" s="27" t="s">
        <v>3273</v>
      </c>
      <c r="B188" s="27" t="s">
        <v>3274</v>
      </c>
      <c r="C188" s="27" t="s">
        <v>3275</v>
      </c>
    </row>
    <row r="189" customFormat="false" ht="42" hidden="false" customHeight="true" outlineLevel="0" collapsed="false">
      <c r="A189" s="27" t="s">
        <v>3276</v>
      </c>
      <c r="B189" s="27" t="s">
        <v>3277</v>
      </c>
      <c r="C189" s="27" t="s">
        <v>3278</v>
      </c>
    </row>
    <row r="190" customFormat="false" ht="42" hidden="false" customHeight="true" outlineLevel="0" collapsed="false">
      <c r="A190" s="27" t="s">
        <v>3279</v>
      </c>
      <c r="B190" s="27" t="s">
        <v>3280</v>
      </c>
      <c r="C190" s="27" t="s">
        <v>3281</v>
      </c>
    </row>
    <row r="191" customFormat="false" ht="48" hidden="false" customHeight="true" outlineLevel="0" collapsed="false">
      <c r="A191" s="27" t="s">
        <v>3282</v>
      </c>
      <c r="B191" s="27" t="s">
        <v>3283</v>
      </c>
      <c r="C191" s="27" t="s">
        <v>3284</v>
      </c>
    </row>
    <row r="192" customFormat="false" ht="48" hidden="false" customHeight="true" outlineLevel="0" collapsed="false">
      <c r="A192" s="27" t="s">
        <v>3285</v>
      </c>
      <c r="B192" s="27" t="s">
        <v>3286</v>
      </c>
      <c r="C192" s="27" t="s">
        <v>3287</v>
      </c>
    </row>
    <row r="193" customFormat="false" ht="48" hidden="false" customHeight="true" outlineLevel="0" collapsed="false">
      <c r="A193" s="27" t="s">
        <v>3288</v>
      </c>
      <c r="B193" s="27" t="s">
        <v>3289</v>
      </c>
      <c r="C193" s="27" t="s">
        <v>3290</v>
      </c>
    </row>
    <row r="194" customFormat="false" ht="48" hidden="false" customHeight="true" outlineLevel="0" collapsed="false">
      <c r="A194" s="27" t="s">
        <v>3291</v>
      </c>
      <c r="B194" s="27" t="s">
        <v>3292</v>
      </c>
      <c r="C194" s="27" t="s">
        <v>3293</v>
      </c>
    </row>
    <row r="195" customFormat="false" ht="48" hidden="false" customHeight="true" outlineLevel="0" collapsed="false">
      <c r="A195" s="27" t="s">
        <v>3294</v>
      </c>
      <c r="B195" s="27" t="s">
        <v>3295</v>
      </c>
      <c r="C195" s="27" t="s">
        <v>3296</v>
      </c>
    </row>
    <row r="196" customFormat="false" ht="48" hidden="false" customHeight="true" outlineLevel="0" collapsed="false">
      <c r="A196" s="27" t="s">
        <v>3297</v>
      </c>
      <c r="B196" s="27" t="s">
        <v>3298</v>
      </c>
      <c r="C196" s="27" t="s">
        <v>3299</v>
      </c>
    </row>
    <row r="197" customFormat="false" ht="48" hidden="false" customHeight="true" outlineLevel="0" collapsed="false">
      <c r="A197" s="27" t="s">
        <v>3300</v>
      </c>
      <c r="B197" s="27" t="s">
        <v>3301</v>
      </c>
      <c r="C197" s="27" t="s">
        <v>3302</v>
      </c>
    </row>
    <row r="198" customFormat="false" ht="48" hidden="false" customHeight="true" outlineLevel="0" collapsed="false">
      <c r="A198" s="27" t="s">
        <v>3303</v>
      </c>
      <c r="B198" s="27" t="s">
        <v>3304</v>
      </c>
      <c r="C198" s="27" t="s">
        <v>3305</v>
      </c>
    </row>
    <row r="199" customFormat="false" ht="36" hidden="false" customHeight="true" outlineLevel="0" collapsed="false">
      <c r="A199" s="20" t="s">
        <v>3306</v>
      </c>
      <c r="B199" s="20" t="s">
        <v>3307</v>
      </c>
      <c r="C199" s="22" t="s">
        <v>3308</v>
      </c>
    </row>
    <row r="200" customFormat="false" ht="48" hidden="false" customHeight="true" outlineLevel="0" collapsed="false">
      <c r="A200" s="21" t="s">
        <v>3309</v>
      </c>
      <c r="B200" s="21" t="s">
        <v>3310</v>
      </c>
      <c r="C200" s="24" t="s">
        <v>3308</v>
      </c>
    </row>
    <row r="201" customFormat="false" ht="66" hidden="false" customHeight="true" outlineLevel="0" collapsed="false">
      <c r="A201" s="20" t="s">
        <v>3311</v>
      </c>
      <c r="B201" s="20" t="s">
        <v>3312</v>
      </c>
      <c r="C201" s="22" t="s">
        <v>3308</v>
      </c>
    </row>
    <row r="202" customFormat="false" ht="66" hidden="false" customHeight="true" outlineLevel="0" collapsed="false">
      <c r="A202" s="21" t="s">
        <v>3313</v>
      </c>
      <c r="B202" s="21" t="s">
        <v>3314</v>
      </c>
      <c r="C202" s="24" t="s">
        <v>3308</v>
      </c>
    </row>
    <row r="203" customFormat="false" ht="48" hidden="false" customHeight="true" outlineLevel="0" collapsed="false">
      <c r="A203" s="20" t="s">
        <v>3315</v>
      </c>
      <c r="B203" s="20" t="s">
        <v>3316</v>
      </c>
      <c r="C203" s="22" t="s">
        <v>3308</v>
      </c>
    </row>
    <row r="204" customFormat="false" ht="60" hidden="false" customHeight="true" outlineLevel="0" collapsed="false">
      <c r="A204" s="21" t="s">
        <v>3317</v>
      </c>
      <c r="B204" s="21" t="s">
        <v>3318</v>
      </c>
      <c r="C204" s="24" t="s">
        <v>3308</v>
      </c>
    </row>
    <row r="205" customFormat="false" ht="48" hidden="false" customHeight="true" outlineLevel="0" collapsed="false">
      <c r="A205" s="20" t="s">
        <v>3319</v>
      </c>
      <c r="B205" s="20" t="s">
        <v>3320</v>
      </c>
      <c r="C205" s="22" t="s">
        <v>3308</v>
      </c>
    </row>
    <row r="206" customFormat="false" ht="60" hidden="false" customHeight="true" outlineLevel="0" collapsed="false">
      <c r="A206" s="21" t="s">
        <v>3321</v>
      </c>
      <c r="B206" s="21" t="s">
        <v>3322</v>
      </c>
      <c r="C206" s="24" t="s">
        <v>3308</v>
      </c>
    </row>
    <row r="207" customFormat="false" ht="48" hidden="false" customHeight="true" outlineLevel="0" collapsed="false">
      <c r="A207" s="20" t="s">
        <v>3323</v>
      </c>
      <c r="B207" s="20" t="s">
        <v>3324</v>
      </c>
      <c r="C207" s="22" t="s">
        <v>3308</v>
      </c>
    </row>
    <row r="208" customFormat="false" ht="48" hidden="false" customHeight="true" outlineLevel="0" collapsed="false">
      <c r="A208" s="21" t="s">
        <v>3325</v>
      </c>
      <c r="B208" s="21" t="s">
        <v>3326</v>
      </c>
      <c r="C208" s="24" t="s">
        <v>3308</v>
      </c>
    </row>
    <row r="209" customFormat="false" ht="48" hidden="false" customHeight="true" outlineLevel="0" collapsed="false">
      <c r="A209" s="20" t="s">
        <v>3327</v>
      </c>
      <c r="B209" s="20" t="s">
        <v>3328</v>
      </c>
      <c r="C209" s="22" t="s">
        <v>3308</v>
      </c>
    </row>
    <row r="210" customFormat="false" ht="48" hidden="false" customHeight="true" outlineLevel="0" collapsed="false">
      <c r="A210" s="21" t="s">
        <v>3329</v>
      </c>
      <c r="B210" s="21" t="s">
        <v>3330</v>
      </c>
      <c r="C210" s="24" t="s">
        <v>3308</v>
      </c>
    </row>
    <row r="211" customFormat="false" ht="36" hidden="false" customHeight="true" outlineLevel="0" collapsed="false">
      <c r="A211" s="28" t="s">
        <v>3331</v>
      </c>
      <c r="B211" s="28" t="s">
        <v>3332</v>
      </c>
      <c r="C211" s="29" t="s">
        <v>3333</v>
      </c>
    </row>
    <row r="212" customFormat="false" ht="36" hidden="false" customHeight="true" outlineLevel="0" collapsed="false">
      <c r="A212" s="28" t="s">
        <v>3334</v>
      </c>
      <c r="B212" s="28" t="s">
        <v>3335</v>
      </c>
      <c r="C212" s="29" t="s">
        <v>3333</v>
      </c>
    </row>
    <row r="213" customFormat="false" ht="36" hidden="false" customHeight="true" outlineLevel="0" collapsed="false">
      <c r="A213" s="28" t="s">
        <v>3336</v>
      </c>
      <c r="B213" s="28" t="s">
        <v>3337</v>
      </c>
      <c r="C213" s="29" t="s">
        <v>3333</v>
      </c>
    </row>
    <row r="214" customFormat="false" ht="36" hidden="false" customHeight="true" outlineLevel="0" collapsed="false">
      <c r="A214" s="28" t="s">
        <v>3338</v>
      </c>
      <c r="B214" s="28" t="s">
        <v>3339</v>
      </c>
      <c r="C214" s="29" t="s">
        <v>3333</v>
      </c>
    </row>
    <row r="215" customFormat="false" ht="36" hidden="false" customHeight="true" outlineLevel="0" collapsed="false">
      <c r="A215" s="28" t="s">
        <v>3340</v>
      </c>
      <c r="B215" s="28" t="s">
        <v>3341</v>
      </c>
      <c r="C215" s="29" t="s">
        <v>3333</v>
      </c>
    </row>
    <row r="216" customFormat="false" ht="36" hidden="false" customHeight="true" outlineLevel="0" collapsed="false">
      <c r="A216" s="28" t="s">
        <v>3342</v>
      </c>
      <c r="B216" s="28" t="s">
        <v>3343</v>
      </c>
      <c r="C216" s="29" t="s">
        <v>3333</v>
      </c>
    </row>
    <row r="217" customFormat="false" ht="36" hidden="false" customHeight="true" outlineLevel="0" collapsed="false">
      <c r="A217" s="28" t="s">
        <v>3344</v>
      </c>
      <c r="B217" s="28" t="s">
        <v>3345</v>
      </c>
      <c r="C217" s="29" t="s">
        <v>3333</v>
      </c>
    </row>
    <row r="218" customFormat="false" ht="36" hidden="false" customHeight="true" outlineLevel="0" collapsed="false">
      <c r="A218" s="28" t="s">
        <v>3346</v>
      </c>
      <c r="B218" s="28" t="s">
        <v>3347</v>
      </c>
      <c r="C218" s="29" t="s">
        <v>3333</v>
      </c>
    </row>
    <row r="219" customFormat="false" ht="36" hidden="false" customHeight="true" outlineLevel="0" collapsed="false">
      <c r="A219" s="28" t="s">
        <v>3348</v>
      </c>
      <c r="B219" s="28" t="s">
        <v>3349</v>
      </c>
      <c r="C219" s="29" t="s">
        <v>3333</v>
      </c>
    </row>
    <row r="220" customFormat="false" ht="36" hidden="false" customHeight="true" outlineLevel="0" collapsed="false">
      <c r="A220" s="28" t="s">
        <v>3350</v>
      </c>
      <c r="B220" s="28" t="s">
        <v>3351</v>
      </c>
      <c r="C220" s="29" t="s">
        <v>3333</v>
      </c>
    </row>
    <row r="221" customFormat="false" ht="39.75" hidden="false" customHeight="true" outlineLevel="0" collapsed="false">
      <c r="A221" s="28" t="s">
        <v>3352</v>
      </c>
      <c r="B221" s="28" t="s">
        <v>3353</v>
      </c>
      <c r="C221" s="29" t="s">
        <v>3354</v>
      </c>
    </row>
    <row r="222" customFormat="false" ht="39.75" hidden="false" customHeight="true" outlineLevel="0" collapsed="false">
      <c r="A222" s="28" t="s">
        <v>3355</v>
      </c>
      <c r="B222" s="28" t="s">
        <v>3356</v>
      </c>
      <c r="C222" s="29" t="s">
        <v>3354</v>
      </c>
    </row>
    <row r="223" customFormat="false" ht="39.75" hidden="false" customHeight="true" outlineLevel="0" collapsed="false">
      <c r="A223" s="28" t="s">
        <v>3357</v>
      </c>
      <c r="B223" s="28" t="s">
        <v>3358</v>
      </c>
      <c r="C223" s="29" t="s">
        <v>3354</v>
      </c>
    </row>
    <row r="224" customFormat="false" ht="39.75" hidden="false" customHeight="true" outlineLevel="0" collapsed="false">
      <c r="A224" s="28" t="s">
        <v>3359</v>
      </c>
      <c r="B224" s="28" t="s">
        <v>3360</v>
      </c>
      <c r="C224" s="29" t="s">
        <v>3354</v>
      </c>
    </row>
    <row r="225" customFormat="false" ht="39.75" hidden="false" customHeight="true" outlineLevel="0" collapsed="false">
      <c r="A225" s="28" t="s">
        <v>3361</v>
      </c>
      <c r="B225" s="28" t="s">
        <v>3362</v>
      </c>
      <c r="C225" s="29" t="s">
        <v>3354</v>
      </c>
    </row>
    <row r="226" customFormat="false" ht="39.75" hidden="false" customHeight="true" outlineLevel="0" collapsed="false">
      <c r="A226" s="28" t="s">
        <v>3363</v>
      </c>
      <c r="B226" s="28" t="s">
        <v>3364</v>
      </c>
      <c r="C226" s="29" t="s">
        <v>3354</v>
      </c>
    </row>
    <row r="227" customFormat="false" ht="39.75" hidden="false" customHeight="true" outlineLevel="0" collapsed="false">
      <c r="A227" s="28" t="s">
        <v>3365</v>
      </c>
      <c r="B227" s="28" t="s">
        <v>3366</v>
      </c>
      <c r="C227" s="29" t="s">
        <v>3354</v>
      </c>
    </row>
    <row r="228" customFormat="false" ht="39.75" hidden="false" customHeight="true" outlineLevel="0" collapsed="false">
      <c r="A228" s="28" t="s">
        <v>3367</v>
      </c>
      <c r="B228" s="28" t="s">
        <v>3368</v>
      </c>
      <c r="C228" s="29" t="s">
        <v>3354</v>
      </c>
    </row>
    <row r="229" customFormat="false" ht="39.75" hidden="false" customHeight="true" outlineLevel="0" collapsed="false">
      <c r="A229" s="28" t="s">
        <v>3369</v>
      </c>
      <c r="B229" s="28" t="s">
        <v>3370</v>
      </c>
      <c r="C229" s="29" t="s">
        <v>3354</v>
      </c>
    </row>
    <row r="230" customFormat="false" ht="39.75" hidden="false" customHeight="true" outlineLevel="0" collapsed="false">
      <c r="A230" s="28" t="s">
        <v>3371</v>
      </c>
      <c r="B230" s="28" t="s">
        <v>3372</v>
      </c>
      <c r="C230" s="29" t="s">
        <v>3354</v>
      </c>
    </row>
    <row r="231" customFormat="false" ht="39.75" hidden="false" customHeight="true" outlineLevel="0" collapsed="false">
      <c r="A231" s="28" t="s">
        <v>3373</v>
      </c>
      <c r="B231" s="28" t="s">
        <v>3374</v>
      </c>
      <c r="C231" s="29" t="s">
        <v>3354</v>
      </c>
    </row>
    <row r="232" customFormat="false" ht="39.75" hidden="false" customHeight="true" outlineLevel="0" collapsed="false">
      <c r="A232" s="28" t="s">
        <v>3375</v>
      </c>
      <c r="B232" s="21" t="s">
        <v>3376</v>
      </c>
      <c r="C232" s="29" t="s">
        <v>3377</v>
      </c>
    </row>
    <row r="233" customFormat="false" ht="39.75" hidden="false" customHeight="true" outlineLevel="0" collapsed="false">
      <c r="A233" s="28" t="s">
        <v>3378</v>
      </c>
      <c r="B233" s="21" t="s">
        <v>3379</v>
      </c>
      <c r="C233" s="29" t="s">
        <v>3380</v>
      </c>
    </row>
    <row r="234" customFormat="false" ht="39.75" hidden="false" customHeight="true" outlineLevel="0" collapsed="false">
      <c r="A234" s="28" t="s">
        <v>3381</v>
      </c>
      <c r="B234" s="21" t="s">
        <v>3382</v>
      </c>
      <c r="C234" s="29" t="s">
        <v>3380</v>
      </c>
    </row>
    <row r="235" customFormat="false" ht="39.75" hidden="false" customHeight="true" outlineLevel="0" collapsed="false">
      <c r="A235" s="28" t="s">
        <v>3383</v>
      </c>
      <c r="B235" s="21" t="s">
        <v>3384</v>
      </c>
      <c r="C235" s="29" t="s">
        <v>3380</v>
      </c>
    </row>
    <row r="236" customFormat="false" ht="39.75" hidden="false" customHeight="true" outlineLevel="0" collapsed="false">
      <c r="A236" s="28" t="s">
        <v>3385</v>
      </c>
      <c r="B236" s="21" t="s">
        <v>3386</v>
      </c>
      <c r="C236" s="29" t="s">
        <v>3380</v>
      </c>
    </row>
    <row r="237" customFormat="false" ht="39.75" hidden="false" customHeight="true" outlineLevel="0" collapsed="false">
      <c r="A237" s="28" t="s">
        <v>3387</v>
      </c>
      <c r="B237" s="21" t="s">
        <v>3388</v>
      </c>
      <c r="C237" s="29" t="s">
        <v>3380</v>
      </c>
    </row>
    <row r="238" customFormat="false" ht="39.75" hidden="false" customHeight="true" outlineLevel="0" collapsed="false">
      <c r="A238" s="28" t="s">
        <v>3389</v>
      </c>
      <c r="B238" s="21" t="s">
        <v>3390</v>
      </c>
      <c r="C238" s="29" t="s">
        <v>3380</v>
      </c>
    </row>
    <row r="239" customFormat="false" ht="39.75" hidden="false" customHeight="true" outlineLevel="0" collapsed="false">
      <c r="A239" s="28" t="s">
        <v>3391</v>
      </c>
      <c r="B239" s="21" t="s">
        <v>3392</v>
      </c>
      <c r="C239" s="29" t="s">
        <v>3380</v>
      </c>
    </row>
    <row r="240" customFormat="false" ht="39.75" hidden="false" customHeight="true" outlineLevel="0" collapsed="false">
      <c r="A240" s="28" t="s">
        <v>3393</v>
      </c>
      <c r="B240" s="21" t="s">
        <v>3394</v>
      </c>
      <c r="C240" s="29" t="s">
        <v>3380</v>
      </c>
    </row>
    <row r="241" customFormat="false" ht="39.75" hidden="false" customHeight="true" outlineLevel="0" collapsed="false">
      <c r="A241" s="28" t="s">
        <v>3395</v>
      </c>
      <c r="B241" s="21" t="s">
        <v>3396</v>
      </c>
      <c r="C241" s="29" t="s">
        <v>3380</v>
      </c>
    </row>
    <row r="242" customFormat="false" ht="39.75" hidden="false" customHeight="true" outlineLevel="0" collapsed="false">
      <c r="A242" s="28" t="s">
        <v>3397</v>
      </c>
      <c r="B242" s="21" t="s">
        <v>3398</v>
      </c>
      <c r="C242" s="29" t="s">
        <v>3380</v>
      </c>
    </row>
    <row r="243" customFormat="false" ht="39.75" hidden="false" customHeight="true" outlineLevel="0" collapsed="false">
      <c r="A243" s="28" t="s">
        <v>3399</v>
      </c>
      <c r="B243" s="21" t="s">
        <v>3400</v>
      </c>
      <c r="C243" s="29" t="s">
        <v>3380</v>
      </c>
    </row>
    <row r="244" customFormat="false" ht="39.75" hidden="false" customHeight="true" outlineLevel="0" collapsed="false">
      <c r="A244" s="28" t="s">
        <v>3401</v>
      </c>
      <c r="B244" s="21" t="s">
        <v>3402</v>
      </c>
      <c r="C244" s="29" t="s">
        <v>3380</v>
      </c>
    </row>
    <row r="245" customFormat="false" ht="39.75" hidden="false" customHeight="true" outlineLevel="0" collapsed="false">
      <c r="A245" s="28" t="s">
        <v>3403</v>
      </c>
      <c r="B245" s="21" t="s">
        <v>3404</v>
      </c>
      <c r="C245" s="29" t="s">
        <v>3405</v>
      </c>
    </row>
    <row r="246" customFormat="false" ht="39.75" hidden="false" customHeight="true" outlineLevel="0" collapsed="false">
      <c r="A246" s="28" t="s">
        <v>3406</v>
      </c>
      <c r="B246" s="21" t="s">
        <v>3407</v>
      </c>
      <c r="C246" s="29" t="s">
        <v>3405</v>
      </c>
    </row>
    <row r="247" customFormat="false" ht="39.75" hidden="false" customHeight="true" outlineLevel="0" collapsed="false">
      <c r="A247" s="28" t="s">
        <v>3408</v>
      </c>
      <c r="B247" s="21" t="s">
        <v>3409</v>
      </c>
      <c r="C247" s="29" t="s">
        <v>3405</v>
      </c>
    </row>
    <row r="248" customFormat="false" ht="39.75" hidden="false" customHeight="true" outlineLevel="0" collapsed="false">
      <c r="A248" s="28" t="s">
        <v>3410</v>
      </c>
      <c r="B248" s="21" t="s">
        <v>3411</v>
      </c>
      <c r="C248" s="29" t="s">
        <v>3405</v>
      </c>
    </row>
    <row r="249" customFormat="false" ht="39.75" hidden="false" customHeight="true" outlineLevel="0" collapsed="false">
      <c r="A249" s="28" t="s">
        <v>3412</v>
      </c>
      <c r="B249" s="21" t="s">
        <v>3413</v>
      </c>
      <c r="C249" s="29" t="s">
        <v>3405</v>
      </c>
    </row>
    <row r="250" customFormat="false" ht="39.75" hidden="false" customHeight="true" outlineLevel="0" collapsed="false">
      <c r="A250" s="28" t="s">
        <v>3414</v>
      </c>
      <c r="B250" s="21" t="s">
        <v>3415</v>
      </c>
      <c r="C250" s="29" t="s">
        <v>3405</v>
      </c>
    </row>
    <row r="251" customFormat="false" ht="39.75" hidden="false" customHeight="true" outlineLevel="0" collapsed="false">
      <c r="A251" s="28" t="s">
        <v>3416</v>
      </c>
      <c r="B251" s="21" t="s">
        <v>3417</v>
      </c>
      <c r="C251" s="29" t="s">
        <v>3405</v>
      </c>
    </row>
    <row r="252" customFormat="false" ht="39.75" hidden="false" customHeight="true" outlineLevel="0" collapsed="false">
      <c r="A252" s="28" t="s">
        <v>3418</v>
      </c>
      <c r="B252" s="21" t="s">
        <v>3419</v>
      </c>
      <c r="C252" s="29" t="s">
        <v>3405</v>
      </c>
    </row>
    <row r="253" customFormat="false" ht="39.75" hidden="false" customHeight="true" outlineLevel="0" collapsed="false">
      <c r="A253" s="28" t="s">
        <v>3420</v>
      </c>
      <c r="B253" s="21" t="s">
        <v>3421</v>
      </c>
      <c r="C253" s="29" t="s">
        <v>3405</v>
      </c>
    </row>
    <row r="254" customFormat="false" ht="39.75" hidden="false" customHeight="true" outlineLevel="0" collapsed="false">
      <c r="A254" s="28" t="s">
        <v>3422</v>
      </c>
      <c r="B254" s="21" t="s">
        <v>3423</v>
      </c>
      <c r="C254" s="29" t="s">
        <v>3405</v>
      </c>
    </row>
    <row r="255" customFormat="false" ht="39.75" hidden="false" customHeight="true" outlineLevel="0" collapsed="false">
      <c r="A255" s="28" t="s">
        <v>3424</v>
      </c>
      <c r="B255" s="21" t="s">
        <v>3425</v>
      </c>
      <c r="C255" s="29" t="s">
        <v>3405</v>
      </c>
    </row>
    <row r="256" customFormat="false" ht="39.75" hidden="false" customHeight="true" outlineLevel="0" collapsed="false">
      <c r="A256" s="28" t="s">
        <v>3426</v>
      </c>
      <c r="B256" s="21" t="s">
        <v>3427</v>
      </c>
      <c r="C256" s="29" t="s">
        <v>3405</v>
      </c>
    </row>
    <row r="257" customFormat="false" ht="39.75" hidden="false" customHeight="true" outlineLevel="0" collapsed="false">
      <c r="A257" s="28" t="s">
        <v>3428</v>
      </c>
      <c r="B257" s="21" t="s">
        <v>3429</v>
      </c>
      <c r="C257" s="29" t="s">
        <v>3405</v>
      </c>
    </row>
    <row r="258" customFormat="false" ht="39.75" hidden="false" customHeight="true" outlineLevel="0" collapsed="false">
      <c r="A258" s="28" t="s">
        <v>3430</v>
      </c>
      <c r="B258" s="21" t="s">
        <v>3431</v>
      </c>
      <c r="C258" s="29" t="s">
        <v>3405</v>
      </c>
    </row>
    <row r="259" customFormat="false" ht="39.75" hidden="false" customHeight="true" outlineLevel="0" collapsed="false">
      <c r="A259" s="28" t="s">
        <v>3432</v>
      </c>
      <c r="B259" s="21" t="s">
        <v>3433</v>
      </c>
      <c r="C259" s="29" t="s">
        <v>3405</v>
      </c>
    </row>
    <row r="260" customFormat="false" ht="39.75" hidden="false" customHeight="true" outlineLevel="0" collapsed="false">
      <c r="A260" s="28" t="s">
        <v>3434</v>
      </c>
      <c r="B260" s="21" t="s">
        <v>3435</v>
      </c>
      <c r="C260" s="29" t="s">
        <v>3405</v>
      </c>
    </row>
    <row r="261" customFormat="false" ht="39.75" hidden="false" customHeight="true" outlineLevel="0" collapsed="false">
      <c r="A261" s="28" t="s">
        <v>3436</v>
      </c>
      <c r="B261" s="21" t="s">
        <v>3437</v>
      </c>
      <c r="C261" s="29" t="s">
        <v>3405</v>
      </c>
    </row>
    <row r="262" customFormat="false" ht="39.75" hidden="false" customHeight="true" outlineLevel="0" collapsed="false">
      <c r="A262" s="28" t="s">
        <v>3438</v>
      </c>
      <c r="B262" s="21" t="s">
        <v>3439</v>
      </c>
      <c r="C262" s="29" t="s">
        <v>3440</v>
      </c>
    </row>
    <row r="263" customFormat="false" ht="39.75" hidden="false" customHeight="true" outlineLevel="0" collapsed="false">
      <c r="A263" s="28" t="s">
        <v>3441</v>
      </c>
      <c r="B263" s="21" t="s">
        <v>3442</v>
      </c>
      <c r="C263" s="29" t="s">
        <v>3440</v>
      </c>
    </row>
    <row r="264" customFormat="false" ht="39.75" hidden="false" customHeight="true" outlineLevel="0" collapsed="false">
      <c r="A264" s="28" t="s">
        <v>3443</v>
      </c>
      <c r="B264" s="21" t="s">
        <v>3444</v>
      </c>
      <c r="C264" s="29" t="s">
        <v>3440</v>
      </c>
    </row>
    <row r="265" customFormat="false" ht="39.75" hidden="false" customHeight="true" outlineLevel="0" collapsed="false">
      <c r="A265" s="28" t="s">
        <v>3445</v>
      </c>
      <c r="B265" s="21" t="s">
        <v>3446</v>
      </c>
      <c r="C265" s="29" t="s">
        <v>3440</v>
      </c>
    </row>
    <row r="266" customFormat="false" ht="39.75" hidden="false" customHeight="true" outlineLevel="0" collapsed="false">
      <c r="A266" s="28" t="s">
        <v>3447</v>
      </c>
      <c r="B266" s="21" t="s">
        <v>3448</v>
      </c>
      <c r="C266" s="29" t="s">
        <v>3440</v>
      </c>
    </row>
    <row r="267" customFormat="false" ht="39.75" hidden="false" customHeight="true" outlineLevel="0" collapsed="false">
      <c r="A267" s="28" t="s">
        <v>3449</v>
      </c>
      <c r="B267" s="21" t="s">
        <v>3450</v>
      </c>
      <c r="C267" s="29" t="s">
        <v>3440</v>
      </c>
    </row>
    <row r="268" customFormat="false" ht="39.75" hidden="false" customHeight="true" outlineLevel="0" collapsed="false">
      <c r="A268" s="28" t="s">
        <v>3451</v>
      </c>
      <c r="B268" s="21" t="s">
        <v>3452</v>
      </c>
      <c r="C268" s="29" t="s">
        <v>3453</v>
      </c>
    </row>
    <row r="269" customFormat="false" ht="39.75" hidden="false" customHeight="true" outlineLevel="0" collapsed="false">
      <c r="A269" s="28" t="s">
        <v>3454</v>
      </c>
      <c r="B269" s="21" t="s">
        <v>3455</v>
      </c>
      <c r="C269" s="29" t="s">
        <v>3453</v>
      </c>
    </row>
    <row r="270" customFormat="false" ht="39.75" hidden="false" customHeight="true" outlineLevel="0" collapsed="false">
      <c r="A270" s="28" t="s">
        <v>3456</v>
      </c>
      <c r="B270" s="21" t="s">
        <v>3457</v>
      </c>
      <c r="C270" s="29" t="s">
        <v>3453</v>
      </c>
    </row>
    <row r="271" customFormat="false" ht="39.75" hidden="false" customHeight="true" outlineLevel="0" collapsed="false">
      <c r="A271" s="28" t="s">
        <v>3458</v>
      </c>
      <c r="B271" s="21" t="s">
        <v>3459</v>
      </c>
      <c r="C271" s="29" t="s">
        <v>3453</v>
      </c>
    </row>
    <row r="272" customFormat="false" ht="39.75" hidden="false" customHeight="true" outlineLevel="0" collapsed="false">
      <c r="A272" s="28" t="s">
        <v>3460</v>
      </c>
      <c r="B272" s="21" t="s">
        <v>3461</v>
      </c>
      <c r="C272" s="29" t="s">
        <v>3453</v>
      </c>
    </row>
    <row r="273" customFormat="false" ht="39.75" hidden="false" customHeight="true" outlineLevel="0" collapsed="false">
      <c r="A273" s="28" t="s">
        <v>3462</v>
      </c>
      <c r="B273" s="21" t="s">
        <v>3463</v>
      </c>
      <c r="C273" s="29" t="s">
        <v>3453</v>
      </c>
    </row>
    <row r="274" customFormat="false" ht="39.75" hidden="false" customHeight="true" outlineLevel="0" collapsed="false">
      <c r="A274" s="28" t="s">
        <v>3464</v>
      </c>
      <c r="B274" s="21" t="s">
        <v>3465</v>
      </c>
      <c r="C274" s="29" t="s">
        <v>3453</v>
      </c>
    </row>
    <row r="275" customFormat="false" ht="39.75" hidden="false" customHeight="true" outlineLevel="0" collapsed="false">
      <c r="A275" s="28" t="s">
        <v>3466</v>
      </c>
      <c r="B275" s="21" t="s">
        <v>3467</v>
      </c>
      <c r="C275" s="29" t="s">
        <v>2831</v>
      </c>
    </row>
    <row r="276" customFormat="false" ht="39.75" hidden="false" customHeight="true" outlineLevel="0" collapsed="false">
      <c r="A276" s="28" t="s">
        <v>3468</v>
      </c>
      <c r="B276" s="21" t="s">
        <v>3469</v>
      </c>
      <c r="C276" s="29" t="s">
        <v>3470</v>
      </c>
    </row>
    <row r="277" customFormat="false" ht="39.75" hidden="false" customHeight="true" outlineLevel="0" collapsed="false">
      <c r="A277" s="28" t="s">
        <v>3471</v>
      </c>
      <c r="B277" s="21" t="s">
        <v>3472</v>
      </c>
      <c r="C277" s="29" t="s">
        <v>3470</v>
      </c>
    </row>
    <row r="278" customFormat="false" ht="39.75" hidden="false" customHeight="true" outlineLevel="0" collapsed="false">
      <c r="A278" s="28" t="s">
        <v>3473</v>
      </c>
      <c r="B278" s="21" t="s">
        <v>3474</v>
      </c>
      <c r="C278" s="29" t="s">
        <v>2831</v>
      </c>
    </row>
    <row r="279" customFormat="false" ht="39.75" hidden="false" customHeight="true" outlineLevel="0" collapsed="false">
      <c r="A279" s="28" t="s">
        <v>3475</v>
      </c>
      <c r="B279" s="21" t="s">
        <v>3476</v>
      </c>
      <c r="C279" s="29" t="s">
        <v>3470</v>
      </c>
    </row>
    <row r="280" customFormat="false" ht="39.75" hidden="false" customHeight="true" outlineLevel="0" collapsed="false">
      <c r="A280" s="28" t="s">
        <v>3477</v>
      </c>
      <c r="B280" s="21" t="s">
        <v>3478</v>
      </c>
      <c r="C280" s="29" t="s">
        <v>3479</v>
      </c>
    </row>
    <row r="281" customFormat="false" ht="39.75" hidden="false" customHeight="true" outlineLevel="0" collapsed="false">
      <c r="A281" s="28" t="s">
        <v>3480</v>
      </c>
      <c r="B281" s="21" t="s">
        <v>3481</v>
      </c>
      <c r="C281" s="29" t="s">
        <v>2831</v>
      </c>
    </row>
    <row r="282" customFormat="false" ht="39.75" hidden="false" customHeight="true" outlineLevel="0" collapsed="false">
      <c r="A282" s="28" t="s">
        <v>3482</v>
      </c>
      <c r="B282" s="21" t="s">
        <v>3483</v>
      </c>
      <c r="C282" s="29" t="s">
        <v>2831</v>
      </c>
    </row>
    <row r="283" customFormat="false" ht="26.25" hidden="false" customHeight="true" outlineLevel="0" collapsed="false">
      <c r="A283" s="28" t="s">
        <v>3484</v>
      </c>
      <c r="B283" s="21" t="s">
        <v>3485</v>
      </c>
      <c r="C283" s="29" t="s">
        <v>3486</v>
      </c>
    </row>
    <row r="284" customFormat="false" ht="26.25" hidden="false" customHeight="true" outlineLevel="0" collapsed="false">
      <c r="A284" s="28" t="s">
        <v>3487</v>
      </c>
      <c r="B284" s="21" t="s">
        <v>3488</v>
      </c>
      <c r="C284" s="29" t="s">
        <v>3489</v>
      </c>
    </row>
    <row r="285" customFormat="false" ht="26.25" hidden="false" customHeight="true" outlineLevel="0" collapsed="false">
      <c r="A285" s="28" t="s">
        <v>3490</v>
      </c>
      <c r="B285" s="21" t="s">
        <v>3491</v>
      </c>
      <c r="C285" s="29" t="s">
        <v>3492</v>
      </c>
    </row>
    <row r="286" customFormat="false" ht="26.25" hidden="false" customHeight="true" outlineLevel="0" collapsed="false">
      <c r="A286" s="28" t="s">
        <v>3493</v>
      </c>
      <c r="B286" s="21" t="s">
        <v>3494</v>
      </c>
      <c r="C286" s="29" t="s">
        <v>3495</v>
      </c>
    </row>
    <row r="287" customFormat="false" ht="26.25" hidden="false" customHeight="true" outlineLevel="0" collapsed="false">
      <c r="A287" s="28" t="s">
        <v>3496</v>
      </c>
      <c r="B287" s="21" t="s">
        <v>3497</v>
      </c>
      <c r="C287" s="29" t="s">
        <v>3495</v>
      </c>
    </row>
    <row r="288" customFormat="false" ht="26.25" hidden="false" customHeight="true" outlineLevel="0" collapsed="false">
      <c r="A288" s="28" t="s">
        <v>3498</v>
      </c>
      <c r="B288" s="21" t="s">
        <v>3499</v>
      </c>
      <c r="C288" s="29" t="s">
        <v>3495</v>
      </c>
    </row>
    <row r="289" customFormat="false" ht="26.25" hidden="false" customHeight="true" outlineLevel="0" collapsed="false">
      <c r="A289" s="28" t="s">
        <v>3500</v>
      </c>
      <c r="B289" s="21" t="s">
        <v>3501</v>
      </c>
      <c r="C289" s="29" t="s">
        <v>3502</v>
      </c>
    </row>
    <row r="290" customFormat="false" ht="26.25" hidden="false" customHeight="true" outlineLevel="0" collapsed="false">
      <c r="A290" s="21" t="s">
        <v>3503</v>
      </c>
      <c r="B290" s="21" t="s">
        <v>3504</v>
      </c>
      <c r="C290" s="24" t="s">
        <v>3505</v>
      </c>
    </row>
    <row r="291" customFormat="false" ht="26.25" hidden="false" customHeight="true" outlineLevel="0" collapsed="false">
      <c r="A291" s="21" t="s">
        <v>3506</v>
      </c>
      <c r="B291" s="21" t="s">
        <v>3507</v>
      </c>
      <c r="C291" s="24" t="s">
        <v>3508</v>
      </c>
    </row>
    <row r="292" customFormat="false" ht="26.25" hidden="false" customHeight="true" outlineLevel="0" collapsed="false">
      <c r="A292" s="21" t="s">
        <v>3509</v>
      </c>
      <c r="B292" s="21" t="s">
        <v>3510</v>
      </c>
      <c r="C292" s="24" t="s">
        <v>3511</v>
      </c>
    </row>
    <row r="293" customFormat="false" ht="26.25" hidden="false" customHeight="true" outlineLevel="0" collapsed="false">
      <c r="A293" s="21" t="s">
        <v>3512</v>
      </c>
      <c r="B293" s="21" t="s">
        <v>3513</v>
      </c>
      <c r="C293" s="24" t="s">
        <v>3514</v>
      </c>
    </row>
    <row r="294" customFormat="false" ht="26.25" hidden="false" customHeight="true" outlineLevel="0" collapsed="false">
      <c r="A294" s="21" t="s">
        <v>3515</v>
      </c>
      <c r="B294" s="21" t="s">
        <v>3516</v>
      </c>
      <c r="C294" s="24" t="s">
        <v>3517</v>
      </c>
    </row>
    <row r="295" customFormat="false" ht="26.25" hidden="false" customHeight="true" outlineLevel="0" collapsed="false">
      <c r="A295" s="21" t="s">
        <v>3518</v>
      </c>
      <c r="B295" s="21" t="s">
        <v>3519</v>
      </c>
      <c r="C295" s="24" t="s">
        <v>2831</v>
      </c>
    </row>
    <row r="296" customFormat="false" ht="26.25" hidden="false" customHeight="true" outlineLevel="0" collapsed="false">
      <c r="A296" s="21" t="s">
        <v>3520</v>
      </c>
      <c r="B296" s="21" t="s">
        <v>3521</v>
      </c>
      <c r="C296" s="24" t="s">
        <v>3522</v>
      </c>
    </row>
    <row r="297" customFormat="false" ht="26.25" hidden="false" customHeight="true" outlineLevel="0" collapsed="false">
      <c r="A297" s="21" t="s">
        <v>3523</v>
      </c>
      <c r="B297" s="21" t="s">
        <v>3524</v>
      </c>
      <c r="C297" s="24" t="s">
        <v>3525</v>
      </c>
    </row>
    <row r="298" customFormat="false" ht="26.25" hidden="false" customHeight="true" outlineLevel="0" collapsed="false">
      <c r="A298" s="21" t="s">
        <v>3526</v>
      </c>
      <c r="B298" s="21" t="s">
        <v>3527</v>
      </c>
      <c r="C298" s="24" t="s">
        <v>3528</v>
      </c>
    </row>
    <row r="299" customFormat="false" ht="26.25" hidden="false" customHeight="true" outlineLevel="0" collapsed="false">
      <c r="A299" s="21" t="s">
        <v>3529</v>
      </c>
      <c r="B299" s="21" t="s">
        <v>3530</v>
      </c>
      <c r="C299" s="24" t="s">
        <v>3531</v>
      </c>
    </row>
    <row r="300" customFormat="false" ht="26.25" hidden="false" customHeight="true" outlineLevel="0" collapsed="false">
      <c r="A300" s="21" t="s">
        <v>3532</v>
      </c>
      <c r="B300" s="21" t="s">
        <v>3533</v>
      </c>
      <c r="C300" s="24" t="s">
        <v>3534</v>
      </c>
    </row>
    <row r="301" customFormat="false" ht="26.25" hidden="false" customHeight="true" outlineLevel="0" collapsed="false">
      <c r="A301" s="21" t="s">
        <v>3535</v>
      </c>
      <c r="B301" s="21" t="s">
        <v>3536</v>
      </c>
      <c r="C301" s="24" t="s">
        <v>3534</v>
      </c>
    </row>
    <row r="302" customFormat="false" ht="26.25" hidden="false" customHeight="true" outlineLevel="0" collapsed="false">
      <c r="A302" s="21" t="s">
        <v>3537</v>
      </c>
      <c r="B302" s="21" t="s">
        <v>3538</v>
      </c>
      <c r="C302" s="24" t="s">
        <v>3534</v>
      </c>
    </row>
    <row r="303" customFormat="false" ht="26.25" hidden="false" customHeight="true" outlineLevel="0" collapsed="false">
      <c r="A303" s="21" t="s">
        <v>3539</v>
      </c>
      <c r="B303" s="21" t="s">
        <v>3540</v>
      </c>
      <c r="C303" s="24" t="s">
        <v>3531</v>
      </c>
    </row>
    <row r="304" customFormat="false" ht="26.25" hidden="false" customHeight="true" outlineLevel="0" collapsed="false">
      <c r="A304" s="21" t="s">
        <v>3541</v>
      </c>
      <c r="B304" s="21" t="s">
        <v>3542</v>
      </c>
      <c r="C304" s="24" t="s">
        <v>3543</v>
      </c>
    </row>
    <row r="305" customFormat="false" ht="26.25" hidden="false" customHeight="true" outlineLevel="0" collapsed="false">
      <c r="A305" s="21" t="s">
        <v>3544</v>
      </c>
      <c r="B305" s="21" t="s">
        <v>3545</v>
      </c>
      <c r="C305" s="24" t="s">
        <v>3546</v>
      </c>
    </row>
    <row r="306" customFormat="false" ht="26.25" hidden="false" customHeight="true" outlineLevel="0" collapsed="false">
      <c r="A306" s="21" t="s">
        <v>3547</v>
      </c>
      <c r="B306" s="21" t="s">
        <v>3548</v>
      </c>
      <c r="C306" s="24" t="s">
        <v>3549</v>
      </c>
    </row>
    <row r="307" customFormat="false" ht="26.25" hidden="false" customHeight="true" outlineLevel="0" collapsed="false">
      <c r="A307" s="21" t="s">
        <v>3550</v>
      </c>
      <c r="B307" s="21" t="s">
        <v>3551</v>
      </c>
      <c r="C307" s="24" t="s">
        <v>3552</v>
      </c>
    </row>
    <row r="308" customFormat="false" ht="26.25" hidden="false" customHeight="true" outlineLevel="0" collapsed="false">
      <c r="A308" s="21" t="s">
        <v>3553</v>
      </c>
      <c r="B308" s="21" t="s">
        <v>3554</v>
      </c>
      <c r="C308" s="24" t="s">
        <v>3552</v>
      </c>
    </row>
    <row r="309" customFormat="false" ht="26.25" hidden="false" customHeight="true" outlineLevel="0" collapsed="false">
      <c r="A309" s="21" t="s">
        <v>3555</v>
      </c>
      <c r="B309" s="21" t="s">
        <v>3556</v>
      </c>
      <c r="C309" s="24" t="s">
        <v>3552</v>
      </c>
    </row>
    <row r="310" customFormat="false" ht="42" hidden="false" customHeight="true" outlineLevel="0" collapsed="false">
      <c r="A310" s="21" t="s">
        <v>3557</v>
      </c>
      <c r="B310" s="21" t="s">
        <v>3558</v>
      </c>
      <c r="C310" s="24" t="s">
        <v>3559</v>
      </c>
    </row>
    <row r="311" customFormat="false" ht="42" hidden="false" customHeight="true" outlineLevel="0" collapsed="false">
      <c r="A311" s="21" t="s">
        <v>3560</v>
      </c>
      <c r="B311" s="21" t="s">
        <v>3561</v>
      </c>
      <c r="C311" s="24" t="s">
        <v>3559</v>
      </c>
    </row>
    <row r="312" customFormat="false" ht="42" hidden="false" customHeight="true" outlineLevel="0" collapsed="false">
      <c r="A312" s="21" t="s">
        <v>3562</v>
      </c>
      <c r="B312" s="21" t="s">
        <v>3563</v>
      </c>
      <c r="C312" s="24" t="s">
        <v>3559</v>
      </c>
    </row>
    <row r="313" customFormat="false" ht="42" hidden="false" customHeight="true" outlineLevel="0" collapsed="false">
      <c r="A313" s="21" t="s">
        <v>3564</v>
      </c>
      <c r="B313" s="21" t="s">
        <v>3565</v>
      </c>
      <c r="C313" s="24" t="s">
        <v>3559</v>
      </c>
    </row>
    <row r="314" customFormat="false" ht="42" hidden="false" customHeight="true" outlineLevel="0" collapsed="false">
      <c r="A314" s="21" t="s">
        <v>3566</v>
      </c>
      <c r="B314" s="21" t="s">
        <v>3567</v>
      </c>
      <c r="C314" s="24" t="s">
        <v>3559</v>
      </c>
    </row>
    <row r="315" customFormat="false" ht="42" hidden="false" customHeight="true" outlineLevel="0" collapsed="false">
      <c r="A315" s="21" t="s">
        <v>3568</v>
      </c>
      <c r="B315" s="21" t="s">
        <v>3569</v>
      </c>
      <c r="C315" s="24" t="s">
        <v>3559</v>
      </c>
    </row>
    <row r="316" customFormat="false" ht="42" hidden="false" customHeight="true" outlineLevel="0" collapsed="false">
      <c r="A316" s="21" t="s">
        <v>3570</v>
      </c>
      <c r="B316" s="21" t="s">
        <v>3571</v>
      </c>
      <c r="C316" s="24" t="s">
        <v>3559</v>
      </c>
    </row>
    <row r="317" customFormat="false" ht="42" hidden="false" customHeight="true" outlineLevel="0" collapsed="false">
      <c r="A317" s="21" t="s">
        <v>3572</v>
      </c>
      <c r="B317" s="21" t="s">
        <v>3573</v>
      </c>
      <c r="C317" s="24" t="s">
        <v>3559</v>
      </c>
    </row>
    <row r="318" customFormat="false" ht="42" hidden="false" customHeight="true" outlineLevel="0" collapsed="false">
      <c r="A318" s="21" t="s">
        <v>3574</v>
      </c>
      <c r="B318" s="21" t="s">
        <v>3575</v>
      </c>
      <c r="C318" s="24" t="s">
        <v>3559</v>
      </c>
    </row>
    <row r="319" customFormat="false" ht="42" hidden="false" customHeight="true" outlineLevel="0" collapsed="false">
      <c r="A319" s="21" t="s">
        <v>3576</v>
      </c>
      <c r="B319" s="21" t="s">
        <v>3577</v>
      </c>
      <c r="C319" s="24" t="s">
        <v>3559</v>
      </c>
    </row>
    <row r="320" customFormat="false" ht="42" hidden="false" customHeight="true" outlineLevel="0" collapsed="false">
      <c r="A320" s="21" t="s">
        <v>3578</v>
      </c>
      <c r="B320" s="21" t="s">
        <v>3579</v>
      </c>
      <c r="C320" s="24" t="s">
        <v>3580</v>
      </c>
    </row>
    <row r="321" customFormat="false" ht="42" hidden="false" customHeight="true" outlineLevel="0" collapsed="false">
      <c r="A321" s="21" t="s">
        <v>3581</v>
      </c>
      <c r="B321" s="21" t="s">
        <v>3582</v>
      </c>
      <c r="C321" s="24" t="s">
        <v>3580</v>
      </c>
    </row>
    <row r="322" customFormat="false" ht="42" hidden="false" customHeight="true" outlineLevel="0" collapsed="false">
      <c r="A322" s="21" t="s">
        <v>3583</v>
      </c>
      <c r="B322" s="21" t="s">
        <v>3584</v>
      </c>
      <c r="C322" s="24" t="s">
        <v>3580</v>
      </c>
    </row>
    <row r="323" customFormat="false" ht="42" hidden="false" customHeight="true" outlineLevel="0" collapsed="false">
      <c r="A323" s="21" t="s">
        <v>3585</v>
      </c>
      <c r="B323" s="21" t="s">
        <v>3586</v>
      </c>
      <c r="C323" s="24" t="s">
        <v>3580</v>
      </c>
    </row>
    <row r="324" customFormat="false" ht="42" hidden="false" customHeight="true" outlineLevel="0" collapsed="false">
      <c r="A324" s="21" t="s">
        <v>3587</v>
      </c>
      <c r="B324" s="21" t="s">
        <v>3588</v>
      </c>
      <c r="C324" s="24" t="s">
        <v>3580</v>
      </c>
    </row>
    <row r="325" customFormat="false" ht="42" hidden="false" customHeight="true" outlineLevel="0" collapsed="false">
      <c r="A325" s="21" t="s">
        <v>3589</v>
      </c>
      <c r="B325" s="21" t="s">
        <v>3590</v>
      </c>
      <c r="C325" s="24" t="s">
        <v>3580</v>
      </c>
    </row>
    <row r="326" customFormat="false" ht="42" hidden="false" customHeight="true" outlineLevel="0" collapsed="false">
      <c r="A326" s="21" t="s">
        <v>3591</v>
      </c>
      <c r="B326" s="21" t="s">
        <v>3592</v>
      </c>
      <c r="C326" s="24" t="s">
        <v>3580</v>
      </c>
    </row>
    <row r="327" customFormat="false" ht="42" hidden="false" customHeight="true" outlineLevel="0" collapsed="false">
      <c r="A327" s="21" t="s">
        <v>3593</v>
      </c>
      <c r="B327" s="21" t="s">
        <v>3594</v>
      </c>
      <c r="C327" s="24" t="s">
        <v>3580</v>
      </c>
    </row>
    <row r="328" customFormat="false" ht="42" hidden="false" customHeight="true" outlineLevel="0" collapsed="false">
      <c r="A328" s="21" t="s">
        <v>3595</v>
      </c>
      <c r="B328" s="21" t="s">
        <v>3596</v>
      </c>
      <c r="C328" s="24" t="s">
        <v>3580</v>
      </c>
    </row>
    <row r="329" customFormat="false" ht="42" hidden="false" customHeight="true" outlineLevel="0" collapsed="false">
      <c r="A329" s="21" t="s">
        <v>3597</v>
      </c>
      <c r="B329" s="21" t="s">
        <v>3598</v>
      </c>
      <c r="C329" s="24" t="s">
        <v>3580</v>
      </c>
    </row>
    <row r="330" customFormat="false" ht="42" hidden="false" customHeight="true" outlineLevel="0" collapsed="false">
      <c r="A330" s="21" t="s">
        <v>3599</v>
      </c>
      <c r="B330" s="21" t="s">
        <v>3600</v>
      </c>
      <c r="C330" s="24" t="s">
        <v>3580</v>
      </c>
    </row>
    <row r="331" customFormat="false" ht="42" hidden="false" customHeight="true" outlineLevel="0" collapsed="false">
      <c r="A331" s="21" t="s">
        <v>3601</v>
      </c>
      <c r="B331" s="21" t="s">
        <v>3602</v>
      </c>
      <c r="C331" s="24" t="s">
        <v>3580</v>
      </c>
    </row>
    <row r="332" customFormat="false" ht="42" hidden="false" customHeight="true" outlineLevel="0" collapsed="false">
      <c r="A332" s="21" t="s">
        <v>3603</v>
      </c>
      <c r="B332" s="21" t="s">
        <v>3604</v>
      </c>
      <c r="C332" s="24" t="s">
        <v>3605</v>
      </c>
      <c r="D332" s="30"/>
    </row>
    <row r="333" customFormat="false" ht="42" hidden="false" customHeight="true" outlineLevel="0" collapsed="false">
      <c r="A333" s="21" t="s">
        <v>3606</v>
      </c>
      <c r="B333" s="21" t="s">
        <v>3607</v>
      </c>
      <c r="C333" s="24" t="s">
        <v>3605</v>
      </c>
      <c r="D333" s="30"/>
    </row>
    <row r="334" customFormat="false" ht="42" hidden="false" customHeight="true" outlineLevel="0" collapsed="false">
      <c r="A334" s="21" t="s">
        <v>3608</v>
      </c>
      <c r="B334" s="21" t="s">
        <v>3609</v>
      </c>
      <c r="C334" s="24" t="s">
        <v>3605</v>
      </c>
      <c r="D334" s="30"/>
    </row>
    <row r="335" customFormat="false" ht="42" hidden="false" customHeight="true" outlineLevel="0" collapsed="false">
      <c r="A335" s="21" t="s">
        <v>3610</v>
      </c>
      <c r="B335" s="21" t="s">
        <v>3611</v>
      </c>
      <c r="C335" s="24" t="s">
        <v>3605</v>
      </c>
      <c r="D335" s="30"/>
    </row>
    <row r="336" customFormat="false" ht="42" hidden="false" customHeight="true" outlineLevel="0" collapsed="false">
      <c r="A336" s="21" t="s">
        <v>3612</v>
      </c>
      <c r="B336" s="21" t="s">
        <v>3613</v>
      </c>
      <c r="C336" s="24" t="s">
        <v>3605</v>
      </c>
      <c r="D336" s="30"/>
    </row>
    <row r="337" customFormat="false" ht="42" hidden="false" customHeight="true" outlineLevel="0" collapsed="false">
      <c r="A337" s="21" t="s">
        <v>3614</v>
      </c>
      <c r="B337" s="21" t="s">
        <v>3615</v>
      </c>
      <c r="C337" s="24" t="s">
        <v>3605</v>
      </c>
      <c r="D337" s="30"/>
    </row>
    <row r="338" customFormat="false" ht="42" hidden="false" customHeight="true" outlineLevel="0" collapsed="false">
      <c r="A338" s="21" t="s">
        <v>3616</v>
      </c>
      <c r="B338" s="21" t="s">
        <v>3617</v>
      </c>
      <c r="C338" s="24" t="s">
        <v>3605</v>
      </c>
      <c r="D338" s="30"/>
    </row>
    <row r="339" customFormat="false" ht="42" hidden="false" customHeight="true" outlineLevel="0" collapsed="false">
      <c r="A339" s="21" t="s">
        <v>3618</v>
      </c>
      <c r="B339" s="21" t="s">
        <v>3619</v>
      </c>
      <c r="C339" s="24" t="s">
        <v>3605</v>
      </c>
      <c r="D339" s="30"/>
    </row>
    <row r="340" customFormat="false" ht="42" hidden="false" customHeight="true" outlineLevel="0" collapsed="false">
      <c r="A340" s="21" t="s">
        <v>3620</v>
      </c>
      <c r="B340" s="21" t="s">
        <v>3621</v>
      </c>
      <c r="C340" s="24" t="s">
        <v>3605</v>
      </c>
      <c r="D340" s="30"/>
    </row>
    <row r="341" customFormat="false" ht="42" hidden="false" customHeight="true" outlineLevel="0" collapsed="false">
      <c r="A341" s="21" t="s">
        <v>3622</v>
      </c>
      <c r="B341" s="21" t="s">
        <v>3623</v>
      </c>
      <c r="C341" s="24" t="s">
        <v>3605</v>
      </c>
      <c r="D341" s="30"/>
    </row>
    <row r="342" customFormat="false" ht="42" hidden="false" customHeight="true" outlineLevel="0" collapsed="false">
      <c r="A342" s="21" t="s">
        <v>3624</v>
      </c>
      <c r="B342" s="21" t="s">
        <v>3625</v>
      </c>
      <c r="C342" s="24" t="s">
        <v>3605</v>
      </c>
      <c r="D342" s="30"/>
    </row>
    <row r="343" customFormat="false" ht="42" hidden="false" customHeight="true" outlineLevel="0" collapsed="false">
      <c r="A343" s="21" t="s">
        <v>3626</v>
      </c>
      <c r="B343" s="21" t="s">
        <v>3627</v>
      </c>
      <c r="C343" s="24" t="s">
        <v>3605</v>
      </c>
      <c r="D343" s="30"/>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45"/>
    <col collapsed="false" customWidth="true" hidden="false" outlineLevel="0" max="2" min="2" style="1" width="65"/>
    <col collapsed="false" customWidth="true" hidden="false" outlineLevel="0" max="3" min="3" style="1" width="36"/>
    <col collapsed="false" customWidth="true" hidden="false" outlineLevel="0" max="4" min="4" style="1" width="72"/>
    <col collapsed="false" customWidth="true" hidden="false" outlineLevel="0" max="5" min="5" style="1" width="78"/>
  </cols>
  <sheetData>
    <row r="1" customFormat="false" ht="30" hidden="false" customHeight="true" outlineLevel="0" collapsed="false">
      <c r="A1" s="8" t="s">
        <v>3628</v>
      </c>
      <c r="B1" s="8"/>
      <c r="C1" s="8"/>
      <c r="D1" s="8"/>
      <c r="E1" s="8"/>
    </row>
    <row r="2" customFormat="false" ht="33.75" hidden="false" customHeight="true" outlineLevel="0" collapsed="false">
      <c r="A2" s="19" t="s">
        <v>3629</v>
      </c>
      <c r="B2" s="19"/>
      <c r="C2" s="19"/>
      <c r="D2" s="19"/>
      <c r="E2" s="19"/>
    </row>
    <row r="4" customFormat="false" ht="33.75" hidden="false" customHeight="true" outlineLevel="0" collapsed="false">
      <c r="A4" s="10" t="s">
        <v>3630</v>
      </c>
      <c r="B4" s="10" t="s">
        <v>3631</v>
      </c>
      <c r="C4" s="10" t="s">
        <v>3632</v>
      </c>
      <c r="D4" s="10" t="s">
        <v>3633</v>
      </c>
      <c r="E4" s="10" t="s">
        <v>3634</v>
      </c>
    </row>
    <row r="5" customFormat="false" ht="26.25" hidden="false" customHeight="true" outlineLevel="0" collapsed="false">
      <c r="A5" s="26" t="s">
        <v>3635</v>
      </c>
      <c r="B5" s="26" t="s">
        <v>3636</v>
      </c>
      <c r="C5" s="26" t="s">
        <v>3637</v>
      </c>
      <c r="D5" s="26" t="s">
        <v>3638</v>
      </c>
      <c r="E5" s="26" t="s">
        <v>3639</v>
      </c>
    </row>
    <row r="6" customFormat="false" ht="26.25" hidden="false" customHeight="true" outlineLevel="0" collapsed="false">
      <c r="A6" s="31" t="s">
        <v>3640</v>
      </c>
      <c r="B6" s="31" t="s">
        <v>3641</v>
      </c>
      <c r="C6" s="31" t="s">
        <v>3642</v>
      </c>
      <c r="D6" s="31" t="s">
        <v>3643</v>
      </c>
      <c r="E6" s="31" t="s">
        <v>3644</v>
      </c>
    </row>
    <row r="7" customFormat="false" ht="26.25" hidden="false" customHeight="true" outlineLevel="0" collapsed="false">
      <c r="A7" s="26" t="s">
        <v>2158</v>
      </c>
      <c r="B7" s="26" t="s">
        <v>3645</v>
      </c>
      <c r="C7" s="26" t="s">
        <v>2162</v>
      </c>
      <c r="D7" s="26" t="s">
        <v>2163</v>
      </c>
      <c r="E7" s="26" t="s">
        <v>2166</v>
      </c>
    </row>
    <row r="8" customFormat="false" ht="26.25" hidden="false" customHeight="true" outlineLevel="0" collapsed="false">
      <c r="A8" s="31" t="s">
        <v>2170</v>
      </c>
      <c r="B8" s="31" t="s">
        <v>3646</v>
      </c>
      <c r="C8" s="31" t="s">
        <v>2174</v>
      </c>
      <c r="D8" s="31" t="s">
        <v>2175</v>
      </c>
      <c r="E8" s="31" t="s">
        <v>2177</v>
      </c>
    </row>
    <row r="9" customFormat="false" ht="26.25" hidden="false" customHeight="true" outlineLevel="0" collapsed="false">
      <c r="A9" s="26" t="s">
        <v>2181</v>
      </c>
      <c r="B9" s="26" t="s">
        <v>3647</v>
      </c>
      <c r="C9" s="26" t="s">
        <v>2185</v>
      </c>
      <c r="D9" s="26" t="s">
        <v>2186</v>
      </c>
      <c r="E9" s="26" t="s">
        <v>2188</v>
      </c>
    </row>
    <row r="10" customFormat="false" ht="26.25" hidden="false" customHeight="true" outlineLevel="0" collapsed="false">
      <c r="A10" s="31" t="s">
        <v>2192</v>
      </c>
      <c r="B10" s="31" t="s">
        <v>3648</v>
      </c>
      <c r="C10" s="31" t="s">
        <v>2196</v>
      </c>
      <c r="D10" s="31" t="s">
        <v>2197</v>
      </c>
      <c r="E10" s="31" t="s">
        <v>2199</v>
      </c>
    </row>
    <row r="11" customFormat="false" ht="26.25" hidden="false" customHeight="true" outlineLevel="0" collapsed="false">
      <c r="A11" s="26" t="s">
        <v>2203</v>
      </c>
      <c r="B11" s="26" t="s">
        <v>3649</v>
      </c>
      <c r="C11" s="26" t="s">
        <v>2207</v>
      </c>
      <c r="D11" s="26" t="s">
        <v>2208</v>
      </c>
      <c r="E11" s="26" t="s">
        <v>2211</v>
      </c>
    </row>
    <row r="12" customFormat="false" ht="26.25" hidden="false" customHeight="true" outlineLevel="0" collapsed="false">
      <c r="A12" s="31" t="s">
        <v>2215</v>
      </c>
      <c r="B12" s="31" t="s">
        <v>3650</v>
      </c>
      <c r="C12" s="31" t="s">
        <v>2218</v>
      </c>
      <c r="D12" s="31" t="s">
        <v>2219</v>
      </c>
      <c r="E12" s="31" t="s">
        <v>2221</v>
      </c>
    </row>
    <row r="13" customFormat="false" ht="26.25" hidden="false" customHeight="true" outlineLevel="0" collapsed="false">
      <c r="A13" s="26" t="s">
        <v>2225</v>
      </c>
      <c r="B13" s="26" t="s">
        <v>3651</v>
      </c>
      <c r="C13" s="26" t="s">
        <v>2229</v>
      </c>
      <c r="D13" s="26" t="s">
        <v>2230</v>
      </c>
      <c r="E13" s="26" t="s">
        <v>2232</v>
      </c>
    </row>
    <row r="14" customFormat="false" ht="26.25" hidden="false" customHeight="true" outlineLevel="0" collapsed="false">
      <c r="A14" s="31" t="s">
        <v>2236</v>
      </c>
      <c r="B14" s="31" t="s">
        <v>3652</v>
      </c>
      <c r="C14" s="31" t="s">
        <v>2240</v>
      </c>
      <c r="D14" s="31" t="s">
        <v>2241</v>
      </c>
      <c r="E14" s="31" t="s">
        <v>2243</v>
      </c>
    </row>
    <row r="15" customFormat="false" ht="26.25" hidden="false" customHeight="true" outlineLevel="0" collapsed="false">
      <c r="A15" s="26" t="s">
        <v>2247</v>
      </c>
      <c r="B15" s="26" t="s">
        <v>3653</v>
      </c>
      <c r="C15" s="26" t="s">
        <v>2251</v>
      </c>
      <c r="D15" s="26" t="s">
        <v>2252</v>
      </c>
      <c r="E15" s="26" t="s">
        <v>2254</v>
      </c>
    </row>
    <row r="16" customFormat="false" ht="26.25" hidden="false" customHeight="true" outlineLevel="0" collapsed="false">
      <c r="A16" s="31" t="s">
        <v>2258</v>
      </c>
      <c r="B16" s="31" t="s">
        <v>3654</v>
      </c>
      <c r="C16" s="31" t="s">
        <v>2262</v>
      </c>
      <c r="D16" s="31" t="s">
        <v>2263</v>
      </c>
      <c r="E16" s="31" t="s">
        <v>2265</v>
      </c>
    </row>
    <row r="17" customFormat="false" ht="26.25" hidden="false" customHeight="true" outlineLevel="0" collapsed="false">
      <c r="A17" s="26" t="s">
        <v>2269</v>
      </c>
      <c r="B17" s="26" t="s">
        <v>3655</v>
      </c>
      <c r="C17" s="26" t="s">
        <v>2273</v>
      </c>
      <c r="D17" s="26" t="s">
        <v>2274</v>
      </c>
      <c r="E17" s="26" t="s">
        <v>2277</v>
      </c>
    </row>
    <row r="18" customFormat="false" ht="26.25" hidden="false" customHeight="true" outlineLevel="0" collapsed="false">
      <c r="A18" s="31" t="s">
        <v>2281</v>
      </c>
      <c r="B18" s="31" t="s">
        <v>3656</v>
      </c>
      <c r="C18" s="31" t="s">
        <v>2284</v>
      </c>
      <c r="D18" s="31" t="s">
        <v>2285</v>
      </c>
      <c r="E18" s="31" t="s">
        <v>2287</v>
      </c>
    </row>
    <row r="19" customFormat="false" ht="26.25" hidden="false" customHeight="true" outlineLevel="0" collapsed="false">
      <c r="A19" s="26" t="s">
        <v>2291</v>
      </c>
      <c r="B19" s="26" t="s">
        <v>3657</v>
      </c>
      <c r="C19" s="26" t="s">
        <v>2284</v>
      </c>
      <c r="D19" s="26" t="s">
        <v>2294</v>
      </c>
      <c r="E19" s="26" t="s">
        <v>2295</v>
      </c>
    </row>
    <row r="20" customFormat="false" ht="26.25" hidden="false" customHeight="true" outlineLevel="0" collapsed="false">
      <c r="A20" s="26" t="s">
        <v>3640</v>
      </c>
      <c r="B20" s="26" t="s">
        <v>3658</v>
      </c>
      <c r="C20" s="26" t="s">
        <v>3642</v>
      </c>
      <c r="D20" s="26" t="s">
        <v>3659</v>
      </c>
      <c r="E20" s="26" t="s">
        <v>3660</v>
      </c>
    </row>
    <row r="21" customFormat="false" ht="15" hidden="false" customHeight="true" outlineLevel="0" collapsed="false">
      <c r="A21" s="26" t="s">
        <v>3661</v>
      </c>
      <c r="B21" s="26" t="s">
        <v>3662</v>
      </c>
      <c r="C21" s="26" t="s">
        <v>3663</v>
      </c>
      <c r="D21" s="26" t="s">
        <v>3664</v>
      </c>
      <c r="E21" s="26" t="s">
        <v>3665</v>
      </c>
    </row>
  </sheetData>
  <mergeCells count="2">
    <mergeCell ref="A1:E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3" min="3" style="1" width="28"/>
    <col collapsed="false" customWidth="true" hidden="false" outlineLevel="0" max="4" min="4" style="1" width="24"/>
  </cols>
  <sheetData>
    <row r="1" customFormat="false" ht="24.75" hidden="false" customHeight="true" outlineLevel="0" collapsed="false">
      <c r="A1" s="32" t="s">
        <v>3666</v>
      </c>
      <c r="B1" s="32"/>
      <c r="C1" s="32"/>
      <c r="D1" s="32"/>
    </row>
    <row r="2" customFormat="false" ht="15" hidden="false" customHeight="true" outlineLevel="0" collapsed="false">
      <c r="A2" s="33" t="s">
        <v>3667</v>
      </c>
      <c r="B2" s="33" t="s">
        <v>3668</v>
      </c>
      <c r="C2" s="33" t="s">
        <v>3669</v>
      </c>
      <c r="D2" s="33" t="s">
        <v>4</v>
      </c>
    </row>
    <row r="3" customFormat="false" ht="15" hidden="false" customHeight="true" outlineLevel="0" collapsed="false">
      <c r="A3" s="34" t="s">
        <v>3670</v>
      </c>
      <c r="B3" s="34" t="n">
        <v>50</v>
      </c>
      <c r="C3" s="34" t="s">
        <v>385</v>
      </c>
      <c r="D3" s="34" t="s">
        <v>3671</v>
      </c>
    </row>
    <row r="4" customFormat="false" ht="15" hidden="false" customHeight="true" outlineLevel="0" collapsed="false">
      <c r="A4" s="34" t="s">
        <v>3672</v>
      </c>
      <c r="B4" s="34" t="n">
        <v>20</v>
      </c>
      <c r="C4" s="34" t="s">
        <v>385</v>
      </c>
      <c r="D4" s="34" t="s">
        <v>3671</v>
      </c>
    </row>
    <row r="5" customFormat="false" ht="15" hidden="false" customHeight="true" outlineLevel="0" collapsed="false">
      <c r="A5" s="34" t="s">
        <v>3673</v>
      </c>
      <c r="B5" s="34" t="n">
        <v>25</v>
      </c>
      <c r="C5" s="34" t="s">
        <v>385</v>
      </c>
      <c r="D5" s="34" t="s">
        <v>3671</v>
      </c>
    </row>
    <row r="6" customFormat="false" ht="15" hidden="false" customHeight="true" outlineLevel="0" collapsed="false">
      <c r="A6" s="34" t="s">
        <v>3674</v>
      </c>
      <c r="B6" s="34" t="n">
        <v>10</v>
      </c>
      <c r="C6" s="34" t="s">
        <v>385</v>
      </c>
      <c r="D6" s="34" t="s">
        <v>3671</v>
      </c>
    </row>
    <row r="7" customFormat="false" ht="15" hidden="false" customHeight="true" outlineLevel="0" collapsed="false">
      <c r="A7" s="34" t="s">
        <v>3675</v>
      </c>
      <c r="B7" s="34" t="n">
        <v>5</v>
      </c>
      <c r="C7" s="34" t="s">
        <v>385</v>
      </c>
      <c r="D7" s="34" t="s">
        <v>3671</v>
      </c>
    </row>
    <row r="8" customFormat="false" ht="15" hidden="false" customHeight="true" outlineLevel="0" collapsed="false">
      <c r="A8" s="34" t="s">
        <v>3676</v>
      </c>
      <c r="B8" s="34" t="n">
        <v>0</v>
      </c>
      <c r="C8" s="34" t="s">
        <v>385</v>
      </c>
      <c r="D8" s="34" t="s">
        <v>3671</v>
      </c>
    </row>
    <row r="9" customFormat="false" ht="15" hidden="false" customHeight="true" outlineLevel="0" collapsed="false">
      <c r="A9" s="34" t="s">
        <v>3677</v>
      </c>
      <c r="B9" s="34" t="n">
        <v>5</v>
      </c>
      <c r="C9" s="34" t="s">
        <v>646</v>
      </c>
      <c r="D9" s="34" t="s">
        <v>3671</v>
      </c>
    </row>
    <row r="10" customFormat="false" ht="15" hidden="false" customHeight="true" outlineLevel="0" collapsed="false">
      <c r="A10" s="34" t="s">
        <v>3678</v>
      </c>
      <c r="B10" s="34" t="n">
        <v>10</v>
      </c>
      <c r="C10" s="34" t="s">
        <v>385</v>
      </c>
      <c r="D10" s="34" t="s">
        <v>3671</v>
      </c>
    </row>
    <row r="11" customFormat="false" ht="15" hidden="false" customHeight="true" outlineLevel="0" collapsed="false">
      <c r="A11" s="34" t="s">
        <v>3679</v>
      </c>
      <c r="B11" s="34" t="n">
        <v>10</v>
      </c>
      <c r="C11" s="34" t="s">
        <v>385</v>
      </c>
      <c r="D11" s="34" t="s">
        <v>3671</v>
      </c>
    </row>
    <row r="12" customFormat="false" ht="15" hidden="false" customHeight="true" outlineLevel="0" collapsed="false">
      <c r="A12" s="34" t="s">
        <v>3680</v>
      </c>
      <c r="B12" s="34" t="n">
        <v>5</v>
      </c>
      <c r="C12" s="34" t="s">
        <v>263</v>
      </c>
      <c r="D12" s="34" t="s">
        <v>3671</v>
      </c>
    </row>
    <row r="13" customFormat="false" ht="15" hidden="false" customHeight="true" outlineLevel="0" collapsed="false">
      <c r="A13" s="34" t="s">
        <v>3681</v>
      </c>
      <c r="B13" s="34" t="n">
        <v>95</v>
      </c>
      <c r="C13" s="34" t="s">
        <v>263</v>
      </c>
      <c r="D13" s="34" t="s">
        <v>3671</v>
      </c>
    </row>
    <row r="14" customFormat="false" ht="15" hidden="false" customHeight="true" outlineLevel="0" collapsed="false">
      <c r="A14" s="34" t="s">
        <v>3682</v>
      </c>
      <c r="B14" s="34" t="n">
        <v>1</v>
      </c>
      <c r="C14" s="34" t="s">
        <v>677</v>
      </c>
      <c r="D14" s="34" t="s">
        <v>3683</v>
      </c>
    </row>
    <row r="15" customFormat="false" ht="15" hidden="false" customHeight="true" outlineLevel="0" collapsed="false">
      <c r="A15" s="34" t="s">
        <v>3684</v>
      </c>
      <c r="B15" s="34" t="n">
        <v>100</v>
      </c>
      <c r="C15" s="34" t="s">
        <v>677</v>
      </c>
      <c r="D15" s="34" t="s">
        <v>3683</v>
      </c>
    </row>
    <row r="16" customFormat="false" ht="15" hidden="false" customHeight="true" outlineLevel="0" collapsed="false">
      <c r="A16" s="34" t="s">
        <v>3685</v>
      </c>
      <c r="B16" s="34" t="n">
        <v>7</v>
      </c>
      <c r="C16" s="34" t="s">
        <v>3686</v>
      </c>
      <c r="D16" s="34" t="s">
        <v>3687</v>
      </c>
    </row>
    <row r="17" customFormat="false" ht="15" hidden="false" customHeight="true" outlineLevel="0" collapsed="false">
      <c r="A17" s="34" t="s">
        <v>3688</v>
      </c>
      <c r="B17" s="34" t="n">
        <v>36</v>
      </c>
      <c r="C17" s="34" t="s">
        <v>3689</v>
      </c>
      <c r="D17" s="34" t="s">
        <v>3687</v>
      </c>
    </row>
  </sheetData>
  <mergeCells count="1">
    <mergeCell ref="A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2" min="2" style="1" width="38"/>
    <col collapsed="false" customWidth="true" hidden="false" outlineLevel="0" max="8" min="3" style="1" width="16"/>
  </cols>
  <sheetData>
    <row r="1" customFormat="false" ht="27.75" hidden="false" customHeight="true" outlineLevel="0" collapsed="false">
      <c r="A1" s="32" t="s">
        <v>3690</v>
      </c>
      <c r="B1" s="32"/>
      <c r="C1" s="32"/>
      <c r="D1" s="32"/>
      <c r="E1" s="32"/>
      <c r="F1" s="32"/>
      <c r="G1" s="32"/>
      <c r="H1" s="32"/>
    </row>
    <row r="2" customFormat="false" ht="31.5" hidden="false" customHeight="true" outlineLevel="0" collapsed="false">
      <c r="A2" s="35" t="s">
        <v>3691</v>
      </c>
      <c r="B2" s="35" t="s">
        <v>3692</v>
      </c>
      <c r="C2" s="35" t="s">
        <v>3693</v>
      </c>
      <c r="D2" s="35" t="s">
        <v>3694</v>
      </c>
      <c r="E2" s="35" t="s">
        <v>3695</v>
      </c>
      <c r="F2" s="35" t="s">
        <v>3696</v>
      </c>
      <c r="G2" s="35" t="s">
        <v>3697</v>
      </c>
      <c r="H2" s="35" t="s">
        <v>3698</v>
      </c>
    </row>
    <row r="3" customFormat="false" ht="33.75" hidden="false" customHeight="true" outlineLevel="0" collapsed="false">
      <c r="A3" s="34" t="s">
        <v>3699</v>
      </c>
      <c r="B3" s="34" t="s">
        <v>3700</v>
      </c>
      <c r="C3" s="34" t="n">
        <v>0</v>
      </c>
      <c r="D3" s="34" t="s">
        <v>3701</v>
      </c>
      <c r="E3" s="34" t="s">
        <v>3702</v>
      </c>
      <c r="F3" s="34" t="s">
        <v>3703</v>
      </c>
      <c r="G3" s="34" t="s">
        <v>3704</v>
      </c>
      <c r="H3" s="34" t="s">
        <v>3705</v>
      </c>
    </row>
    <row r="4" customFormat="false" ht="33.75" hidden="false" customHeight="true" outlineLevel="0" collapsed="false">
      <c r="A4" s="34" t="s">
        <v>3706</v>
      </c>
      <c r="B4" s="34" t="s">
        <v>3707</v>
      </c>
      <c r="C4" s="34" t="n">
        <v>2</v>
      </c>
      <c r="D4" s="34" t="s">
        <v>3701</v>
      </c>
      <c r="E4" s="34" t="s">
        <v>3702</v>
      </c>
      <c r="F4" s="34" t="s">
        <v>3703</v>
      </c>
      <c r="G4" s="34" t="s">
        <v>3704</v>
      </c>
      <c r="H4" s="34" t="s">
        <v>3705</v>
      </c>
    </row>
    <row r="5" customFormat="false" ht="33.75" hidden="false" customHeight="true" outlineLevel="0" collapsed="false">
      <c r="A5" s="34" t="s">
        <v>3708</v>
      </c>
      <c r="B5" s="34" t="s">
        <v>3709</v>
      </c>
      <c r="C5" s="34" t="n">
        <v>4</v>
      </c>
      <c r="D5" s="34" t="s">
        <v>3701</v>
      </c>
      <c r="E5" s="34" t="s">
        <v>3702</v>
      </c>
      <c r="F5" s="34" t="s">
        <v>3703</v>
      </c>
      <c r="G5" s="34" t="s">
        <v>3704</v>
      </c>
      <c r="H5" s="34" t="s">
        <v>3705</v>
      </c>
    </row>
    <row r="6" customFormat="false" ht="33.75" hidden="false" customHeight="true" outlineLevel="0" collapsed="false">
      <c r="A6" s="34" t="s">
        <v>3710</v>
      </c>
      <c r="B6" s="34" t="s">
        <v>3711</v>
      </c>
      <c r="C6" s="34" t="n">
        <v>2</v>
      </c>
      <c r="D6" s="34" t="s">
        <v>3712</v>
      </c>
      <c r="E6" s="34" t="s">
        <v>3702</v>
      </c>
      <c r="F6" s="34" t="s">
        <v>3703</v>
      </c>
      <c r="G6" s="34" t="s">
        <v>3704</v>
      </c>
      <c r="H6" s="34" t="s">
        <v>3705</v>
      </c>
    </row>
    <row r="7" customFormat="false" ht="33.75" hidden="false" customHeight="true" outlineLevel="0" collapsed="false">
      <c r="A7" s="34" t="s">
        <v>3713</v>
      </c>
      <c r="B7" s="34" t="s">
        <v>3714</v>
      </c>
      <c r="C7" s="34" t="n">
        <v>2</v>
      </c>
      <c r="D7" s="34" t="s">
        <v>3715</v>
      </c>
      <c r="E7" s="34" t="s">
        <v>3702</v>
      </c>
      <c r="F7" s="34" t="s">
        <v>3703</v>
      </c>
      <c r="G7" s="34" t="s">
        <v>3704</v>
      </c>
      <c r="H7" s="34" t="s">
        <v>3705</v>
      </c>
    </row>
    <row r="8" customFormat="false" ht="33.75" hidden="false" customHeight="true" outlineLevel="0" collapsed="false">
      <c r="A8" s="34" t="s">
        <v>3716</v>
      </c>
      <c r="B8" s="34" t="s">
        <v>3717</v>
      </c>
      <c r="C8" s="34" t="n">
        <v>2</v>
      </c>
      <c r="D8" s="34" t="s">
        <v>3718</v>
      </c>
      <c r="E8" s="34" t="s">
        <v>3702</v>
      </c>
      <c r="F8" s="34" t="s">
        <v>3703</v>
      </c>
      <c r="G8" s="34" t="s">
        <v>3704</v>
      </c>
      <c r="H8" s="34" t="s">
        <v>3705</v>
      </c>
    </row>
    <row r="9" customFormat="false" ht="33.75" hidden="false" customHeight="true" outlineLevel="0" collapsed="false">
      <c r="A9" s="34" t="s">
        <v>3719</v>
      </c>
      <c r="B9" s="34" t="s">
        <v>3720</v>
      </c>
      <c r="C9" s="34" t="n">
        <v>2</v>
      </c>
      <c r="D9" s="34" t="s">
        <v>3701</v>
      </c>
      <c r="E9" s="34" t="s">
        <v>3721</v>
      </c>
      <c r="F9" s="34" t="s">
        <v>3703</v>
      </c>
      <c r="G9" s="34" t="s">
        <v>3704</v>
      </c>
      <c r="H9" s="34" t="s">
        <v>3705</v>
      </c>
    </row>
    <row r="10" customFormat="false" ht="33.75" hidden="false" customHeight="true" outlineLevel="0" collapsed="false">
      <c r="A10" s="34" t="s">
        <v>3722</v>
      </c>
      <c r="B10" s="34" t="s">
        <v>3723</v>
      </c>
      <c r="C10" s="34" t="n">
        <v>2</v>
      </c>
      <c r="D10" s="34" t="s">
        <v>3701</v>
      </c>
      <c r="E10" s="34" t="s">
        <v>3724</v>
      </c>
      <c r="F10" s="34" t="s">
        <v>3703</v>
      </c>
      <c r="G10" s="34" t="s">
        <v>3704</v>
      </c>
      <c r="H10" s="34" t="s">
        <v>3705</v>
      </c>
    </row>
    <row r="11" customFormat="false" ht="33.75" hidden="false" customHeight="true" outlineLevel="0" collapsed="false">
      <c r="A11" s="34" t="s">
        <v>3725</v>
      </c>
      <c r="B11" s="34" t="s">
        <v>3726</v>
      </c>
      <c r="C11" s="34" t="n">
        <v>2</v>
      </c>
      <c r="D11" s="34" t="s">
        <v>3701</v>
      </c>
      <c r="E11" s="34" t="s">
        <v>3702</v>
      </c>
      <c r="F11" s="34" t="s">
        <v>3727</v>
      </c>
      <c r="G11" s="34" t="s">
        <v>3704</v>
      </c>
      <c r="H11" s="34" t="s">
        <v>3705</v>
      </c>
    </row>
    <row r="12" customFormat="false" ht="33.75" hidden="false" customHeight="true" outlineLevel="0" collapsed="false">
      <c r="A12" s="34" t="s">
        <v>3728</v>
      </c>
      <c r="B12" s="34" t="s">
        <v>3729</v>
      </c>
      <c r="C12" s="34" t="n">
        <v>2</v>
      </c>
      <c r="D12" s="34" t="s">
        <v>3701</v>
      </c>
      <c r="E12" s="34" t="s">
        <v>3702</v>
      </c>
      <c r="F12" s="34" t="s">
        <v>3730</v>
      </c>
      <c r="G12" s="34" t="s">
        <v>3704</v>
      </c>
      <c r="H12" s="34" t="s">
        <v>3705</v>
      </c>
    </row>
    <row r="13" customFormat="false" ht="33.75" hidden="false" customHeight="true" outlineLevel="0" collapsed="false">
      <c r="A13" s="34" t="s">
        <v>3731</v>
      </c>
      <c r="B13" s="34" t="s">
        <v>3732</v>
      </c>
      <c r="C13" s="34" t="n">
        <v>2</v>
      </c>
      <c r="D13" s="34" t="s">
        <v>3701</v>
      </c>
      <c r="E13" s="34" t="s">
        <v>3702</v>
      </c>
      <c r="F13" s="34" t="s">
        <v>3733</v>
      </c>
      <c r="G13" s="34" t="s">
        <v>3704</v>
      </c>
      <c r="H13" s="34" t="s">
        <v>3705</v>
      </c>
    </row>
    <row r="14" customFormat="false" ht="33.75" hidden="false" customHeight="true" outlineLevel="0" collapsed="false">
      <c r="A14" s="34" t="s">
        <v>3734</v>
      </c>
      <c r="B14" s="34" t="s">
        <v>3735</v>
      </c>
      <c r="C14" s="34" t="n">
        <v>2</v>
      </c>
      <c r="D14" s="34" t="s">
        <v>3701</v>
      </c>
      <c r="E14" s="34" t="s">
        <v>3702</v>
      </c>
      <c r="F14" s="34" t="s">
        <v>3736</v>
      </c>
      <c r="G14" s="34" t="s">
        <v>3704</v>
      </c>
      <c r="H14" s="34" t="s">
        <v>3705</v>
      </c>
    </row>
    <row r="15" customFormat="false" ht="33.75" hidden="false" customHeight="true" outlineLevel="0" collapsed="false">
      <c r="A15" s="34" t="s">
        <v>3737</v>
      </c>
      <c r="B15" s="34" t="s">
        <v>3738</v>
      </c>
      <c r="C15" s="34" t="n">
        <v>2</v>
      </c>
      <c r="D15" s="34" t="s">
        <v>3701</v>
      </c>
      <c r="E15" s="34" t="s">
        <v>3702</v>
      </c>
      <c r="F15" s="34" t="s">
        <v>3703</v>
      </c>
      <c r="G15" s="34" t="s">
        <v>3739</v>
      </c>
      <c r="H15" s="34" t="s">
        <v>3705</v>
      </c>
    </row>
    <row r="16" customFormat="false" ht="33.75" hidden="false" customHeight="true" outlineLevel="0" collapsed="false">
      <c r="A16" s="34" t="s">
        <v>3740</v>
      </c>
      <c r="B16" s="34" t="s">
        <v>3741</v>
      </c>
      <c r="C16" s="34" t="n">
        <v>2</v>
      </c>
      <c r="D16" s="34" t="s">
        <v>3701</v>
      </c>
      <c r="E16" s="34" t="s">
        <v>3702</v>
      </c>
      <c r="F16" s="34" t="s">
        <v>3703</v>
      </c>
      <c r="G16" s="34" t="s">
        <v>3742</v>
      </c>
      <c r="H16" s="34" t="s">
        <v>3705</v>
      </c>
    </row>
    <row r="17" customFormat="false" ht="33.75" hidden="false" customHeight="true" outlineLevel="0" collapsed="false">
      <c r="A17" s="34" t="s">
        <v>3743</v>
      </c>
      <c r="B17" s="34" t="s">
        <v>3744</v>
      </c>
      <c r="C17" s="34" t="n">
        <v>2</v>
      </c>
      <c r="D17" s="34" t="s">
        <v>3701</v>
      </c>
      <c r="E17" s="34" t="s">
        <v>3702</v>
      </c>
      <c r="F17" s="34" t="s">
        <v>3703</v>
      </c>
      <c r="G17" s="34" t="s">
        <v>3745</v>
      </c>
      <c r="H17" s="34" t="s">
        <v>3705</v>
      </c>
    </row>
    <row r="18" customFormat="false" ht="33.75" hidden="false" customHeight="true" outlineLevel="0" collapsed="false">
      <c r="A18" s="34" t="s">
        <v>3746</v>
      </c>
      <c r="B18" s="34" t="s">
        <v>3747</v>
      </c>
      <c r="C18" s="34" t="n">
        <v>2</v>
      </c>
      <c r="D18" s="34" t="s">
        <v>3701</v>
      </c>
      <c r="E18" s="34" t="s">
        <v>3702</v>
      </c>
      <c r="F18" s="34" t="s">
        <v>3703</v>
      </c>
      <c r="G18" s="34" t="s">
        <v>3748</v>
      </c>
      <c r="H18" s="34" t="s">
        <v>3705</v>
      </c>
    </row>
    <row r="19" customFormat="false" ht="33.75" hidden="false" customHeight="true" outlineLevel="0" collapsed="false">
      <c r="A19" s="34" t="s">
        <v>3749</v>
      </c>
      <c r="B19" s="34" t="s">
        <v>3750</v>
      </c>
      <c r="C19" s="34" t="n">
        <v>2</v>
      </c>
      <c r="D19" s="34" t="s">
        <v>3701</v>
      </c>
      <c r="E19" s="34" t="s">
        <v>3702</v>
      </c>
      <c r="F19" s="34" t="s">
        <v>3703</v>
      </c>
      <c r="G19" s="34" t="s">
        <v>3751</v>
      </c>
      <c r="H19" s="34" t="s">
        <v>3705</v>
      </c>
    </row>
    <row r="20" customFormat="false" ht="33.75" hidden="false" customHeight="true" outlineLevel="0" collapsed="false">
      <c r="A20" s="34" t="s">
        <v>3752</v>
      </c>
      <c r="B20" s="34" t="s">
        <v>3753</v>
      </c>
      <c r="C20" s="34" t="n">
        <v>2</v>
      </c>
      <c r="D20" s="34" t="s">
        <v>3701</v>
      </c>
      <c r="E20" s="34" t="s">
        <v>3702</v>
      </c>
      <c r="F20" s="34" t="s">
        <v>3703</v>
      </c>
      <c r="G20" s="34" t="s">
        <v>3754</v>
      </c>
      <c r="H20" s="34" t="s">
        <v>3705</v>
      </c>
    </row>
    <row r="21" customFormat="false" ht="33.75" hidden="false" customHeight="true" outlineLevel="0" collapsed="false">
      <c r="A21" s="34" t="s">
        <v>3755</v>
      </c>
      <c r="B21" s="34" t="s">
        <v>3756</v>
      </c>
      <c r="C21" s="34" t="n">
        <v>2</v>
      </c>
      <c r="D21" s="34" t="s">
        <v>3701</v>
      </c>
      <c r="E21" s="34" t="s">
        <v>3702</v>
      </c>
      <c r="F21" s="34" t="s">
        <v>3703</v>
      </c>
      <c r="G21" s="34" t="s">
        <v>3757</v>
      </c>
      <c r="H21" s="34" t="s">
        <v>3705</v>
      </c>
    </row>
    <row r="22" customFormat="false" ht="33.75" hidden="false" customHeight="true" outlineLevel="0" collapsed="false">
      <c r="A22" s="34" t="s">
        <v>3758</v>
      </c>
      <c r="B22" s="34" t="s">
        <v>3759</v>
      </c>
      <c r="C22" s="34" t="n">
        <v>2</v>
      </c>
      <c r="D22" s="34" t="s">
        <v>3701</v>
      </c>
      <c r="E22" s="34" t="s">
        <v>3702</v>
      </c>
      <c r="F22" s="34" t="s">
        <v>3703</v>
      </c>
      <c r="G22" s="34" t="s">
        <v>3704</v>
      </c>
      <c r="H22" s="34" t="s">
        <v>3760</v>
      </c>
    </row>
    <row r="23" customFormat="false" ht="33.75" hidden="false" customHeight="true" outlineLevel="0" collapsed="false">
      <c r="A23" s="34" t="s">
        <v>3761</v>
      </c>
      <c r="B23" s="34" t="s">
        <v>3762</v>
      </c>
      <c r="C23" s="34" t="n">
        <v>2</v>
      </c>
      <c r="D23" s="34" t="s">
        <v>3701</v>
      </c>
      <c r="E23" s="34" t="s">
        <v>3702</v>
      </c>
      <c r="F23" s="34" t="s">
        <v>3703</v>
      </c>
      <c r="G23" s="34" t="s">
        <v>3704</v>
      </c>
      <c r="H23" s="34" t="s">
        <v>3763</v>
      </c>
    </row>
    <row r="24" customFormat="false" ht="33.75" hidden="false" customHeight="true" outlineLevel="0" collapsed="false">
      <c r="A24" s="34" t="s">
        <v>3764</v>
      </c>
      <c r="B24" s="34" t="s">
        <v>3765</v>
      </c>
      <c r="C24" s="34" t="n">
        <v>2</v>
      </c>
      <c r="D24" s="34" t="s">
        <v>3701</v>
      </c>
      <c r="E24" s="34" t="s">
        <v>3702</v>
      </c>
      <c r="F24" s="34" t="s">
        <v>3703</v>
      </c>
      <c r="G24" s="34" t="s">
        <v>3704</v>
      </c>
      <c r="H24" s="34" t="s">
        <v>3766</v>
      </c>
    </row>
    <row r="25" customFormat="false" ht="33.75" hidden="false" customHeight="true" outlineLevel="0" collapsed="false">
      <c r="A25" s="34" t="s">
        <v>3767</v>
      </c>
      <c r="B25" s="34" t="s">
        <v>3768</v>
      </c>
      <c r="C25" s="34" t="n">
        <v>2</v>
      </c>
      <c r="D25" s="34" t="s">
        <v>3701</v>
      </c>
      <c r="E25" s="34" t="s">
        <v>3702</v>
      </c>
      <c r="F25" s="34" t="s">
        <v>3703</v>
      </c>
      <c r="G25" s="34" t="s">
        <v>3704</v>
      </c>
      <c r="H25" s="34" t="s">
        <v>3769</v>
      </c>
    </row>
    <row r="26" customFormat="false" ht="33.75" hidden="false" customHeight="true" outlineLevel="0" collapsed="false">
      <c r="A26" s="34" t="s">
        <v>3770</v>
      </c>
      <c r="B26" s="34" t="s">
        <v>3771</v>
      </c>
      <c r="C26" s="34" t="n">
        <v>2</v>
      </c>
      <c r="D26" s="34" t="s">
        <v>3701</v>
      </c>
      <c r="E26" s="34" t="s">
        <v>3702</v>
      </c>
      <c r="F26" s="34" t="s">
        <v>3772</v>
      </c>
      <c r="G26" s="34" t="s">
        <v>3704</v>
      </c>
      <c r="H26" s="34" t="s">
        <v>3769</v>
      </c>
    </row>
    <row r="27" customFormat="false" ht="33.75" hidden="false" customHeight="true" outlineLevel="0" collapsed="false">
      <c r="A27" s="34" t="s">
        <v>3773</v>
      </c>
      <c r="B27" s="34" t="s">
        <v>3774</v>
      </c>
      <c r="C27" s="34" t="n">
        <v>2</v>
      </c>
      <c r="D27" s="34" t="s">
        <v>3701</v>
      </c>
      <c r="E27" s="34" t="s">
        <v>3702</v>
      </c>
      <c r="F27" s="34" t="s">
        <v>3703</v>
      </c>
      <c r="G27" s="34" t="s">
        <v>3704</v>
      </c>
      <c r="H27" s="34" t="s">
        <v>3775</v>
      </c>
    </row>
    <row r="28" customFormat="false" ht="33.75" hidden="false" customHeight="true" outlineLevel="0" collapsed="false">
      <c r="A28" s="34" t="s">
        <v>3776</v>
      </c>
      <c r="B28" s="34" t="s">
        <v>3777</v>
      </c>
      <c r="C28" s="34" t="n">
        <v>2</v>
      </c>
      <c r="D28" s="34" t="s">
        <v>3701</v>
      </c>
      <c r="E28" s="34" t="s">
        <v>3702</v>
      </c>
      <c r="F28" s="34" t="s">
        <v>3772</v>
      </c>
      <c r="G28" s="34" t="s">
        <v>3704</v>
      </c>
      <c r="H28" s="34" t="s">
        <v>3775</v>
      </c>
    </row>
    <row r="29" customFormat="false" ht="33.75" hidden="false" customHeight="true" outlineLevel="0" collapsed="false">
      <c r="A29" s="34" t="s">
        <v>3778</v>
      </c>
      <c r="B29" s="34" t="s">
        <v>3779</v>
      </c>
      <c r="C29" s="34" t="n">
        <v>2</v>
      </c>
      <c r="D29" s="34" t="s">
        <v>3701</v>
      </c>
      <c r="E29" s="34" t="s">
        <v>3702</v>
      </c>
      <c r="F29" s="34" t="s">
        <v>3780</v>
      </c>
      <c r="G29" s="34" t="s">
        <v>3704</v>
      </c>
      <c r="H29" s="34" t="s">
        <v>3775</v>
      </c>
    </row>
    <row r="30" customFormat="false" ht="33.75" hidden="false" customHeight="true" outlineLevel="0" collapsed="false">
      <c r="A30" s="34" t="s">
        <v>3781</v>
      </c>
      <c r="B30" s="34" t="s">
        <v>3782</v>
      </c>
      <c r="C30" s="34" t="n">
        <v>2</v>
      </c>
      <c r="D30" s="34" t="s">
        <v>3701</v>
      </c>
      <c r="E30" s="34" t="s">
        <v>3702</v>
      </c>
      <c r="F30" s="34" t="s">
        <v>3703</v>
      </c>
      <c r="G30" s="34" t="s">
        <v>3704</v>
      </c>
      <c r="H30" s="34" t="s">
        <v>3783</v>
      </c>
    </row>
    <row r="31" customFormat="false" ht="33.75" hidden="false" customHeight="true" outlineLevel="0" collapsed="false">
      <c r="A31" s="34" t="s">
        <v>3784</v>
      </c>
      <c r="B31" s="34" t="s">
        <v>3785</v>
      </c>
      <c r="C31" s="34" t="n">
        <v>2</v>
      </c>
      <c r="D31" s="34" t="s">
        <v>3701</v>
      </c>
      <c r="E31" s="34" t="s">
        <v>3702</v>
      </c>
      <c r="F31" s="34" t="s">
        <v>3703</v>
      </c>
      <c r="G31" s="34" t="s">
        <v>3704</v>
      </c>
      <c r="H31" s="34" t="s">
        <v>3786</v>
      </c>
    </row>
    <row r="33" customFormat="false" ht="42" hidden="false" customHeight="true" outlineLevel="0" collapsed="false">
      <c r="A33" s="36" t="s">
        <v>3787</v>
      </c>
      <c r="B33" s="36"/>
      <c r="C33" s="36"/>
      <c r="D33" s="36"/>
      <c r="E33" s="36"/>
      <c r="F33" s="36"/>
      <c r="G33" s="36"/>
      <c r="H33" s="36"/>
    </row>
  </sheetData>
  <mergeCells count="2">
    <mergeCell ref="A1:H1"/>
    <mergeCell ref="A33:H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24"/>
    <col collapsed="false" customWidth="true" hidden="false" outlineLevel="0" max="3" min="3" style="1" width="12"/>
    <col collapsed="false" customWidth="true" hidden="false" outlineLevel="0" max="4" min="4" style="1" width="20"/>
    <col collapsed="false" customWidth="true" hidden="false" outlineLevel="0" max="5" min="5" style="1" width="12"/>
    <col collapsed="false" customWidth="true" hidden="false" outlineLevel="0" max="6" min="6" style="1" width="34"/>
    <col collapsed="false" customWidth="true" hidden="false" outlineLevel="0" max="7" min="7" style="1" width="18"/>
  </cols>
  <sheetData>
    <row r="1" customFormat="false" ht="33.75" hidden="false" customHeight="true" outlineLevel="0" collapsed="false">
      <c r="A1" s="37" t="s">
        <v>3788</v>
      </c>
      <c r="B1" s="37"/>
      <c r="C1" s="37"/>
      <c r="D1" s="37"/>
      <c r="E1" s="37"/>
      <c r="F1" s="37"/>
      <c r="G1" s="37"/>
    </row>
    <row r="2" customFormat="false" ht="30" hidden="false" customHeight="true" outlineLevel="0" collapsed="false"/>
    <row r="3" customFormat="false" ht="30" hidden="false" customHeight="true" outlineLevel="0" collapsed="false">
      <c r="A3" s="38" t="s">
        <v>3789</v>
      </c>
      <c r="B3" s="38" t="s">
        <v>3790</v>
      </c>
      <c r="C3" s="38" t="s">
        <v>3791</v>
      </c>
      <c r="D3" s="38" t="s">
        <v>3792</v>
      </c>
      <c r="E3" s="38" t="s">
        <v>3793</v>
      </c>
      <c r="F3" s="38" t="s">
        <v>3794</v>
      </c>
      <c r="G3" s="38" t="s">
        <v>4</v>
      </c>
    </row>
    <row r="4" customFormat="false" ht="30" hidden="false" customHeight="true" outlineLevel="0" collapsed="false">
      <c r="A4" s="34" t="s">
        <v>3795</v>
      </c>
      <c r="B4" s="34" t="s">
        <v>3796</v>
      </c>
      <c r="C4" s="39" t="n">
        <v>25</v>
      </c>
      <c r="D4" s="34" t="s">
        <v>3797</v>
      </c>
      <c r="E4" s="39" t="n">
        <v>1</v>
      </c>
      <c r="F4" s="34" t="s">
        <v>3798</v>
      </c>
      <c r="G4" s="34" t="s">
        <v>3799</v>
      </c>
    </row>
    <row r="5" customFormat="false" ht="30" hidden="false" customHeight="true" outlineLevel="0" collapsed="false">
      <c r="A5" s="34" t="s">
        <v>3795</v>
      </c>
      <c r="B5" s="34" t="s">
        <v>3800</v>
      </c>
      <c r="C5" s="39" t="n">
        <v>25</v>
      </c>
      <c r="D5" s="34" t="s">
        <v>3801</v>
      </c>
      <c r="E5" s="39" t="n">
        <v>2</v>
      </c>
      <c r="F5" s="34" t="s">
        <v>3802</v>
      </c>
      <c r="G5" s="34" t="s">
        <v>3799</v>
      </c>
    </row>
    <row r="6" customFormat="false" ht="30" hidden="false" customHeight="true" outlineLevel="0" collapsed="false">
      <c r="A6" s="34" t="s">
        <v>3795</v>
      </c>
      <c r="B6" s="34" t="s">
        <v>3803</v>
      </c>
      <c r="C6" s="39" t="n">
        <v>25</v>
      </c>
      <c r="D6" s="34" t="s">
        <v>3804</v>
      </c>
      <c r="E6" s="39" t="n">
        <v>3</v>
      </c>
      <c r="F6" s="34" t="s">
        <v>3805</v>
      </c>
      <c r="G6" s="34" t="s">
        <v>3806</v>
      </c>
    </row>
    <row r="7" customFormat="false" ht="30" hidden="false" customHeight="true" outlineLevel="0" collapsed="false">
      <c r="A7" s="34" t="s">
        <v>3807</v>
      </c>
      <c r="B7" s="34" t="s">
        <v>3808</v>
      </c>
      <c r="C7" s="39" t="n">
        <v>20</v>
      </c>
      <c r="D7" s="34" t="s">
        <v>3809</v>
      </c>
      <c r="E7" s="39" t="n">
        <v>0</v>
      </c>
      <c r="F7" s="34" t="s">
        <v>3810</v>
      </c>
      <c r="G7" s="34" t="s">
        <v>3811</v>
      </c>
    </row>
    <row r="8" customFormat="false" ht="30" hidden="false" customHeight="true" outlineLevel="0" collapsed="false">
      <c r="A8" s="34" t="s">
        <v>195</v>
      </c>
      <c r="B8" s="34" t="s">
        <v>3812</v>
      </c>
      <c r="C8" s="34"/>
      <c r="D8" s="34"/>
      <c r="E8" s="39" t="n">
        <v>5</v>
      </c>
      <c r="F8" s="34" t="s">
        <v>3813</v>
      </c>
      <c r="G8" s="34" t="s">
        <v>3811</v>
      </c>
    </row>
    <row r="9" customFormat="false" ht="30" hidden="false" customHeight="true" outlineLevel="0" collapsed="false">
      <c r="A9" s="34" t="s">
        <v>195</v>
      </c>
      <c r="B9" s="34" t="s">
        <v>1122</v>
      </c>
      <c r="C9" s="34"/>
      <c r="D9" s="34"/>
      <c r="E9" s="39" t="n">
        <v>1</v>
      </c>
      <c r="F9" s="34" t="s">
        <v>3814</v>
      </c>
      <c r="G9" s="34" t="s">
        <v>3811</v>
      </c>
    </row>
    <row r="10" customFormat="false" ht="30" hidden="false" customHeight="true" outlineLevel="0" collapsed="false">
      <c r="A10" s="34" t="s">
        <v>94</v>
      </c>
      <c r="B10" s="34" t="s">
        <v>3815</v>
      </c>
      <c r="C10" s="34"/>
      <c r="D10" s="34" t="s">
        <v>3816</v>
      </c>
      <c r="E10" s="39" t="n">
        <v>1</v>
      </c>
      <c r="F10" s="34" t="s">
        <v>3817</v>
      </c>
      <c r="G10" s="34" t="s">
        <v>3811</v>
      </c>
    </row>
    <row r="11" customFormat="false" ht="30" hidden="false" customHeight="true" outlineLevel="0" collapsed="false">
      <c r="A11" s="34" t="s">
        <v>3818</v>
      </c>
      <c r="B11" s="34" t="s">
        <v>3819</v>
      </c>
      <c r="C11" s="34"/>
      <c r="D11" s="34"/>
      <c r="E11" s="34"/>
      <c r="F11" s="34" t="s">
        <v>3820</v>
      </c>
      <c r="G11" s="34" t="s">
        <v>3687</v>
      </c>
    </row>
    <row r="12" customFormat="false" ht="30" hidden="false" customHeight="true" outlineLevel="0" collapsed="false"/>
    <row r="13" customFormat="false" ht="30" hidden="false" customHeight="true" outlineLevel="0" collapsed="false"/>
    <row r="14" customFormat="false" ht="25.5" hidden="false" customHeight="true" outlineLevel="0" collapsed="false">
      <c r="A14" s="40" t="s">
        <v>3821</v>
      </c>
      <c r="B14" s="40"/>
      <c r="C14" s="40"/>
      <c r="D14" s="40"/>
      <c r="E14" s="40"/>
      <c r="F14" s="40"/>
      <c r="G14" s="40"/>
    </row>
    <row r="15" customFormat="false" ht="33.75" hidden="false" customHeight="true" outlineLevel="0" collapsed="false">
      <c r="A15" s="41" t="s">
        <v>3822</v>
      </c>
      <c r="B15" s="42" t="s">
        <v>3823</v>
      </c>
      <c r="C15" s="42"/>
      <c r="D15" s="42"/>
      <c r="E15" s="42"/>
      <c r="F15" s="42"/>
      <c r="G15" s="42"/>
    </row>
    <row r="16" customFormat="false" ht="33.75" hidden="false" customHeight="true" outlineLevel="0" collapsed="false">
      <c r="A16" s="41" t="s">
        <v>3824</v>
      </c>
      <c r="B16" s="42" t="s">
        <v>3825</v>
      </c>
      <c r="C16" s="42"/>
      <c r="D16" s="42"/>
      <c r="E16" s="42"/>
      <c r="F16" s="42"/>
      <c r="G16" s="42"/>
    </row>
    <row r="17" customFormat="false" ht="33.75" hidden="false" customHeight="true" outlineLevel="0" collapsed="false">
      <c r="A17" s="41" t="s">
        <v>3826</v>
      </c>
      <c r="B17" s="42" t="s">
        <v>3827</v>
      </c>
      <c r="C17" s="42"/>
      <c r="D17" s="42"/>
      <c r="E17" s="42"/>
      <c r="F17" s="42"/>
      <c r="G17" s="42"/>
    </row>
    <row r="18" customFormat="false" ht="33.75" hidden="false" customHeight="true" outlineLevel="0" collapsed="false">
      <c r="A18" s="41" t="s">
        <v>3828</v>
      </c>
      <c r="B18" s="42" t="s">
        <v>3829</v>
      </c>
      <c r="C18" s="42"/>
      <c r="D18" s="42"/>
      <c r="E18" s="42"/>
      <c r="F18" s="42"/>
      <c r="G18" s="42"/>
    </row>
    <row r="19" customFormat="false" ht="30" hidden="false" customHeight="true" outlineLevel="0" collapsed="false"/>
  </sheetData>
  <mergeCells count="6">
    <mergeCell ref="A1:G1"/>
    <mergeCell ref="A14:G14"/>
    <mergeCell ref="B15:G15"/>
    <mergeCell ref="B16:G16"/>
    <mergeCell ref="B17:G17"/>
    <mergeCell ref="B18:G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3" t="s">
        <v>3830</v>
      </c>
      <c r="B1" s="43"/>
      <c r="C1" s="43"/>
      <c r="D1" s="43"/>
      <c r="E1" s="43"/>
      <c r="F1" s="43"/>
      <c r="G1" s="43"/>
    </row>
    <row r="2" customFormat="false" ht="15" hidden="false" customHeight="true" outlineLevel="0" collapsed="false">
      <c r="A2" s="44" t="s">
        <v>3831</v>
      </c>
      <c r="B2" s="44" t="s">
        <v>3832</v>
      </c>
      <c r="C2" s="44" t="s">
        <v>3833</v>
      </c>
      <c r="D2" s="44" t="s">
        <v>3834</v>
      </c>
      <c r="E2" s="44" t="s">
        <v>3835</v>
      </c>
      <c r="F2" s="44" t="s">
        <v>3836</v>
      </c>
      <c r="G2" s="44" t="s">
        <v>4</v>
      </c>
    </row>
    <row r="3" customFormat="false" ht="15" hidden="false" customHeight="true" outlineLevel="0" collapsed="false">
      <c r="A3" s="34" t="s">
        <v>1122</v>
      </c>
      <c r="B3" s="34" t="s">
        <v>3837</v>
      </c>
      <c r="C3" s="34" t="s">
        <v>3838</v>
      </c>
      <c r="D3" s="34" t="s">
        <v>3838</v>
      </c>
      <c r="E3" s="34" t="s">
        <v>3839</v>
      </c>
      <c r="F3" s="34" t="s">
        <v>3840</v>
      </c>
      <c r="G3" s="34" t="s">
        <v>3799</v>
      </c>
    </row>
    <row r="4" customFormat="false" ht="15" hidden="false" customHeight="true" outlineLevel="0" collapsed="false">
      <c r="A4" s="34" t="s">
        <v>1122</v>
      </c>
      <c r="B4" s="34" t="s">
        <v>3841</v>
      </c>
      <c r="C4" s="34" t="s">
        <v>3842</v>
      </c>
      <c r="D4" s="34" t="s">
        <v>3842</v>
      </c>
      <c r="E4" s="34" t="s">
        <v>3843</v>
      </c>
      <c r="F4" s="34" t="s">
        <v>3844</v>
      </c>
      <c r="G4" s="34" t="s">
        <v>3799</v>
      </c>
    </row>
    <row r="5" customFormat="false" ht="15" hidden="false" customHeight="true" outlineLevel="0" collapsed="false">
      <c r="A5" s="34" t="s">
        <v>389</v>
      </c>
      <c r="B5" s="34" t="s">
        <v>3845</v>
      </c>
      <c r="C5" s="34" t="s">
        <v>1470</v>
      </c>
      <c r="D5" s="34" t="s">
        <v>3846</v>
      </c>
      <c r="E5" s="34" t="s">
        <v>1482</v>
      </c>
      <c r="F5" s="34" t="s">
        <v>3847</v>
      </c>
      <c r="G5" s="34" t="s">
        <v>3687</v>
      </c>
    </row>
    <row r="6" customFormat="false" ht="15" hidden="false" customHeight="true" outlineLevel="0" collapsed="false">
      <c r="A6" s="34" t="s">
        <v>389</v>
      </c>
      <c r="B6" s="34" t="s">
        <v>402</v>
      </c>
      <c r="C6" s="34" t="s">
        <v>1450</v>
      </c>
      <c r="D6" s="34" t="s">
        <v>3848</v>
      </c>
      <c r="E6" s="34" t="s">
        <v>1450</v>
      </c>
      <c r="F6" s="34" t="s">
        <v>3847</v>
      </c>
      <c r="G6" s="34" t="s">
        <v>3687</v>
      </c>
    </row>
    <row r="7" customFormat="false" ht="15" hidden="false" customHeight="true" outlineLevel="0" collapsed="false">
      <c r="A7" s="34" t="s">
        <v>389</v>
      </c>
      <c r="B7" s="34" t="s">
        <v>407</v>
      </c>
      <c r="C7" s="34" t="s">
        <v>2033</v>
      </c>
      <c r="D7" s="34" t="s">
        <v>3848</v>
      </c>
      <c r="E7" s="34" t="s">
        <v>1466</v>
      </c>
      <c r="F7" s="34" t="s">
        <v>3847</v>
      </c>
      <c r="G7" s="34" t="s">
        <v>3687</v>
      </c>
    </row>
    <row r="8" customFormat="false" ht="15" hidden="false" customHeight="true" outlineLevel="0" collapsed="false">
      <c r="A8" s="34" t="s">
        <v>389</v>
      </c>
      <c r="B8" s="34" t="s">
        <v>3849</v>
      </c>
      <c r="C8" s="34" t="s">
        <v>3850</v>
      </c>
      <c r="D8" s="34" t="s">
        <v>3851</v>
      </c>
      <c r="E8" s="34" t="s">
        <v>3852</v>
      </c>
      <c r="F8" s="34" t="s">
        <v>3853</v>
      </c>
      <c r="G8" s="34" t="s">
        <v>3687</v>
      </c>
    </row>
    <row r="9" customFormat="false" ht="15" hidden="false" customHeight="true" outlineLevel="0" collapsed="false">
      <c r="A9" s="34" t="s">
        <v>389</v>
      </c>
      <c r="B9" s="34" t="s">
        <v>3693</v>
      </c>
      <c r="C9" s="34" t="s">
        <v>1476</v>
      </c>
      <c r="D9" s="34" t="s">
        <v>1482</v>
      </c>
      <c r="E9" s="34" t="s">
        <v>3854</v>
      </c>
      <c r="F9" s="34" t="s">
        <v>3855</v>
      </c>
      <c r="G9" s="34" t="s">
        <v>3687</v>
      </c>
    </row>
    <row r="10" customFormat="false" ht="15" hidden="false" customHeight="true" outlineLevel="0" collapsed="false">
      <c r="A10" s="34" t="s">
        <v>389</v>
      </c>
      <c r="B10" s="34" t="s">
        <v>3856</v>
      </c>
      <c r="C10" s="34" t="s">
        <v>3857</v>
      </c>
      <c r="D10" s="34" t="s">
        <v>3858</v>
      </c>
      <c r="E10" s="34" t="s">
        <v>3859</v>
      </c>
      <c r="F10" s="34" t="s">
        <v>3860</v>
      </c>
      <c r="G10" s="34" t="s">
        <v>3687</v>
      </c>
    </row>
    <row r="11" customFormat="false" ht="15" hidden="false" customHeight="true" outlineLevel="0" collapsed="false">
      <c r="A11" s="34" t="s">
        <v>3835</v>
      </c>
      <c r="B11" s="34" t="s">
        <v>3861</v>
      </c>
      <c r="C11" s="34" t="s">
        <v>3862</v>
      </c>
      <c r="D11" s="34" t="s">
        <v>3862</v>
      </c>
      <c r="E11" s="34" t="s">
        <v>3863</v>
      </c>
      <c r="F11" s="34" t="s">
        <v>3864</v>
      </c>
      <c r="G11" s="34" t="s">
        <v>3687</v>
      </c>
    </row>
    <row r="12" customFormat="false" ht="15" hidden="false" customHeight="true" outlineLevel="0" collapsed="false">
      <c r="A12" s="34" t="s">
        <v>3818</v>
      </c>
      <c r="B12" s="34" t="s">
        <v>3865</v>
      </c>
      <c r="C12" s="34"/>
      <c r="D12" s="34"/>
      <c r="E12" s="34"/>
      <c r="F12" s="34" t="s">
        <v>3866</v>
      </c>
      <c r="G12" s="34" t="s">
        <v>3687</v>
      </c>
    </row>
    <row r="13" customFormat="false" ht="15" hidden="false" customHeight="true" outlineLevel="0" collapsed="false">
      <c r="A13" s="34"/>
      <c r="B13" s="34"/>
      <c r="C13" s="34"/>
      <c r="D13" s="34"/>
      <c r="E13" s="34"/>
      <c r="F13" s="34"/>
      <c r="G13" s="34"/>
    </row>
    <row r="14" customFormat="false" ht="27.75" hidden="false" customHeight="true" outlineLevel="0" collapsed="false">
      <c r="A14" s="34" t="s">
        <v>3821</v>
      </c>
      <c r="B14" s="34"/>
      <c r="C14" s="34"/>
      <c r="D14" s="34"/>
      <c r="E14" s="34"/>
      <c r="F14" s="34"/>
      <c r="G14" s="34"/>
    </row>
    <row r="15" customFormat="false" ht="27.75" hidden="false" customHeight="true" outlineLevel="0" collapsed="false">
      <c r="A15" s="34" t="s">
        <v>2970</v>
      </c>
      <c r="B15" s="34" t="s">
        <v>3867</v>
      </c>
      <c r="C15" s="34"/>
      <c r="D15" s="34"/>
      <c r="E15" s="34"/>
      <c r="F15" s="34"/>
      <c r="G15" s="34"/>
    </row>
    <row r="16" customFormat="false" ht="27.75" hidden="false" customHeight="true" outlineLevel="0" collapsed="false">
      <c r="A16" s="34" t="s">
        <v>2973</v>
      </c>
      <c r="B16" s="34" t="s">
        <v>3868</v>
      </c>
      <c r="C16" s="34"/>
      <c r="D16" s="34"/>
      <c r="E16" s="34"/>
      <c r="F16" s="34"/>
      <c r="G16" s="34"/>
    </row>
    <row r="17" customFormat="false" ht="41.25" hidden="false" customHeight="true" outlineLevel="0" collapsed="false">
      <c r="A17" s="34" t="s">
        <v>2975</v>
      </c>
      <c r="B17" s="34" t="s">
        <v>3869</v>
      </c>
      <c r="C17" s="34"/>
      <c r="D17" s="34"/>
      <c r="E17" s="34"/>
      <c r="F17" s="34"/>
      <c r="G17" s="34"/>
    </row>
    <row r="18" customFormat="false" ht="27.75" hidden="false" customHeight="true" outlineLevel="0" collapsed="false">
      <c r="A18" s="34" t="s">
        <v>2977</v>
      </c>
      <c r="B18" s="34" t="s">
        <v>3870</v>
      </c>
      <c r="C18" s="34"/>
      <c r="D18" s="34"/>
      <c r="E18" s="34"/>
      <c r="F18" s="34"/>
      <c r="G18" s="34"/>
    </row>
  </sheetData>
  <mergeCells count="1">
    <mergeCell ref="A1:G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3" t="s">
        <v>3871</v>
      </c>
      <c r="B1" s="43"/>
      <c r="C1" s="43"/>
      <c r="D1" s="43"/>
      <c r="E1" s="43"/>
      <c r="F1" s="43"/>
      <c r="G1" s="43"/>
    </row>
    <row r="2" customFormat="false" ht="15" hidden="false" customHeight="true" outlineLevel="0" collapsed="false">
      <c r="A2" s="44" t="s">
        <v>3831</v>
      </c>
      <c r="B2" s="44" t="s">
        <v>3832</v>
      </c>
      <c r="C2" s="44" t="s">
        <v>720</v>
      </c>
      <c r="D2" s="44" t="s">
        <v>727</v>
      </c>
      <c r="E2" s="44" t="s">
        <v>732</v>
      </c>
      <c r="F2" s="44" t="s">
        <v>3836</v>
      </c>
      <c r="G2" s="44" t="s">
        <v>4</v>
      </c>
    </row>
    <row r="3" customFormat="false" ht="15" hidden="false" customHeight="true" outlineLevel="0" collapsed="false">
      <c r="A3" s="34" t="s">
        <v>3872</v>
      </c>
      <c r="B3" s="34" t="s">
        <v>3873</v>
      </c>
      <c r="C3" s="34" t="s">
        <v>1450</v>
      </c>
      <c r="D3" s="34" t="s">
        <v>1450</v>
      </c>
      <c r="E3" s="34" t="s">
        <v>1466</v>
      </c>
      <c r="F3" s="34" t="s">
        <v>3874</v>
      </c>
      <c r="G3" s="34" t="s">
        <v>3687</v>
      </c>
    </row>
    <row r="4" customFormat="false" ht="15" hidden="false" customHeight="true" outlineLevel="0" collapsed="false">
      <c r="A4" s="34" t="s">
        <v>3875</v>
      </c>
      <c r="B4" s="34" t="s">
        <v>3876</v>
      </c>
      <c r="C4" s="34" t="s">
        <v>1450</v>
      </c>
      <c r="D4" s="34" t="s">
        <v>1450</v>
      </c>
      <c r="E4" s="34" t="s">
        <v>1450</v>
      </c>
      <c r="F4" s="34" t="s">
        <v>3877</v>
      </c>
      <c r="G4" s="34" t="s">
        <v>3687</v>
      </c>
    </row>
    <row r="5" customFormat="false" ht="15" hidden="false" customHeight="true" outlineLevel="0" collapsed="false">
      <c r="A5" s="34" t="s">
        <v>3878</v>
      </c>
      <c r="B5" s="34" t="s">
        <v>3879</v>
      </c>
      <c r="C5" s="34" t="s">
        <v>3880</v>
      </c>
      <c r="D5" s="34" t="s">
        <v>3881</v>
      </c>
      <c r="E5" s="34" t="s">
        <v>3882</v>
      </c>
      <c r="F5" s="34" t="s">
        <v>3883</v>
      </c>
      <c r="G5" s="34" t="s">
        <v>3799</v>
      </c>
    </row>
    <row r="6" customFormat="false" ht="27.75" hidden="false" customHeight="true" outlineLevel="0" collapsed="false">
      <c r="A6" s="34" t="s">
        <v>3884</v>
      </c>
      <c r="B6" s="34" t="s">
        <v>3885</v>
      </c>
      <c r="C6" s="34" t="s">
        <v>3886</v>
      </c>
      <c r="D6" s="34" t="s">
        <v>3887</v>
      </c>
      <c r="E6" s="34" t="s">
        <v>3888</v>
      </c>
      <c r="F6" s="34" t="s">
        <v>3889</v>
      </c>
      <c r="G6" s="34" t="s">
        <v>3890</v>
      </c>
    </row>
    <row r="7" customFormat="false" ht="27.75" hidden="false" customHeight="true" outlineLevel="0" collapsed="false">
      <c r="A7" s="34" t="s">
        <v>3891</v>
      </c>
      <c r="B7" s="34" t="s">
        <v>3892</v>
      </c>
      <c r="C7" s="34" t="s">
        <v>3893</v>
      </c>
      <c r="D7" s="34" t="s">
        <v>3893</v>
      </c>
      <c r="E7" s="34" t="s">
        <v>3893</v>
      </c>
      <c r="F7" s="34" t="s">
        <v>3894</v>
      </c>
      <c r="G7" s="34" t="s">
        <v>3890</v>
      </c>
    </row>
    <row r="8" customFormat="false" ht="27.75" hidden="false" customHeight="true" outlineLevel="0" collapsed="false">
      <c r="A8" s="34" t="s">
        <v>1122</v>
      </c>
      <c r="B8" s="34" t="s">
        <v>3895</v>
      </c>
      <c r="C8" s="34" t="s">
        <v>3842</v>
      </c>
      <c r="D8" s="34" t="s">
        <v>3896</v>
      </c>
      <c r="E8" s="34" t="s">
        <v>3842</v>
      </c>
      <c r="F8" s="34" t="s">
        <v>3897</v>
      </c>
      <c r="G8" s="34" t="s">
        <v>3890</v>
      </c>
    </row>
    <row r="9" customFormat="false" ht="15" hidden="false" customHeight="true" outlineLevel="0" collapsed="false">
      <c r="A9" s="34" t="s">
        <v>3898</v>
      </c>
      <c r="B9" s="34" t="s">
        <v>3899</v>
      </c>
      <c r="C9" s="34" t="s">
        <v>3900</v>
      </c>
      <c r="D9" s="34" t="s">
        <v>3900</v>
      </c>
      <c r="E9" s="34" t="s">
        <v>3900</v>
      </c>
      <c r="F9" s="34" t="s">
        <v>3901</v>
      </c>
      <c r="G9" s="34" t="s">
        <v>3687</v>
      </c>
    </row>
    <row r="10" customFormat="false" ht="15" hidden="false" customHeight="true" outlineLevel="0" collapsed="false">
      <c r="A10" s="34" t="s">
        <v>195</v>
      </c>
      <c r="B10" s="34" t="s">
        <v>3902</v>
      </c>
      <c r="C10" s="34" t="s">
        <v>2033</v>
      </c>
      <c r="D10" s="34" t="s">
        <v>2033</v>
      </c>
      <c r="E10" s="34" t="s">
        <v>2033</v>
      </c>
      <c r="F10" s="34" t="s">
        <v>3903</v>
      </c>
      <c r="G10" s="34" t="s">
        <v>3687</v>
      </c>
    </row>
    <row r="11" customFormat="false" ht="27.75" hidden="false" customHeight="true" outlineLevel="0" collapsed="false">
      <c r="A11" s="34" t="s">
        <v>3818</v>
      </c>
      <c r="B11" s="34" t="s">
        <v>3904</v>
      </c>
      <c r="C11" s="34"/>
      <c r="D11" s="34"/>
      <c r="E11" s="34"/>
      <c r="F11" s="34" t="s">
        <v>3905</v>
      </c>
      <c r="G11" s="34" t="s">
        <v>3906</v>
      </c>
    </row>
    <row r="12" customFormat="false" ht="27.75" hidden="false" customHeight="true" outlineLevel="0" collapsed="false">
      <c r="A12" s="34" t="s">
        <v>3907</v>
      </c>
      <c r="B12" s="34" t="s">
        <v>3908</v>
      </c>
      <c r="C12" s="34"/>
      <c r="D12" s="34"/>
      <c r="E12" s="34"/>
      <c r="F12" s="34" t="s">
        <v>3909</v>
      </c>
      <c r="G12" s="34" t="s">
        <v>3910</v>
      </c>
    </row>
    <row r="13" customFormat="false" ht="15" hidden="false" customHeight="true" outlineLevel="0" collapsed="false">
      <c r="A13" s="34"/>
      <c r="B13" s="34"/>
      <c r="C13" s="34"/>
      <c r="D13" s="34"/>
      <c r="E13" s="34"/>
      <c r="F13" s="34"/>
      <c r="G13" s="34"/>
    </row>
    <row r="14" customFormat="false" ht="27.75" hidden="false" customHeight="true" outlineLevel="0" collapsed="false">
      <c r="A14" s="34" t="s">
        <v>3821</v>
      </c>
      <c r="B14" s="34"/>
      <c r="C14" s="34"/>
      <c r="D14" s="34"/>
      <c r="E14" s="34"/>
      <c r="F14" s="34"/>
      <c r="G14" s="34"/>
    </row>
    <row r="15" customFormat="false" ht="41.25" hidden="false" customHeight="true" outlineLevel="0" collapsed="false">
      <c r="A15" s="34" t="s">
        <v>2979</v>
      </c>
      <c r="B15" s="34" t="s">
        <v>3911</v>
      </c>
      <c r="C15" s="34"/>
      <c r="D15" s="34"/>
      <c r="E15" s="34"/>
      <c r="F15" s="34"/>
      <c r="G15" s="34"/>
    </row>
    <row r="16" customFormat="false" ht="41.25" hidden="false" customHeight="true" outlineLevel="0" collapsed="false">
      <c r="A16" s="34" t="s">
        <v>2982</v>
      </c>
      <c r="B16" s="34" t="s">
        <v>3912</v>
      </c>
      <c r="C16" s="34"/>
      <c r="D16" s="34"/>
      <c r="E16" s="34"/>
      <c r="F16" s="34"/>
      <c r="G16" s="34"/>
    </row>
    <row r="17" customFormat="false" ht="41.25" hidden="false" customHeight="true" outlineLevel="0" collapsed="false">
      <c r="A17" s="34" t="s">
        <v>2985</v>
      </c>
      <c r="B17" s="34" t="s">
        <v>3913</v>
      </c>
      <c r="C17" s="34"/>
      <c r="D17" s="34"/>
      <c r="E17" s="34"/>
      <c r="F17" s="34"/>
      <c r="G17" s="34"/>
    </row>
    <row r="18" customFormat="false" ht="27.75" hidden="false" customHeight="true" outlineLevel="0" collapsed="false">
      <c r="A18" s="34" t="s">
        <v>2987</v>
      </c>
      <c r="B18" s="34" t="s">
        <v>3914</v>
      </c>
      <c r="C18" s="34"/>
      <c r="D18" s="34"/>
      <c r="E18" s="34"/>
      <c r="F18" s="34"/>
      <c r="G18" s="34"/>
    </row>
  </sheetData>
  <mergeCells count="1">
    <mergeCell ref="A1:G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3915</v>
      </c>
      <c r="B1" s="43"/>
      <c r="C1" s="43"/>
      <c r="D1" s="43"/>
      <c r="E1" s="43"/>
      <c r="F1" s="43"/>
      <c r="G1" s="43"/>
    </row>
    <row r="2" customFormat="false" ht="15" hidden="false" customHeight="true" outlineLevel="0" collapsed="false">
      <c r="A2" s="44" t="s">
        <v>3916</v>
      </c>
      <c r="B2" s="44" t="s">
        <v>3917</v>
      </c>
      <c r="C2" s="44" t="s">
        <v>3918</v>
      </c>
      <c r="D2" s="44" t="s">
        <v>195</v>
      </c>
      <c r="E2" s="44" t="s">
        <v>3919</v>
      </c>
      <c r="F2" s="44" t="s">
        <v>3920</v>
      </c>
      <c r="G2" s="44" t="s">
        <v>4</v>
      </c>
    </row>
    <row r="3" customFormat="false" ht="27.75" hidden="false" customHeight="true" outlineLevel="0" collapsed="false">
      <c r="A3" s="34" t="s">
        <v>3884</v>
      </c>
      <c r="B3" s="34" t="s">
        <v>3921</v>
      </c>
      <c r="C3" s="34" t="s">
        <v>3922</v>
      </c>
      <c r="D3" s="34" t="s">
        <v>2033</v>
      </c>
      <c r="E3" s="34" t="s">
        <v>3923</v>
      </c>
      <c r="F3" s="34" t="s">
        <v>3924</v>
      </c>
      <c r="G3" s="34" t="s">
        <v>3925</v>
      </c>
    </row>
    <row r="4" customFormat="false" ht="27.75" hidden="false" customHeight="true" outlineLevel="0" collapsed="false">
      <c r="A4" s="34" t="s">
        <v>514</v>
      </c>
      <c r="B4" s="34" t="s">
        <v>3926</v>
      </c>
      <c r="C4" s="34" t="s">
        <v>3927</v>
      </c>
      <c r="D4" s="34" t="s">
        <v>2033</v>
      </c>
      <c r="E4" s="34" t="s">
        <v>3928</v>
      </c>
      <c r="F4" s="34" t="s">
        <v>3929</v>
      </c>
      <c r="G4" s="34" t="s">
        <v>3925</v>
      </c>
    </row>
    <row r="5" customFormat="false" ht="15" hidden="false" customHeight="true" outlineLevel="0" collapsed="false">
      <c r="A5" s="34" t="s">
        <v>514</v>
      </c>
      <c r="B5" s="34" t="s">
        <v>3930</v>
      </c>
      <c r="C5" s="34" t="s">
        <v>3931</v>
      </c>
      <c r="D5" s="34" t="s">
        <v>3932</v>
      </c>
      <c r="E5" s="34" t="s">
        <v>3933</v>
      </c>
      <c r="F5" s="34" t="s">
        <v>3934</v>
      </c>
      <c r="G5" s="34" t="s">
        <v>3925</v>
      </c>
    </row>
    <row r="6" customFormat="false" ht="15" hidden="false" customHeight="true" outlineLevel="0" collapsed="false">
      <c r="A6" s="34" t="s">
        <v>332</v>
      </c>
      <c r="B6" s="34" t="s">
        <v>334</v>
      </c>
      <c r="C6" s="34" t="s">
        <v>3935</v>
      </c>
      <c r="D6" s="34" t="s">
        <v>3936</v>
      </c>
      <c r="E6" s="34" t="s">
        <v>3937</v>
      </c>
      <c r="F6" s="34" t="s">
        <v>3938</v>
      </c>
      <c r="G6" s="34" t="s">
        <v>3687</v>
      </c>
    </row>
    <row r="7" customFormat="false" ht="15" hidden="false" customHeight="true" outlineLevel="0" collapsed="false">
      <c r="A7" s="34" t="s">
        <v>332</v>
      </c>
      <c r="B7" s="34" t="s">
        <v>3939</v>
      </c>
      <c r="C7" s="34" t="s">
        <v>3940</v>
      </c>
      <c r="D7" s="34" t="s">
        <v>3941</v>
      </c>
      <c r="E7" s="34" t="s">
        <v>3942</v>
      </c>
      <c r="F7" s="34" t="s">
        <v>3943</v>
      </c>
      <c r="G7" s="34" t="s">
        <v>3687</v>
      </c>
    </row>
    <row r="8" customFormat="false" ht="15" hidden="false" customHeight="true" outlineLevel="0" collapsed="false">
      <c r="A8" s="34" t="s">
        <v>332</v>
      </c>
      <c r="B8" s="34" t="s">
        <v>3944</v>
      </c>
      <c r="C8" s="34" t="s">
        <v>3945</v>
      </c>
      <c r="D8" s="34" t="s">
        <v>3946</v>
      </c>
      <c r="E8" s="34" t="s">
        <v>3942</v>
      </c>
      <c r="F8" s="34" t="s">
        <v>3947</v>
      </c>
      <c r="G8" s="34" t="s">
        <v>3687</v>
      </c>
    </row>
    <row r="9" customFormat="false" ht="15" hidden="false" customHeight="true" outlineLevel="0" collapsed="false">
      <c r="A9" s="34" t="s">
        <v>3948</v>
      </c>
      <c r="B9" s="34" t="s">
        <v>368</v>
      </c>
      <c r="C9" s="34" t="s">
        <v>3949</v>
      </c>
      <c r="D9" s="34" t="s">
        <v>3941</v>
      </c>
      <c r="E9" s="34" t="s">
        <v>3950</v>
      </c>
      <c r="F9" s="34" t="s">
        <v>3951</v>
      </c>
      <c r="G9" s="34" t="s">
        <v>3687</v>
      </c>
    </row>
    <row r="10" customFormat="false" ht="15" hidden="false" customHeight="true" outlineLevel="0" collapsed="false">
      <c r="A10" s="34" t="s">
        <v>3948</v>
      </c>
      <c r="B10" s="34" t="s">
        <v>374</v>
      </c>
      <c r="C10" s="34" t="s">
        <v>3949</v>
      </c>
      <c r="D10" s="34" t="s">
        <v>3941</v>
      </c>
      <c r="E10" s="34" t="s">
        <v>3952</v>
      </c>
      <c r="F10" s="34" t="s">
        <v>3953</v>
      </c>
      <c r="G10" s="34" t="s">
        <v>3687</v>
      </c>
    </row>
    <row r="11" customFormat="false" ht="15" hidden="false" customHeight="true" outlineLevel="0" collapsed="false">
      <c r="A11" s="34" t="s">
        <v>108</v>
      </c>
      <c r="B11" s="34" t="s">
        <v>3954</v>
      </c>
      <c r="C11" s="34" t="s">
        <v>3955</v>
      </c>
      <c r="D11" s="34" t="s">
        <v>3941</v>
      </c>
      <c r="E11" s="34" t="s">
        <v>3956</v>
      </c>
      <c r="F11" s="34" t="s">
        <v>3957</v>
      </c>
      <c r="G11" s="34" t="s">
        <v>3687</v>
      </c>
    </row>
    <row r="12" customFormat="false" ht="15" hidden="false" customHeight="true" outlineLevel="0" collapsed="false">
      <c r="A12" s="34" t="s">
        <v>108</v>
      </c>
      <c r="B12" s="34" t="s">
        <v>3958</v>
      </c>
      <c r="C12" s="34" t="s">
        <v>3959</v>
      </c>
      <c r="D12" s="34" t="s">
        <v>3960</v>
      </c>
      <c r="E12" s="34" t="s">
        <v>3961</v>
      </c>
      <c r="F12" s="34" t="s">
        <v>3962</v>
      </c>
      <c r="G12" s="34" t="s">
        <v>3687</v>
      </c>
    </row>
    <row r="13" customFormat="false" ht="27.75" hidden="false" customHeight="true" outlineLevel="0" collapsed="false">
      <c r="A13" s="34" t="s">
        <v>108</v>
      </c>
      <c r="B13" s="34" t="s">
        <v>3963</v>
      </c>
      <c r="C13" s="34" t="s">
        <v>3964</v>
      </c>
      <c r="D13" s="34" t="s">
        <v>3965</v>
      </c>
      <c r="E13" s="34" t="s">
        <v>3966</v>
      </c>
      <c r="F13" s="34" t="s">
        <v>3967</v>
      </c>
      <c r="G13" s="34" t="s">
        <v>3968</v>
      </c>
    </row>
    <row r="14" customFormat="false" ht="27.75" hidden="false" customHeight="true" outlineLevel="0" collapsed="false">
      <c r="A14" s="34" t="s">
        <v>3818</v>
      </c>
      <c r="B14" s="34" t="s">
        <v>3969</v>
      </c>
      <c r="C14" s="34" t="s">
        <v>3970</v>
      </c>
      <c r="D14" s="34" t="s">
        <v>3971</v>
      </c>
      <c r="E14" s="34" t="s">
        <v>3972</v>
      </c>
      <c r="F14" s="34" t="s">
        <v>3973</v>
      </c>
      <c r="G14" s="34" t="s">
        <v>3687</v>
      </c>
    </row>
    <row r="15" customFormat="false" ht="27.75" hidden="false" customHeight="true" outlineLevel="0" collapsed="false">
      <c r="A15" s="34" t="s">
        <v>3818</v>
      </c>
      <c r="B15" s="34" t="s">
        <v>3974</v>
      </c>
      <c r="C15" s="34" t="s">
        <v>3975</v>
      </c>
      <c r="D15" s="34" t="s">
        <v>3971</v>
      </c>
      <c r="E15" s="34" t="s">
        <v>3976</v>
      </c>
      <c r="F15" s="34" t="s">
        <v>3977</v>
      </c>
      <c r="G15" s="34" t="s">
        <v>3687</v>
      </c>
    </row>
    <row r="16" customFormat="false" ht="27.75" hidden="false" customHeight="true" outlineLevel="0" collapsed="false">
      <c r="A16" s="34" t="s">
        <v>3818</v>
      </c>
      <c r="B16" s="34" t="s">
        <v>3978</v>
      </c>
      <c r="C16" s="34" t="s">
        <v>3979</v>
      </c>
      <c r="D16" s="34" t="s">
        <v>3971</v>
      </c>
      <c r="E16" s="34" t="s">
        <v>3980</v>
      </c>
      <c r="F16" s="34" t="s">
        <v>3938</v>
      </c>
      <c r="G16" s="34" t="s">
        <v>3687</v>
      </c>
    </row>
    <row r="17" customFormat="false" ht="27.75" hidden="false" customHeight="true" outlineLevel="0" collapsed="false">
      <c r="A17" s="34" t="s">
        <v>3818</v>
      </c>
      <c r="B17" s="34" t="s">
        <v>3981</v>
      </c>
      <c r="C17" s="34" t="s">
        <v>3975</v>
      </c>
      <c r="D17" s="34" t="s">
        <v>3971</v>
      </c>
      <c r="E17" s="34" t="s">
        <v>3982</v>
      </c>
      <c r="F17" s="34" t="s">
        <v>3938</v>
      </c>
      <c r="G17" s="34" t="s">
        <v>3687</v>
      </c>
    </row>
    <row r="18" customFormat="false" ht="27.75" hidden="false" customHeight="true" outlineLevel="0" collapsed="false">
      <c r="A18" s="34" t="s">
        <v>3818</v>
      </c>
      <c r="B18" s="34" t="s">
        <v>3983</v>
      </c>
      <c r="C18" s="34" t="s">
        <v>3975</v>
      </c>
      <c r="D18" s="34" t="s">
        <v>3971</v>
      </c>
      <c r="E18" s="34" t="s">
        <v>3984</v>
      </c>
      <c r="F18" s="34" t="s">
        <v>3985</v>
      </c>
      <c r="G18" s="34" t="s">
        <v>3687</v>
      </c>
    </row>
    <row r="19" customFormat="false" ht="15" hidden="false" customHeight="true" outlineLevel="0" collapsed="false">
      <c r="A19" s="34" t="s">
        <v>3818</v>
      </c>
      <c r="B19" s="34" t="s">
        <v>3865</v>
      </c>
      <c r="C19" s="34" t="s">
        <v>3986</v>
      </c>
      <c r="D19" s="34"/>
      <c r="E19" s="34" t="s">
        <v>3987</v>
      </c>
      <c r="F19" s="34" t="s">
        <v>3988</v>
      </c>
      <c r="G19" s="34" t="s">
        <v>3687</v>
      </c>
    </row>
    <row r="20" customFormat="false" ht="15" hidden="false" customHeight="true" outlineLevel="0" collapsed="false">
      <c r="A20" s="34"/>
      <c r="B20" s="34"/>
      <c r="C20" s="34"/>
      <c r="D20" s="34"/>
      <c r="E20" s="34"/>
      <c r="F20" s="34"/>
      <c r="G20" s="34"/>
    </row>
    <row r="21" customFormat="false" ht="27.75" hidden="false" customHeight="true" outlineLevel="0" collapsed="false">
      <c r="A21" s="34" t="s">
        <v>3821</v>
      </c>
      <c r="B21" s="34"/>
      <c r="C21" s="34"/>
      <c r="D21" s="34"/>
      <c r="E21" s="34"/>
      <c r="F21" s="34"/>
      <c r="G21" s="34"/>
    </row>
    <row r="22" customFormat="false" ht="27.75" hidden="false" customHeight="true" outlineLevel="0" collapsed="false">
      <c r="A22" s="34" t="s">
        <v>2990</v>
      </c>
      <c r="B22" s="34" t="s">
        <v>3989</v>
      </c>
      <c r="C22" s="34"/>
      <c r="D22" s="34"/>
      <c r="E22" s="34"/>
      <c r="F22" s="34"/>
      <c r="G22" s="34"/>
    </row>
    <row r="23" customFormat="false" ht="41.25" hidden="false" customHeight="true" outlineLevel="0" collapsed="false">
      <c r="A23" s="34" t="s">
        <v>2992</v>
      </c>
      <c r="B23" s="34" t="s">
        <v>3990</v>
      </c>
      <c r="C23" s="34"/>
      <c r="D23" s="34"/>
      <c r="E23" s="34"/>
      <c r="F23" s="34"/>
      <c r="G23" s="34"/>
    </row>
    <row r="24" customFormat="false" ht="41.25" hidden="false" customHeight="true" outlineLevel="0" collapsed="false">
      <c r="A24" s="34" t="s">
        <v>2994</v>
      </c>
      <c r="B24" s="34" t="s">
        <v>3991</v>
      </c>
      <c r="C24" s="34"/>
      <c r="D24" s="34"/>
      <c r="E24" s="34"/>
      <c r="F24" s="34"/>
      <c r="G24" s="34"/>
    </row>
    <row r="25" customFormat="false" ht="27.75" hidden="false" customHeight="true" outlineLevel="0" collapsed="false">
      <c r="A25" s="34" t="s">
        <v>2996</v>
      </c>
      <c r="B25" s="34" t="s">
        <v>3992</v>
      </c>
      <c r="C25" s="34"/>
      <c r="D25" s="34"/>
      <c r="E25" s="34"/>
      <c r="F25" s="34"/>
      <c r="G25" s="34"/>
    </row>
    <row r="26" customFormat="false" ht="41.25" hidden="false" customHeight="true" outlineLevel="0" collapsed="false">
      <c r="A26" s="34" t="s">
        <v>2998</v>
      </c>
      <c r="B26" s="34" t="s">
        <v>3993</v>
      </c>
      <c r="C26" s="34"/>
      <c r="D26" s="34"/>
      <c r="E26" s="34"/>
      <c r="F26" s="34"/>
      <c r="G26" s="34"/>
    </row>
    <row r="27" customFormat="false" ht="41.25" hidden="false" customHeight="true" outlineLevel="0" collapsed="false">
      <c r="A27" s="34" t="s">
        <v>3000</v>
      </c>
      <c r="B27" s="34" t="s">
        <v>3994</v>
      </c>
      <c r="C27" s="34"/>
      <c r="D27" s="34"/>
      <c r="E27" s="34"/>
      <c r="F27" s="34"/>
      <c r="G27" s="34"/>
    </row>
    <row r="28" customFormat="false" ht="27.75" hidden="false" customHeight="true" outlineLevel="0" collapsed="false">
      <c r="A28" s="34" t="s">
        <v>3002</v>
      </c>
      <c r="B28" s="34" t="s">
        <v>3995</v>
      </c>
      <c r="C28" s="34"/>
      <c r="D28" s="34"/>
      <c r="E28" s="34"/>
      <c r="F28" s="34"/>
      <c r="G28" s="34"/>
    </row>
    <row r="29" customFormat="false" ht="54.75" hidden="false" customHeight="true" outlineLevel="0" collapsed="false">
      <c r="A29" s="34" t="s">
        <v>3004</v>
      </c>
      <c r="B29" s="34" t="s">
        <v>3996</v>
      </c>
      <c r="C29" s="34"/>
      <c r="D29" s="34"/>
      <c r="E29" s="34"/>
      <c r="F29" s="34"/>
      <c r="G29" s="34"/>
    </row>
  </sheetData>
  <mergeCells count="1">
    <mergeCell ref="A1:G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3997</v>
      </c>
      <c r="B1" s="43"/>
      <c r="C1" s="43"/>
      <c r="D1" s="43"/>
      <c r="E1" s="43"/>
      <c r="F1" s="43"/>
      <c r="G1" s="43"/>
    </row>
    <row r="2" customFormat="false" ht="15" hidden="false" customHeight="true" outlineLevel="0" collapsed="false">
      <c r="A2" s="44" t="s">
        <v>3916</v>
      </c>
      <c r="B2" s="44" t="s">
        <v>3917</v>
      </c>
      <c r="C2" s="44" t="s">
        <v>3918</v>
      </c>
      <c r="D2" s="44" t="s">
        <v>195</v>
      </c>
      <c r="E2" s="44" t="s">
        <v>3919</v>
      </c>
      <c r="F2" s="44" t="s">
        <v>3920</v>
      </c>
      <c r="G2" s="44" t="s">
        <v>4</v>
      </c>
    </row>
    <row r="3" customFormat="false" ht="15" hidden="false" customHeight="true" outlineLevel="0" collapsed="false">
      <c r="A3" s="34" t="s">
        <v>1263</v>
      </c>
      <c r="B3" s="34" t="s">
        <v>3998</v>
      </c>
      <c r="C3" s="34" t="s">
        <v>3999</v>
      </c>
      <c r="D3" s="34" t="s">
        <v>4000</v>
      </c>
      <c r="E3" s="34" t="s">
        <v>4001</v>
      </c>
      <c r="F3" s="34" t="s">
        <v>4002</v>
      </c>
      <c r="G3" s="34" t="s">
        <v>3687</v>
      </c>
    </row>
    <row r="4" customFormat="false" ht="27.75" hidden="false" customHeight="true" outlineLevel="0" collapsed="false">
      <c r="A4" s="34" t="s">
        <v>1263</v>
      </c>
      <c r="B4" s="34" t="s">
        <v>4003</v>
      </c>
      <c r="C4" s="34" t="s">
        <v>4004</v>
      </c>
      <c r="D4" s="34" t="s">
        <v>4005</v>
      </c>
      <c r="E4" s="34" t="s">
        <v>4006</v>
      </c>
      <c r="F4" s="34" t="s">
        <v>4007</v>
      </c>
      <c r="G4" s="34" t="s">
        <v>3799</v>
      </c>
    </row>
    <row r="5" customFormat="false" ht="27.75" hidden="false" customHeight="true" outlineLevel="0" collapsed="false">
      <c r="A5" s="34" t="s">
        <v>4008</v>
      </c>
      <c r="B5" s="34" t="s">
        <v>4009</v>
      </c>
      <c r="C5" s="34" t="s">
        <v>4010</v>
      </c>
      <c r="D5" s="34" t="s">
        <v>4011</v>
      </c>
      <c r="E5" s="34" t="s">
        <v>4012</v>
      </c>
      <c r="F5" s="34" t="s">
        <v>4013</v>
      </c>
      <c r="G5" s="34" t="s">
        <v>4014</v>
      </c>
    </row>
    <row r="6" customFormat="false" ht="15" hidden="false" customHeight="true" outlineLevel="0" collapsed="false">
      <c r="A6" s="34" t="s">
        <v>4008</v>
      </c>
      <c r="B6" s="34" t="s">
        <v>4015</v>
      </c>
      <c r="C6" s="34" t="s">
        <v>4016</v>
      </c>
      <c r="D6" s="34" t="s">
        <v>4017</v>
      </c>
      <c r="E6" s="34" t="s">
        <v>4018</v>
      </c>
      <c r="F6" s="34" t="s">
        <v>4019</v>
      </c>
      <c r="G6" s="34" t="s">
        <v>3687</v>
      </c>
    </row>
    <row r="7" customFormat="false" ht="15" hidden="false" customHeight="true" outlineLevel="0" collapsed="false">
      <c r="A7" s="34" t="s">
        <v>4020</v>
      </c>
      <c r="B7" s="34" t="s">
        <v>4021</v>
      </c>
      <c r="C7" s="34" t="s">
        <v>4022</v>
      </c>
      <c r="D7" s="34" t="s">
        <v>4023</v>
      </c>
      <c r="E7" s="34" t="s">
        <v>4024</v>
      </c>
      <c r="F7" s="34" t="s">
        <v>4025</v>
      </c>
      <c r="G7" s="34" t="s">
        <v>3687</v>
      </c>
    </row>
    <row r="8" customFormat="false" ht="27.75" hidden="false" customHeight="true" outlineLevel="0" collapsed="false">
      <c r="A8" s="34" t="s">
        <v>4026</v>
      </c>
      <c r="B8" s="34" t="s">
        <v>4027</v>
      </c>
      <c r="C8" s="34" t="s">
        <v>4028</v>
      </c>
      <c r="D8" s="34" t="s">
        <v>4029</v>
      </c>
      <c r="E8" s="34" t="s">
        <v>4030</v>
      </c>
      <c r="F8" s="34" t="s">
        <v>4031</v>
      </c>
      <c r="G8" s="34" t="s">
        <v>3687</v>
      </c>
    </row>
    <row r="9" customFormat="false" ht="27.75" hidden="false" customHeight="true" outlineLevel="0" collapsed="false">
      <c r="A9" s="34" t="s">
        <v>4026</v>
      </c>
      <c r="B9" s="34" t="s">
        <v>4032</v>
      </c>
      <c r="C9" s="34" t="s">
        <v>4033</v>
      </c>
      <c r="D9" s="34" t="s">
        <v>4034</v>
      </c>
      <c r="E9" s="34" t="s">
        <v>4035</v>
      </c>
      <c r="F9" s="34" t="s">
        <v>4036</v>
      </c>
      <c r="G9" s="34" t="s">
        <v>3687</v>
      </c>
    </row>
    <row r="10" customFormat="false" ht="27.75" hidden="false" customHeight="true" outlineLevel="0" collapsed="false">
      <c r="A10" s="34" t="s">
        <v>514</v>
      </c>
      <c r="B10" s="34" t="s">
        <v>4037</v>
      </c>
      <c r="C10" s="34" t="s">
        <v>1450</v>
      </c>
      <c r="D10" s="34" t="s">
        <v>4038</v>
      </c>
      <c r="E10" s="34" t="s">
        <v>4039</v>
      </c>
      <c r="F10" s="34" t="s">
        <v>4040</v>
      </c>
      <c r="G10" s="34" t="s">
        <v>4041</v>
      </c>
    </row>
    <row r="11" customFormat="false" ht="27.75" hidden="false" customHeight="true" outlineLevel="0" collapsed="false">
      <c r="A11" s="34" t="s">
        <v>4042</v>
      </c>
      <c r="B11" s="34" t="s">
        <v>4043</v>
      </c>
      <c r="C11" s="34" t="s">
        <v>4044</v>
      </c>
      <c r="D11" s="34" t="s">
        <v>4045</v>
      </c>
      <c r="E11" s="34" t="s">
        <v>4046</v>
      </c>
      <c r="F11" s="34" t="s">
        <v>4047</v>
      </c>
      <c r="G11" s="34" t="s">
        <v>4041</v>
      </c>
    </row>
    <row r="12" customFormat="false" ht="27.75" hidden="false" customHeight="true" outlineLevel="0" collapsed="false">
      <c r="A12" s="34" t="s">
        <v>4048</v>
      </c>
      <c r="B12" s="34" t="s">
        <v>4049</v>
      </c>
      <c r="C12" s="34" t="s">
        <v>4050</v>
      </c>
      <c r="D12" s="34" t="s">
        <v>4051</v>
      </c>
      <c r="E12" s="34" t="s">
        <v>4052</v>
      </c>
      <c r="F12" s="34" t="s">
        <v>4053</v>
      </c>
      <c r="G12" s="34" t="s">
        <v>3687</v>
      </c>
    </row>
    <row r="13" customFormat="false" ht="15" hidden="false" customHeight="true" outlineLevel="0" collapsed="false">
      <c r="A13" s="34" t="s">
        <v>4048</v>
      </c>
      <c r="B13" s="34" t="s">
        <v>4054</v>
      </c>
      <c r="C13" s="34" t="s">
        <v>4055</v>
      </c>
      <c r="D13" s="34" t="s">
        <v>4056</v>
      </c>
      <c r="E13" s="34" t="s">
        <v>4057</v>
      </c>
      <c r="F13" s="34" t="s">
        <v>4058</v>
      </c>
      <c r="G13" s="34" t="s">
        <v>3687</v>
      </c>
    </row>
    <row r="14" customFormat="false" ht="15" hidden="false" customHeight="true" outlineLevel="0" collapsed="false">
      <c r="A14" s="34" t="s">
        <v>4048</v>
      </c>
      <c r="B14" s="34" t="s">
        <v>4059</v>
      </c>
      <c r="C14" s="34" t="s">
        <v>4060</v>
      </c>
      <c r="D14" s="34" t="s">
        <v>4061</v>
      </c>
      <c r="E14" s="34" t="s">
        <v>4062</v>
      </c>
      <c r="F14" s="34" t="s">
        <v>4063</v>
      </c>
      <c r="G14" s="34" t="s">
        <v>3687</v>
      </c>
    </row>
    <row r="15" customFormat="false" ht="15" hidden="false" customHeight="true" outlineLevel="0" collapsed="false">
      <c r="A15" s="34" t="s">
        <v>4048</v>
      </c>
      <c r="B15" s="34" t="s">
        <v>4064</v>
      </c>
      <c r="C15" s="34" t="s">
        <v>4065</v>
      </c>
      <c r="D15" s="34" t="s">
        <v>4061</v>
      </c>
      <c r="E15" s="34" t="s">
        <v>4066</v>
      </c>
      <c r="F15" s="34" t="s">
        <v>4067</v>
      </c>
      <c r="G15" s="34" t="s">
        <v>3687</v>
      </c>
    </row>
    <row r="16" customFormat="false" ht="15" hidden="false" customHeight="true" outlineLevel="0" collapsed="false">
      <c r="A16" s="34" t="s">
        <v>4048</v>
      </c>
      <c r="B16" s="34" t="s">
        <v>3954</v>
      </c>
      <c r="C16" s="34" t="s">
        <v>4068</v>
      </c>
      <c r="D16" s="34" t="s">
        <v>4061</v>
      </c>
      <c r="E16" s="34" t="s">
        <v>4069</v>
      </c>
      <c r="F16" s="34" t="s">
        <v>4070</v>
      </c>
      <c r="G16" s="34" t="s">
        <v>3687</v>
      </c>
    </row>
    <row r="17" customFormat="false" ht="27.75" hidden="false" customHeight="true" outlineLevel="0" collapsed="false">
      <c r="A17" s="34" t="s">
        <v>4048</v>
      </c>
      <c r="B17" s="34" t="s">
        <v>4071</v>
      </c>
      <c r="C17" s="34" t="s">
        <v>4072</v>
      </c>
      <c r="D17" s="34" t="s">
        <v>4056</v>
      </c>
      <c r="E17" s="34" t="s">
        <v>4073</v>
      </c>
      <c r="F17" s="34" t="s">
        <v>4074</v>
      </c>
      <c r="G17" s="34" t="s">
        <v>3687</v>
      </c>
    </row>
    <row r="18" customFormat="false" ht="27.75" hidden="false" customHeight="true" outlineLevel="0" collapsed="false">
      <c r="A18" s="34" t="s">
        <v>4075</v>
      </c>
      <c r="B18" s="34" t="s">
        <v>3963</v>
      </c>
      <c r="C18" s="34" t="s">
        <v>4076</v>
      </c>
      <c r="D18" s="34" t="s">
        <v>3965</v>
      </c>
      <c r="E18" s="34" t="s">
        <v>4077</v>
      </c>
      <c r="F18" s="34" t="s">
        <v>4078</v>
      </c>
      <c r="G18" s="34" t="s">
        <v>4079</v>
      </c>
    </row>
    <row r="19" customFormat="false" ht="15" hidden="false" customHeight="true" outlineLevel="0" collapsed="false">
      <c r="A19" s="34" t="s">
        <v>4080</v>
      </c>
      <c r="B19" s="34" t="s">
        <v>4081</v>
      </c>
      <c r="C19" s="34" t="s">
        <v>4082</v>
      </c>
      <c r="D19" s="34" t="s">
        <v>4083</v>
      </c>
      <c r="E19" s="34" t="s">
        <v>4084</v>
      </c>
      <c r="F19" s="34" t="s">
        <v>4085</v>
      </c>
      <c r="G19" s="34" t="s">
        <v>4080</v>
      </c>
    </row>
    <row r="20" customFormat="false" ht="27.75" hidden="false" customHeight="true" outlineLevel="0" collapsed="false">
      <c r="A20" s="34" t="s">
        <v>3818</v>
      </c>
      <c r="B20" s="34" t="s">
        <v>3969</v>
      </c>
      <c r="C20" s="34" t="s">
        <v>3970</v>
      </c>
      <c r="D20" s="34" t="s">
        <v>4086</v>
      </c>
      <c r="E20" s="34" t="s">
        <v>4087</v>
      </c>
      <c r="F20" s="34" t="s">
        <v>4088</v>
      </c>
      <c r="G20" s="34" t="s">
        <v>3687</v>
      </c>
    </row>
    <row r="21" customFormat="false" ht="15" hidden="false" customHeight="true" outlineLevel="0" collapsed="false">
      <c r="A21" s="34" t="s">
        <v>3818</v>
      </c>
      <c r="B21" s="34" t="s">
        <v>4089</v>
      </c>
      <c r="C21" s="34" t="s">
        <v>4090</v>
      </c>
      <c r="D21" s="34" t="s">
        <v>4091</v>
      </c>
      <c r="E21" s="34" t="s">
        <v>4092</v>
      </c>
      <c r="F21" s="34" t="s">
        <v>4093</v>
      </c>
      <c r="G21" s="34" t="s">
        <v>3687</v>
      </c>
    </row>
    <row r="22" customFormat="false" ht="15" hidden="false" customHeight="true" outlineLevel="0" collapsed="false">
      <c r="A22" s="34" t="s">
        <v>3818</v>
      </c>
      <c r="B22" s="34" t="s">
        <v>4094</v>
      </c>
      <c r="C22" s="34" t="s">
        <v>4095</v>
      </c>
      <c r="D22" s="34" t="s">
        <v>4091</v>
      </c>
      <c r="E22" s="34" t="s">
        <v>4096</v>
      </c>
      <c r="F22" s="34" t="s">
        <v>4097</v>
      </c>
      <c r="G22" s="34" t="s">
        <v>3687</v>
      </c>
    </row>
    <row r="23" customFormat="false" ht="15" hidden="false" customHeight="true" outlineLevel="0" collapsed="false">
      <c r="A23" s="34" t="s">
        <v>3818</v>
      </c>
      <c r="B23" s="34" t="s">
        <v>4098</v>
      </c>
      <c r="C23" s="34" t="s">
        <v>4095</v>
      </c>
      <c r="D23" s="34" t="s">
        <v>4091</v>
      </c>
      <c r="E23" s="34" t="s">
        <v>4099</v>
      </c>
      <c r="F23" s="34" t="s">
        <v>4097</v>
      </c>
      <c r="G23" s="34" t="s">
        <v>3687</v>
      </c>
    </row>
    <row r="24" customFormat="false" ht="27.75" hidden="false" customHeight="true" outlineLevel="0" collapsed="false">
      <c r="A24" s="34" t="s">
        <v>3818</v>
      </c>
      <c r="B24" s="34" t="s">
        <v>4100</v>
      </c>
      <c r="C24" s="34" t="s">
        <v>4101</v>
      </c>
      <c r="D24" s="34" t="s">
        <v>4102</v>
      </c>
      <c r="E24" s="34" t="s">
        <v>4103</v>
      </c>
      <c r="F24" s="34" t="s">
        <v>4104</v>
      </c>
      <c r="G24" s="34" t="s">
        <v>3687</v>
      </c>
    </row>
    <row r="25" customFormat="false" ht="15" hidden="false" customHeight="true" outlineLevel="0" collapsed="false">
      <c r="A25" s="34" t="s">
        <v>3818</v>
      </c>
      <c r="B25" s="34" t="s">
        <v>4105</v>
      </c>
      <c r="C25" s="34" t="s">
        <v>4106</v>
      </c>
      <c r="D25" s="34" t="s">
        <v>4107</v>
      </c>
      <c r="E25" s="34" t="s">
        <v>4108</v>
      </c>
      <c r="F25" s="34" t="s">
        <v>4109</v>
      </c>
      <c r="G25" s="34" t="s">
        <v>3687</v>
      </c>
    </row>
    <row r="26" customFormat="false" ht="27.75" hidden="false" customHeight="true" outlineLevel="0" collapsed="false">
      <c r="A26" s="34" t="s">
        <v>3818</v>
      </c>
      <c r="B26" s="34" t="s">
        <v>4110</v>
      </c>
      <c r="C26" s="34" t="s">
        <v>4106</v>
      </c>
      <c r="D26" s="34" t="s">
        <v>4111</v>
      </c>
      <c r="E26" s="34" t="s">
        <v>4112</v>
      </c>
      <c r="F26" s="34" t="s">
        <v>4113</v>
      </c>
      <c r="G26" s="34" t="s">
        <v>3687</v>
      </c>
    </row>
    <row r="27" customFormat="false" ht="15" hidden="false" customHeight="true" outlineLevel="0" collapsed="false">
      <c r="A27" s="34" t="s">
        <v>3818</v>
      </c>
      <c r="B27" s="34" t="s">
        <v>3865</v>
      </c>
      <c r="C27" s="34" t="s">
        <v>4114</v>
      </c>
      <c r="D27" s="34"/>
      <c r="E27" s="34" t="s">
        <v>4115</v>
      </c>
      <c r="F27" s="34" t="s">
        <v>4116</v>
      </c>
      <c r="G27" s="34" t="s">
        <v>3687</v>
      </c>
    </row>
    <row r="28" customFormat="false" ht="15" hidden="false" customHeight="true" outlineLevel="0" collapsed="false">
      <c r="A28" s="34"/>
      <c r="B28" s="34"/>
      <c r="C28" s="34"/>
      <c r="D28" s="34"/>
      <c r="E28" s="34"/>
      <c r="F28" s="34"/>
      <c r="G28" s="34"/>
    </row>
    <row r="29" customFormat="false" ht="15" hidden="false" customHeight="true" outlineLevel="0" collapsed="false">
      <c r="A29" s="45" t="s">
        <v>3821</v>
      </c>
      <c r="B29" s="45"/>
      <c r="C29" s="45"/>
      <c r="D29" s="45"/>
      <c r="E29" s="45"/>
      <c r="F29" s="45"/>
      <c r="G29" s="45"/>
    </row>
    <row r="30" customFormat="false" ht="41.25" hidden="false" customHeight="true" outlineLevel="0" collapsed="false">
      <c r="A30" s="34" t="s">
        <v>3006</v>
      </c>
      <c r="B30" s="34" t="s">
        <v>4117</v>
      </c>
      <c r="C30" s="34"/>
      <c r="D30" s="34"/>
      <c r="E30" s="34"/>
      <c r="F30" s="34"/>
      <c r="G30" s="34"/>
    </row>
    <row r="31" customFormat="false" ht="54.75" hidden="false" customHeight="true" outlineLevel="0" collapsed="false">
      <c r="A31" s="34" t="s">
        <v>3009</v>
      </c>
      <c r="B31" s="34" t="s">
        <v>4118</v>
      </c>
      <c r="C31" s="34"/>
      <c r="D31" s="34"/>
      <c r="E31" s="34"/>
      <c r="F31" s="34"/>
      <c r="G31" s="34"/>
    </row>
    <row r="32" customFormat="false" ht="41.25" hidden="false" customHeight="true" outlineLevel="0" collapsed="false">
      <c r="A32" s="34" t="s">
        <v>3011</v>
      </c>
      <c r="B32" s="34" t="s">
        <v>4119</v>
      </c>
      <c r="C32" s="34"/>
      <c r="D32" s="34"/>
      <c r="E32" s="34"/>
      <c r="F32" s="34"/>
      <c r="G32" s="34"/>
    </row>
    <row r="33" customFormat="false" ht="41.25" hidden="false" customHeight="true" outlineLevel="0" collapsed="false">
      <c r="A33" s="34" t="s">
        <v>3013</v>
      </c>
      <c r="B33" s="34" t="s">
        <v>4120</v>
      </c>
      <c r="C33" s="34"/>
      <c r="D33" s="34"/>
      <c r="E33" s="34"/>
      <c r="F33" s="34"/>
      <c r="G33" s="34"/>
    </row>
    <row r="34" customFormat="false" ht="41.25" hidden="false" customHeight="true" outlineLevel="0" collapsed="false">
      <c r="A34" s="34" t="s">
        <v>3015</v>
      </c>
      <c r="B34" s="34" t="s">
        <v>4121</v>
      </c>
      <c r="C34" s="34"/>
      <c r="D34" s="34"/>
      <c r="E34" s="34"/>
      <c r="F34" s="34"/>
      <c r="G34" s="34"/>
    </row>
    <row r="35" customFormat="false" ht="41.25" hidden="false" customHeight="true" outlineLevel="0" collapsed="false">
      <c r="A35" s="34" t="s">
        <v>3017</v>
      </c>
      <c r="B35" s="34" t="s">
        <v>4122</v>
      </c>
      <c r="C35" s="34"/>
      <c r="D35" s="34"/>
      <c r="E35" s="34"/>
      <c r="F35" s="34"/>
      <c r="G35" s="34"/>
    </row>
    <row r="36" customFormat="false" ht="41.25" hidden="false" customHeight="true" outlineLevel="0" collapsed="false">
      <c r="A36" s="34" t="s">
        <v>3019</v>
      </c>
      <c r="B36" s="34" t="s">
        <v>4123</v>
      </c>
      <c r="C36" s="34"/>
      <c r="D36" s="34"/>
      <c r="E36" s="34"/>
      <c r="F36" s="34"/>
      <c r="G36" s="34"/>
    </row>
    <row r="37" customFormat="false" ht="27.75" hidden="false" customHeight="true" outlineLevel="0" collapsed="false">
      <c r="A37" s="34" t="s">
        <v>3021</v>
      </c>
      <c r="B37" s="34" t="s">
        <v>4124</v>
      </c>
      <c r="C37" s="34"/>
      <c r="D37" s="34"/>
      <c r="E37" s="34"/>
      <c r="F37" s="34"/>
      <c r="G37" s="34"/>
    </row>
    <row r="38" customFormat="false" ht="54.75" hidden="false" customHeight="true" outlineLevel="0" collapsed="false">
      <c r="A38" s="34" t="s">
        <v>3023</v>
      </c>
      <c r="B38" s="34" t="s">
        <v>4125</v>
      </c>
      <c r="C38" s="34"/>
      <c r="D38" s="34"/>
      <c r="E38" s="34"/>
      <c r="F38" s="34"/>
      <c r="G38" s="34"/>
    </row>
  </sheetData>
  <mergeCells count="2">
    <mergeCell ref="A1:G1"/>
    <mergeCell ref="A29:G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4126</v>
      </c>
      <c r="B1" s="43"/>
      <c r="C1" s="43"/>
      <c r="D1" s="43"/>
      <c r="E1" s="43"/>
      <c r="F1" s="43"/>
      <c r="G1" s="43"/>
    </row>
    <row r="2" customFormat="false" ht="15" hidden="false" customHeight="true" outlineLevel="0" collapsed="false">
      <c r="A2" s="44" t="s">
        <v>3916</v>
      </c>
      <c r="B2" s="44" t="s">
        <v>3917</v>
      </c>
      <c r="C2" s="44" t="s">
        <v>4127</v>
      </c>
      <c r="D2" s="44" t="s">
        <v>195</v>
      </c>
      <c r="E2" s="44" t="s">
        <v>3919</v>
      </c>
      <c r="F2" s="44" t="s">
        <v>3920</v>
      </c>
      <c r="G2" s="44" t="s">
        <v>4</v>
      </c>
    </row>
    <row r="3" customFormat="false" ht="15" hidden="false" customHeight="true" outlineLevel="0" collapsed="false">
      <c r="A3" s="34" t="s">
        <v>4128</v>
      </c>
      <c r="B3" s="34" t="s">
        <v>4129</v>
      </c>
      <c r="C3" s="34" t="s">
        <v>4130</v>
      </c>
      <c r="D3" s="34" t="s">
        <v>4131</v>
      </c>
      <c r="E3" s="34" t="s">
        <v>4132</v>
      </c>
      <c r="F3" s="34" t="s">
        <v>4133</v>
      </c>
      <c r="G3" s="34" t="s">
        <v>3687</v>
      </c>
    </row>
    <row r="4" customFormat="false" ht="27.75" hidden="false" customHeight="true" outlineLevel="0" collapsed="false">
      <c r="A4" s="34" t="s">
        <v>4128</v>
      </c>
      <c r="B4" s="34" t="s">
        <v>4134</v>
      </c>
      <c r="C4" s="34" t="s">
        <v>4135</v>
      </c>
      <c r="D4" s="34" t="s">
        <v>4136</v>
      </c>
      <c r="E4" s="34" t="s">
        <v>4137</v>
      </c>
      <c r="F4" s="34" t="s">
        <v>4138</v>
      </c>
      <c r="G4" s="34" t="s">
        <v>4139</v>
      </c>
    </row>
    <row r="5" customFormat="false" ht="27.75" hidden="false" customHeight="true" outlineLevel="0" collapsed="false">
      <c r="A5" s="34" t="s">
        <v>4026</v>
      </c>
      <c r="B5" s="34" t="s">
        <v>4140</v>
      </c>
      <c r="C5" s="34" t="s">
        <v>4141</v>
      </c>
      <c r="D5" s="34" t="s">
        <v>4142</v>
      </c>
      <c r="E5" s="34" t="s">
        <v>4143</v>
      </c>
      <c r="F5" s="34" t="s">
        <v>4144</v>
      </c>
      <c r="G5" s="34" t="s">
        <v>3687</v>
      </c>
    </row>
    <row r="6" customFormat="false" ht="27.75" hidden="false" customHeight="true" outlineLevel="0" collapsed="false">
      <c r="A6" s="34" t="s">
        <v>4026</v>
      </c>
      <c r="B6" s="34" t="s">
        <v>4145</v>
      </c>
      <c r="C6" s="34" t="s">
        <v>4146</v>
      </c>
      <c r="D6" s="34" t="s">
        <v>4034</v>
      </c>
      <c r="E6" s="34" t="s">
        <v>4143</v>
      </c>
      <c r="F6" s="34" t="s">
        <v>4036</v>
      </c>
      <c r="G6" s="34" t="s">
        <v>4139</v>
      </c>
    </row>
    <row r="7" customFormat="false" ht="27.75" hidden="false" customHeight="true" outlineLevel="0" collapsed="false">
      <c r="A7" s="34" t="s">
        <v>4147</v>
      </c>
      <c r="B7" s="34" t="s">
        <v>4148</v>
      </c>
      <c r="C7" s="34" t="s">
        <v>4149</v>
      </c>
      <c r="D7" s="34" t="s">
        <v>4150</v>
      </c>
      <c r="E7" s="34" t="s">
        <v>4151</v>
      </c>
      <c r="F7" s="34" t="s">
        <v>4152</v>
      </c>
      <c r="G7" s="34" t="s">
        <v>3687</v>
      </c>
    </row>
    <row r="8" customFormat="false" ht="27.75" hidden="false" customHeight="true" outlineLevel="0" collapsed="false">
      <c r="A8" s="34" t="s">
        <v>514</v>
      </c>
      <c r="B8" s="34" t="s">
        <v>4037</v>
      </c>
      <c r="C8" s="34" t="s">
        <v>1450</v>
      </c>
      <c r="D8" s="34" t="s">
        <v>4038</v>
      </c>
      <c r="E8" s="34" t="s">
        <v>4153</v>
      </c>
      <c r="F8" s="34" t="s">
        <v>4154</v>
      </c>
      <c r="G8" s="34" t="s">
        <v>4139</v>
      </c>
    </row>
    <row r="9" customFormat="false" ht="15" hidden="false" customHeight="true" outlineLevel="0" collapsed="false">
      <c r="A9" s="34" t="s">
        <v>2675</v>
      </c>
      <c r="B9" s="34" t="s">
        <v>4155</v>
      </c>
      <c r="C9" s="34" t="s">
        <v>4156</v>
      </c>
      <c r="D9" s="34" t="s">
        <v>4131</v>
      </c>
      <c r="E9" s="34" t="s">
        <v>4157</v>
      </c>
      <c r="F9" s="34" t="s">
        <v>4158</v>
      </c>
      <c r="G9" s="34" t="s">
        <v>3687</v>
      </c>
    </row>
    <row r="10" customFormat="false" ht="27.75" hidden="false" customHeight="true" outlineLevel="0" collapsed="false">
      <c r="A10" s="34" t="s">
        <v>4008</v>
      </c>
      <c r="B10" s="34" t="s">
        <v>4159</v>
      </c>
      <c r="C10" s="34" t="s">
        <v>4160</v>
      </c>
      <c r="D10" s="34" t="s">
        <v>4011</v>
      </c>
      <c r="E10" s="34" t="s">
        <v>4161</v>
      </c>
      <c r="F10" s="34" t="s">
        <v>4162</v>
      </c>
      <c r="G10" s="34" t="s">
        <v>4014</v>
      </c>
    </row>
    <row r="11" customFormat="false" ht="15" hidden="false" customHeight="true" outlineLevel="0" collapsed="false">
      <c r="A11" s="34" t="s">
        <v>1263</v>
      </c>
      <c r="B11" s="34" t="s">
        <v>4163</v>
      </c>
      <c r="C11" s="34" t="s">
        <v>4164</v>
      </c>
      <c r="D11" s="34" t="s">
        <v>4000</v>
      </c>
      <c r="E11" s="34" t="s">
        <v>4165</v>
      </c>
      <c r="F11" s="34" t="s">
        <v>4166</v>
      </c>
      <c r="G11" s="34" t="s">
        <v>3687</v>
      </c>
    </row>
    <row r="12" customFormat="false" ht="15" hidden="false" customHeight="true" outlineLevel="0" collapsed="false">
      <c r="A12" s="34" t="s">
        <v>4020</v>
      </c>
      <c r="B12" s="34" t="s">
        <v>4021</v>
      </c>
      <c r="C12" s="34" t="s">
        <v>4022</v>
      </c>
      <c r="D12" s="34" t="s">
        <v>4023</v>
      </c>
      <c r="E12" s="34" t="s">
        <v>4167</v>
      </c>
      <c r="F12" s="34" t="s">
        <v>4168</v>
      </c>
      <c r="G12" s="34" t="s">
        <v>4139</v>
      </c>
    </row>
    <row r="13" customFormat="false" ht="15" hidden="false" customHeight="true" outlineLevel="0" collapsed="false">
      <c r="A13" s="34" t="s">
        <v>4008</v>
      </c>
      <c r="B13" s="34" t="s">
        <v>4015</v>
      </c>
      <c r="C13" s="34" t="s">
        <v>4016</v>
      </c>
      <c r="D13" s="34" t="s">
        <v>4017</v>
      </c>
      <c r="E13" s="34" t="s">
        <v>4169</v>
      </c>
      <c r="F13" s="34" t="s">
        <v>4168</v>
      </c>
      <c r="G13" s="34" t="s">
        <v>4139</v>
      </c>
    </row>
    <row r="14" customFormat="false" ht="15" hidden="false" customHeight="true" outlineLevel="0" collapsed="false">
      <c r="A14" s="34" t="s">
        <v>3818</v>
      </c>
      <c r="B14" s="34" t="s">
        <v>3969</v>
      </c>
      <c r="C14" s="34" t="s">
        <v>3970</v>
      </c>
      <c r="D14" s="34"/>
      <c r="E14" s="34" t="s">
        <v>4170</v>
      </c>
      <c r="F14" s="34" t="s">
        <v>4171</v>
      </c>
      <c r="G14" s="34" t="s">
        <v>3687</v>
      </c>
    </row>
    <row r="15" customFormat="false" ht="15" hidden="false" customHeight="true" outlineLevel="0" collapsed="false">
      <c r="A15" s="34" t="s">
        <v>3818</v>
      </c>
      <c r="B15" s="34" t="s">
        <v>4089</v>
      </c>
      <c r="C15" s="34" t="s">
        <v>4172</v>
      </c>
      <c r="D15" s="34"/>
      <c r="E15" s="34" t="s">
        <v>4173</v>
      </c>
      <c r="F15" s="34" t="s">
        <v>4174</v>
      </c>
      <c r="G15" s="34" t="s">
        <v>3687</v>
      </c>
    </row>
    <row r="16" customFormat="false" ht="15" hidden="false" customHeight="true" outlineLevel="0" collapsed="false">
      <c r="A16" s="34" t="s">
        <v>3818</v>
      </c>
      <c r="B16" s="34" t="s">
        <v>4094</v>
      </c>
      <c r="C16" s="34" t="s">
        <v>4175</v>
      </c>
      <c r="D16" s="34"/>
      <c r="E16" s="34" t="s">
        <v>4173</v>
      </c>
      <c r="F16" s="34" t="s">
        <v>4176</v>
      </c>
      <c r="G16" s="34" t="s">
        <v>3687</v>
      </c>
    </row>
    <row r="17" customFormat="false" ht="15" hidden="false" customHeight="true" outlineLevel="0" collapsed="false">
      <c r="A17" s="34" t="s">
        <v>3818</v>
      </c>
      <c r="B17" s="34" t="s">
        <v>4098</v>
      </c>
      <c r="C17" s="34" t="s">
        <v>4175</v>
      </c>
      <c r="D17" s="34"/>
      <c r="E17" s="34" t="s">
        <v>4173</v>
      </c>
      <c r="F17" s="34" t="s">
        <v>4176</v>
      </c>
      <c r="G17" s="34" t="s">
        <v>3687</v>
      </c>
    </row>
    <row r="18" customFormat="false" ht="15" hidden="false" customHeight="true" outlineLevel="0" collapsed="false">
      <c r="A18" s="34" t="s">
        <v>3818</v>
      </c>
      <c r="B18" s="34" t="s">
        <v>4100</v>
      </c>
      <c r="C18" s="34" t="s">
        <v>4101</v>
      </c>
      <c r="D18" s="34"/>
      <c r="E18" s="34" t="s">
        <v>4177</v>
      </c>
      <c r="F18" s="34" t="s">
        <v>4178</v>
      </c>
      <c r="G18" s="34" t="s">
        <v>3687</v>
      </c>
    </row>
    <row r="19" customFormat="false" ht="15" hidden="false" customHeight="true" outlineLevel="0" collapsed="false">
      <c r="A19" s="34" t="s">
        <v>3818</v>
      </c>
      <c r="B19" s="34" t="s">
        <v>4105</v>
      </c>
      <c r="C19" s="34" t="s">
        <v>4106</v>
      </c>
      <c r="D19" s="34"/>
      <c r="E19" s="34" t="s">
        <v>4179</v>
      </c>
      <c r="F19" s="34" t="s">
        <v>4180</v>
      </c>
      <c r="G19" s="34" t="s">
        <v>3687</v>
      </c>
    </row>
    <row r="20" customFormat="false" ht="15" hidden="false" customHeight="true" outlineLevel="0" collapsed="false">
      <c r="A20" s="34" t="s">
        <v>3818</v>
      </c>
      <c r="B20" s="34" t="s">
        <v>4110</v>
      </c>
      <c r="C20" s="34" t="s">
        <v>4106</v>
      </c>
      <c r="D20" s="34"/>
      <c r="E20" s="34" t="s">
        <v>4181</v>
      </c>
      <c r="F20" s="34" t="s">
        <v>4112</v>
      </c>
      <c r="G20" s="34" t="s">
        <v>3687</v>
      </c>
    </row>
    <row r="21" customFormat="false" ht="15" hidden="false" customHeight="true" outlineLevel="0" collapsed="false">
      <c r="A21" s="34" t="s">
        <v>3818</v>
      </c>
      <c r="B21" s="34" t="s">
        <v>4182</v>
      </c>
      <c r="C21" s="34" t="s">
        <v>4183</v>
      </c>
      <c r="D21" s="34"/>
      <c r="E21" s="34" t="s">
        <v>4184</v>
      </c>
      <c r="F21" s="34" t="s">
        <v>4116</v>
      </c>
      <c r="G21" s="34" t="s">
        <v>3687</v>
      </c>
    </row>
    <row r="22" customFormat="false" ht="15" hidden="false" customHeight="true" outlineLevel="0" collapsed="false">
      <c r="A22" s="34"/>
      <c r="B22" s="34"/>
      <c r="C22" s="34"/>
      <c r="D22" s="34"/>
      <c r="E22" s="34"/>
      <c r="F22" s="34"/>
      <c r="G22" s="34"/>
    </row>
    <row r="23" customFormat="false" ht="27.75" hidden="false" customHeight="true" outlineLevel="0" collapsed="false">
      <c r="A23" s="34" t="s">
        <v>3821</v>
      </c>
    </row>
    <row r="24" customFormat="false" ht="68.25" hidden="false" customHeight="true" outlineLevel="0" collapsed="false">
      <c r="A24" s="34" t="s">
        <v>3025</v>
      </c>
      <c r="B24" s="34" t="s">
        <v>3026</v>
      </c>
      <c r="C24" s="34"/>
      <c r="D24" s="34"/>
      <c r="E24" s="34"/>
      <c r="F24" s="34"/>
      <c r="G24" s="34"/>
    </row>
    <row r="25" customFormat="false" ht="68.25" hidden="false" customHeight="true" outlineLevel="0" collapsed="false">
      <c r="A25" s="34" t="s">
        <v>3028</v>
      </c>
      <c r="B25" s="34" t="s">
        <v>3029</v>
      </c>
      <c r="C25" s="34"/>
      <c r="D25" s="34"/>
      <c r="E25" s="34"/>
      <c r="F25" s="34"/>
      <c r="G25" s="34"/>
    </row>
    <row r="26" customFormat="false" ht="68.25" hidden="false" customHeight="true" outlineLevel="0" collapsed="false">
      <c r="A26" s="34" t="s">
        <v>3030</v>
      </c>
      <c r="B26" s="34" t="s">
        <v>3031</v>
      </c>
      <c r="C26" s="34"/>
      <c r="D26" s="34"/>
      <c r="E26" s="34"/>
      <c r="F26" s="34"/>
      <c r="G26" s="34"/>
    </row>
    <row r="27" customFormat="false" ht="54.75" hidden="false" customHeight="true" outlineLevel="0" collapsed="false">
      <c r="A27" s="34" t="s">
        <v>3032</v>
      </c>
      <c r="B27" s="34" t="s">
        <v>3033</v>
      </c>
      <c r="C27" s="34"/>
      <c r="D27" s="34"/>
      <c r="E27" s="34"/>
      <c r="F27" s="34"/>
      <c r="G27" s="34"/>
    </row>
    <row r="28" customFormat="false" ht="68.25" hidden="false" customHeight="true" outlineLevel="0" collapsed="false">
      <c r="A28" s="34" t="s">
        <v>3034</v>
      </c>
      <c r="B28" s="34" t="s">
        <v>3035</v>
      </c>
      <c r="C28" s="34"/>
      <c r="D28" s="34"/>
      <c r="E28" s="34"/>
      <c r="F28" s="34"/>
      <c r="G28" s="34"/>
    </row>
    <row r="29" customFormat="false" ht="14.25" hidden="false" customHeight="true" outlineLevel="0" collapsed="false">
      <c r="A29" s="45" t="s">
        <v>3037</v>
      </c>
      <c r="B29" s="45"/>
      <c r="C29" s="45"/>
      <c r="D29" s="45"/>
      <c r="E29" s="45"/>
      <c r="F29" s="45"/>
      <c r="G29" s="45"/>
    </row>
    <row r="30" customFormat="false" ht="68.25" hidden="false" customHeight="true" outlineLevel="0" collapsed="false">
      <c r="A30" s="34" t="s">
        <v>3039</v>
      </c>
      <c r="B30" s="34" t="s">
        <v>3040</v>
      </c>
      <c r="C30" s="34"/>
      <c r="D30" s="34"/>
      <c r="E30" s="34"/>
      <c r="F30" s="34"/>
      <c r="G30" s="34"/>
    </row>
    <row r="31" customFormat="false" ht="15" hidden="false" customHeight="true" outlineLevel="0" collapsed="false">
      <c r="A31" s="34"/>
      <c r="B31" s="34"/>
      <c r="C31" s="34"/>
      <c r="D31" s="34"/>
      <c r="E31" s="34"/>
      <c r="F31" s="34"/>
      <c r="G31" s="34"/>
    </row>
    <row r="32" customFormat="false" ht="15" hidden="false" customHeight="true" outlineLevel="0" collapsed="false">
      <c r="A32" s="34"/>
      <c r="B32" s="34"/>
      <c r="C32" s="34"/>
      <c r="D32" s="34"/>
      <c r="E32" s="34"/>
      <c r="F32" s="34"/>
      <c r="G32" s="34"/>
    </row>
    <row r="33" customFormat="false" ht="15" hidden="false" customHeight="true" outlineLevel="0" collapsed="false">
      <c r="A33" s="34"/>
      <c r="B33" s="34"/>
      <c r="C33" s="34"/>
      <c r="D33" s="34"/>
      <c r="E33" s="34"/>
      <c r="F33" s="34"/>
      <c r="G33" s="34"/>
    </row>
    <row r="34" customFormat="false" ht="15" hidden="false" customHeight="true" outlineLevel="0" collapsed="false">
      <c r="A34" s="34"/>
      <c r="B34" s="34"/>
      <c r="C34" s="34"/>
      <c r="D34" s="34"/>
      <c r="E34" s="34"/>
      <c r="F34" s="34"/>
      <c r="G34" s="34"/>
    </row>
    <row r="35" customFormat="false" ht="15" hidden="false" customHeight="true" outlineLevel="0" collapsed="false">
      <c r="A35" s="34"/>
      <c r="B35" s="34"/>
      <c r="C35" s="34"/>
      <c r="D35" s="34"/>
      <c r="E35" s="34"/>
      <c r="F35" s="34"/>
      <c r="G35" s="34"/>
    </row>
    <row r="36" customFormat="false" ht="15" hidden="false" customHeight="true" outlineLevel="0" collapsed="false">
      <c r="A36" s="34"/>
      <c r="B36" s="34"/>
      <c r="C36" s="34"/>
      <c r="D36" s="34"/>
      <c r="E36" s="34"/>
      <c r="F36" s="34"/>
      <c r="G36" s="34"/>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2">
    <mergeCell ref="A1:G1"/>
    <mergeCell ref="A29:G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4185</v>
      </c>
      <c r="B1" s="43"/>
      <c r="C1" s="43"/>
      <c r="D1" s="43"/>
      <c r="E1" s="43"/>
      <c r="F1" s="43"/>
      <c r="G1" s="43"/>
    </row>
    <row r="2" customFormat="false" ht="15" hidden="false" customHeight="true" outlineLevel="0" collapsed="false">
      <c r="A2" s="44" t="s">
        <v>4186</v>
      </c>
      <c r="B2" s="44" t="s">
        <v>4187</v>
      </c>
      <c r="C2" s="44" t="s">
        <v>4188</v>
      </c>
      <c r="D2" s="44" t="s">
        <v>4189</v>
      </c>
      <c r="E2" s="44" t="s">
        <v>4190</v>
      </c>
      <c r="F2" s="44" t="s">
        <v>4191</v>
      </c>
      <c r="G2" s="44" t="s">
        <v>4</v>
      </c>
    </row>
    <row r="3" customFormat="false" ht="41.25" hidden="false" customHeight="true" outlineLevel="0" collapsed="false">
      <c r="A3" s="34" t="s">
        <v>4192</v>
      </c>
      <c r="B3" s="34" t="s">
        <v>4193</v>
      </c>
      <c r="C3" s="34" t="s">
        <v>4194</v>
      </c>
      <c r="D3" s="34" t="s">
        <v>4195</v>
      </c>
      <c r="E3" s="34" t="s">
        <v>4196</v>
      </c>
      <c r="F3" s="34" t="s">
        <v>4197</v>
      </c>
      <c r="G3" s="34" t="s">
        <v>4198</v>
      </c>
    </row>
    <row r="4" customFormat="false" ht="41.25" hidden="false" customHeight="true" outlineLevel="0" collapsed="false">
      <c r="A4" s="34" t="s">
        <v>4199</v>
      </c>
      <c r="B4" s="34" t="s">
        <v>4200</v>
      </c>
      <c r="C4" s="34" t="s">
        <v>4201</v>
      </c>
      <c r="D4" s="34" t="s">
        <v>4202</v>
      </c>
      <c r="E4" s="34" t="s">
        <v>4203</v>
      </c>
      <c r="F4" s="34" t="s">
        <v>4197</v>
      </c>
      <c r="G4" s="34" t="s">
        <v>4204</v>
      </c>
    </row>
    <row r="5" customFormat="false" ht="27.75" hidden="false" customHeight="true" outlineLevel="0" collapsed="false">
      <c r="A5" s="34" t="s">
        <v>4205</v>
      </c>
      <c r="B5" s="34" t="s">
        <v>4206</v>
      </c>
      <c r="C5" s="34" t="s">
        <v>4207</v>
      </c>
      <c r="D5" s="34" t="s">
        <v>4208</v>
      </c>
      <c r="E5" s="34" t="s">
        <v>4209</v>
      </c>
      <c r="F5" s="34" t="s">
        <v>4210</v>
      </c>
      <c r="G5" s="34" t="s">
        <v>4211</v>
      </c>
    </row>
    <row r="6" customFormat="false" ht="41.25" hidden="false" customHeight="true" outlineLevel="0" collapsed="false">
      <c r="A6" s="34" t="s">
        <v>4212</v>
      </c>
      <c r="B6" s="34" t="s">
        <v>4213</v>
      </c>
      <c r="C6" s="34" t="s">
        <v>4214</v>
      </c>
      <c r="D6" s="34" t="s">
        <v>4215</v>
      </c>
      <c r="E6" s="34" t="s">
        <v>4216</v>
      </c>
      <c r="F6" s="34" t="s">
        <v>4217</v>
      </c>
      <c r="G6" s="34" t="s">
        <v>4218</v>
      </c>
    </row>
    <row r="7" customFormat="false" ht="27.75" hidden="false" customHeight="true" outlineLevel="0" collapsed="false">
      <c r="A7" s="34" t="s">
        <v>4219</v>
      </c>
      <c r="B7" s="34" t="s">
        <v>4220</v>
      </c>
      <c r="C7" s="34" t="s">
        <v>4221</v>
      </c>
      <c r="D7" s="34" t="s">
        <v>4215</v>
      </c>
      <c r="E7" s="34" t="s">
        <v>4222</v>
      </c>
      <c r="F7" s="34" t="s">
        <v>4223</v>
      </c>
      <c r="G7" s="34" t="s">
        <v>4224</v>
      </c>
    </row>
    <row r="8" customFormat="false" ht="27.75" hidden="false" customHeight="true" outlineLevel="0" collapsed="false">
      <c r="A8" s="34" t="s">
        <v>4225</v>
      </c>
      <c r="B8" s="34" t="s">
        <v>4226</v>
      </c>
      <c r="C8" s="34" t="s">
        <v>4227</v>
      </c>
      <c r="D8" s="34" t="s">
        <v>4228</v>
      </c>
      <c r="E8" s="34" t="s">
        <v>4203</v>
      </c>
      <c r="F8" s="34" t="s">
        <v>4229</v>
      </c>
      <c r="G8" s="34" t="s">
        <v>4230</v>
      </c>
    </row>
    <row r="9" customFormat="false" ht="27.75" hidden="false" customHeight="true" outlineLevel="0" collapsed="false">
      <c r="A9" s="34" t="s">
        <v>4231</v>
      </c>
      <c r="B9" s="34" t="s">
        <v>4232</v>
      </c>
      <c r="C9" s="34" t="s">
        <v>4233</v>
      </c>
      <c r="D9" s="34" t="s">
        <v>4234</v>
      </c>
      <c r="E9" s="34" t="s">
        <v>4235</v>
      </c>
      <c r="F9" s="34" t="s">
        <v>4236</v>
      </c>
      <c r="G9" s="34" t="s">
        <v>4198</v>
      </c>
    </row>
    <row r="10" customFormat="false" ht="27.75" hidden="false" customHeight="true" outlineLevel="0" collapsed="false">
      <c r="A10" s="34" t="s">
        <v>4237</v>
      </c>
      <c r="B10" s="34" t="s">
        <v>4238</v>
      </c>
      <c r="C10" s="34" t="s">
        <v>4239</v>
      </c>
      <c r="D10" s="34" t="s">
        <v>4240</v>
      </c>
      <c r="E10" s="34" t="s">
        <v>4241</v>
      </c>
      <c r="F10" s="34" t="s">
        <v>4242</v>
      </c>
      <c r="G10" s="34" t="s">
        <v>4198</v>
      </c>
    </row>
    <row r="11" customFormat="false" ht="27.75" hidden="false" customHeight="true" outlineLevel="0" collapsed="false">
      <c r="A11" s="34" t="s">
        <v>4243</v>
      </c>
      <c r="B11" s="34" t="s">
        <v>4244</v>
      </c>
      <c r="C11" s="34" t="s">
        <v>4245</v>
      </c>
      <c r="D11" s="34" t="s">
        <v>4246</v>
      </c>
      <c r="E11" s="34" t="s">
        <v>4247</v>
      </c>
      <c r="F11" s="34" t="s">
        <v>4248</v>
      </c>
      <c r="G11" s="34" t="s">
        <v>4249</v>
      </c>
    </row>
    <row r="12" customFormat="false" ht="27.75" hidden="false" customHeight="true" outlineLevel="0" collapsed="false">
      <c r="A12" s="34" t="s">
        <v>4250</v>
      </c>
      <c r="B12" s="34" t="s">
        <v>4251</v>
      </c>
      <c r="C12" s="34" t="s">
        <v>4252</v>
      </c>
      <c r="D12" s="34" t="s">
        <v>4215</v>
      </c>
      <c r="E12" s="34" t="s">
        <v>4253</v>
      </c>
      <c r="F12" s="34" t="s">
        <v>4254</v>
      </c>
      <c r="G12" s="34" t="s">
        <v>4249</v>
      </c>
    </row>
    <row r="13" customFormat="false" ht="27.75" hidden="false" customHeight="true" outlineLevel="0" collapsed="false">
      <c r="A13" s="34" t="s">
        <v>4255</v>
      </c>
      <c r="B13" s="34" t="s">
        <v>4256</v>
      </c>
      <c r="C13" s="34" t="s">
        <v>4257</v>
      </c>
      <c r="D13" s="34" t="s">
        <v>4215</v>
      </c>
      <c r="E13" s="34" t="s">
        <v>4258</v>
      </c>
      <c r="F13" s="34" t="s">
        <v>4248</v>
      </c>
      <c r="G13" s="34" t="s">
        <v>4249</v>
      </c>
    </row>
    <row r="14" customFormat="false" ht="27.75" hidden="false" customHeight="true" outlineLevel="0" collapsed="false">
      <c r="A14" s="34" t="s">
        <v>4259</v>
      </c>
      <c r="B14" s="34" t="s">
        <v>4260</v>
      </c>
      <c r="C14" s="34" t="s">
        <v>4261</v>
      </c>
      <c r="D14" s="34" t="s">
        <v>4215</v>
      </c>
      <c r="E14" s="34" t="s">
        <v>4262</v>
      </c>
      <c r="F14" s="34" t="s">
        <v>4263</v>
      </c>
      <c r="G14" s="34" t="s">
        <v>4249</v>
      </c>
    </row>
    <row r="15" customFormat="false" ht="27.75" hidden="false" customHeight="true" outlineLevel="0" collapsed="false">
      <c r="A15" s="34" t="s">
        <v>4264</v>
      </c>
      <c r="B15" s="34" t="s">
        <v>4265</v>
      </c>
      <c r="C15" s="34" t="s">
        <v>4266</v>
      </c>
      <c r="D15" s="34" t="s">
        <v>4215</v>
      </c>
      <c r="E15" s="34" t="s">
        <v>4262</v>
      </c>
      <c r="F15" s="34" t="s">
        <v>4267</v>
      </c>
      <c r="G15" s="34" t="s">
        <v>4249</v>
      </c>
    </row>
    <row r="16" customFormat="false" ht="27.75" hidden="false" customHeight="true" outlineLevel="0" collapsed="false">
      <c r="A16" s="34" t="s">
        <v>4268</v>
      </c>
      <c r="B16" s="34" t="s">
        <v>4269</v>
      </c>
      <c r="C16" s="34" t="s">
        <v>4270</v>
      </c>
      <c r="D16" s="34" t="s">
        <v>4271</v>
      </c>
      <c r="E16" s="34" t="s">
        <v>4197</v>
      </c>
      <c r="F16" s="34" t="s">
        <v>4272</v>
      </c>
      <c r="G16" s="34" t="s">
        <v>4273</v>
      </c>
    </row>
    <row r="17" customFormat="false" ht="27.75" hidden="false" customHeight="true" outlineLevel="0" collapsed="false">
      <c r="A17" s="34" t="s">
        <v>4274</v>
      </c>
      <c r="B17" s="34" t="s">
        <v>4275</v>
      </c>
      <c r="C17" s="34" t="s">
        <v>4276</v>
      </c>
      <c r="D17" s="34" t="s">
        <v>4277</v>
      </c>
      <c r="E17" s="34" t="s">
        <v>4197</v>
      </c>
      <c r="F17" s="34" t="s">
        <v>4272</v>
      </c>
      <c r="G17" s="34" t="s">
        <v>4273</v>
      </c>
    </row>
    <row r="18" customFormat="false" ht="41.25" hidden="false" customHeight="true" outlineLevel="0" collapsed="false">
      <c r="A18" s="34" t="s">
        <v>4278</v>
      </c>
      <c r="B18" s="34" t="s">
        <v>4279</v>
      </c>
      <c r="C18" s="34" t="s">
        <v>4280</v>
      </c>
      <c r="D18" s="34" t="s">
        <v>4281</v>
      </c>
      <c r="E18" s="34" t="s">
        <v>4197</v>
      </c>
      <c r="F18" s="34" t="s">
        <v>4272</v>
      </c>
      <c r="G18" s="34" t="s">
        <v>4273</v>
      </c>
    </row>
    <row r="19" customFormat="false" ht="27.75" hidden="false" customHeight="true" outlineLevel="0" collapsed="false">
      <c r="A19" s="34" t="s">
        <v>4282</v>
      </c>
      <c r="B19" s="34" t="s">
        <v>4283</v>
      </c>
      <c r="C19" s="34" t="s">
        <v>4284</v>
      </c>
      <c r="D19" s="34" t="s">
        <v>4285</v>
      </c>
      <c r="E19" s="34" t="s">
        <v>4286</v>
      </c>
      <c r="F19" s="34" t="s">
        <v>4287</v>
      </c>
      <c r="G19" s="34" t="s">
        <v>3687</v>
      </c>
    </row>
    <row r="20" customFormat="false" ht="27.75" hidden="false" customHeight="true" outlineLevel="0" collapsed="false">
      <c r="A20" s="34" t="s">
        <v>4288</v>
      </c>
      <c r="B20" s="34" t="s">
        <v>4289</v>
      </c>
      <c r="C20" s="34" t="s">
        <v>4290</v>
      </c>
      <c r="D20" s="34" t="s">
        <v>4291</v>
      </c>
      <c r="E20" s="34" t="s">
        <v>4292</v>
      </c>
      <c r="F20" s="34" t="s">
        <v>4293</v>
      </c>
      <c r="G20" s="34" t="s">
        <v>3687</v>
      </c>
    </row>
    <row r="21" customFormat="false" ht="27.75" hidden="false" customHeight="true" outlineLevel="0" collapsed="false">
      <c r="A21" s="34" t="s">
        <v>4294</v>
      </c>
      <c r="B21" s="34" t="s">
        <v>4295</v>
      </c>
      <c r="C21" s="34" t="s">
        <v>4296</v>
      </c>
      <c r="D21" s="34" t="s">
        <v>4297</v>
      </c>
      <c r="E21" s="34" t="s">
        <v>4298</v>
      </c>
      <c r="F21" s="34" t="s">
        <v>4299</v>
      </c>
      <c r="G21" s="34" t="s">
        <v>4300</v>
      </c>
    </row>
    <row r="22" customFormat="false" ht="15" hidden="false" customHeight="true" outlineLevel="0" collapsed="false">
      <c r="A22" s="34"/>
      <c r="B22" s="34"/>
      <c r="C22" s="34"/>
      <c r="D22" s="34"/>
      <c r="E22" s="34"/>
      <c r="F22" s="34"/>
      <c r="G22" s="34"/>
    </row>
    <row r="23" customFormat="false" ht="15" hidden="false" customHeight="true" outlineLevel="0" collapsed="false">
      <c r="A23" s="34"/>
    </row>
    <row r="24" customFormat="false" ht="15" hidden="false" customHeight="true" outlineLevel="0" collapsed="false">
      <c r="A24" s="34"/>
      <c r="B24" s="34"/>
      <c r="C24" s="34"/>
      <c r="D24" s="34"/>
      <c r="E24" s="34"/>
      <c r="F24" s="34"/>
      <c r="G24" s="34"/>
    </row>
    <row r="25" customFormat="false" ht="15" hidden="false" customHeight="true" outlineLevel="0" collapsed="false">
      <c r="A25" s="34"/>
      <c r="B25" s="34"/>
      <c r="C25" s="34"/>
      <c r="D25" s="34"/>
      <c r="E25" s="34"/>
      <c r="F25" s="34"/>
      <c r="G25" s="34"/>
    </row>
    <row r="26" customFormat="false" ht="15" hidden="false" customHeight="true" outlineLevel="0" collapsed="false">
      <c r="A26" s="34"/>
      <c r="B26" s="34"/>
      <c r="C26" s="34"/>
      <c r="D26" s="34"/>
      <c r="E26" s="34"/>
      <c r="F26" s="34"/>
      <c r="G26" s="34"/>
    </row>
    <row r="27" customFormat="false" ht="15" hidden="false" customHeight="true" outlineLevel="0" collapsed="false">
      <c r="A27" s="34"/>
      <c r="B27" s="34"/>
      <c r="C27" s="34"/>
      <c r="D27" s="34"/>
      <c r="E27" s="34"/>
      <c r="F27" s="34"/>
      <c r="G27" s="34"/>
    </row>
    <row r="28" customFormat="false" ht="15" hidden="false" customHeight="true" outlineLevel="0" collapsed="false">
      <c r="A28" s="34"/>
      <c r="B28" s="34"/>
      <c r="C28" s="34"/>
      <c r="D28" s="34"/>
      <c r="E28" s="34"/>
      <c r="F28" s="34"/>
      <c r="G28" s="34"/>
    </row>
    <row r="29" customFormat="false" ht="17.25" hidden="false" customHeight="true" outlineLevel="0" collapsed="false">
      <c r="A29" s="43" t="s">
        <v>3821</v>
      </c>
      <c r="B29" s="43"/>
      <c r="C29" s="43"/>
      <c r="D29" s="43"/>
      <c r="E29" s="43"/>
      <c r="F29" s="43"/>
      <c r="G29" s="43"/>
    </row>
    <row r="30" customFormat="false" ht="27.75" hidden="false" customHeight="true" outlineLevel="0" collapsed="false">
      <c r="A30" s="34" t="s">
        <v>3041</v>
      </c>
      <c r="B30" s="45" t="s">
        <v>3042</v>
      </c>
      <c r="C30" s="45"/>
      <c r="D30" s="45"/>
      <c r="E30" s="45"/>
      <c r="F30" s="45"/>
      <c r="G30" s="34" t="s">
        <v>3043</v>
      </c>
    </row>
    <row r="31" customFormat="false" ht="27.75" hidden="false" customHeight="true" outlineLevel="0" collapsed="false">
      <c r="A31" s="34" t="s">
        <v>3044</v>
      </c>
      <c r="B31" s="45" t="s">
        <v>3045</v>
      </c>
      <c r="C31" s="45"/>
      <c r="D31" s="45"/>
      <c r="E31" s="45"/>
      <c r="F31" s="45"/>
      <c r="G31" s="34" t="s">
        <v>3043</v>
      </c>
    </row>
    <row r="32" customFormat="false" ht="41.25" hidden="false" customHeight="true" outlineLevel="0" collapsed="false">
      <c r="A32" s="34" t="s">
        <v>3046</v>
      </c>
      <c r="B32" s="45" t="s">
        <v>3047</v>
      </c>
      <c r="C32" s="45"/>
      <c r="D32" s="45"/>
      <c r="E32" s="45"/>
      <c r="F32" s="45"/>
      <c r="G32" s="34" t="s">
        <v>3048</v>
      </c>
    </row>
    <row r="33" customFormat="false" ht="41.25" hidden="false" customHeight="true" outlineLevel="0" collapsed="false">
      <c r="A33" s="34" t="s">
        <v>3049</v>
      </c>
      <c r="B33" s="45" t="s">
        <v>3050</v>
      </c>
      <c r="C33" s="45"/>
      <c r="D33" s="45"/>
      <c r="E33" s="45"/>
      <c r="F33" s="45"/>
      <c r="G33" s="34" t="s">
        <v>3048</v>
      </c>
    </row>
    <row r="34" customFormat="false" ht="41.25" hidden="false" customHeight="true" outlineLevel="0" collapsed="false">
      <c r="A34" s="34" t="s">
        <v>3051</v>
      </c>
      <c r="B34" s="45" t="s">
        <v>3052</v>
      </c>
      <c r="C34" s="45"/>
      <c r="D34" s="45"/>
      <c r="E34" s="45"/>
      <c r="F34" s="45"/>
      <c r="G34" s="34" t="s">
        <v>3048</v>
      </c>
    </row>
    <row r="35" customFormat="false" ht="41.25" hidden="false" customHeight="true" outlineLevel="0" collapsed="false">
      <c r="A35" s="34" t="s">
        <v>3053</v>
      </c>
      <c r="B35" s="45" t="s">
        <v>3054</v>
      </c>
      <c r="C35" s="45"/>
      <c r="D35" s="45"/>
      <c r="E35" s="45"/>
      <c r="F35" s="45"/>
      <c r="G35" s="34" t="s">
        <v>3055</v>
      </c>
    </row>
    <row r="36" customFormat="false" ht="27.75" hidden="false" customHeight="true" outlineLevel="0" collapsed="false">
      <c r="A36" s="34" t="s">
        <v>3056</v>
      </c>
      <c r="B36" s="45" t="s">
        <v>3057</v>
      </c>
      <c r="C36" s="45"/>
      <c r="D36" s="45"/>
      <c r="E36" s="45"/>
      <c r="F36" s="45"/>
      <c r="G36" s="34" t="s">
        <v>3058</v>
      </c>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9">
    <mergeCell ref="A1:G1"/>
    <mergeCell ref="A29:G29"/>
    <mergeCell ref="B30:F30"/>
    <mergeCell ref="B31:F31"/>
    <mergeCell ref="B32:F32"/>
    <mergeCell ref="B33:F33"/>
    <mergeCell ref="B34:F34"/>
    <mergeCell ref="B35:F35"/>
    <mergeCell ref="B36:F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4301</v>
      </c>
      <c r="B1" s="43"/>
      <c r="C1" s="43"/>
      <c r="D1" s="43"/>
      <c r="E1" s="43"/>
      <c r="F1" s="43"/>
      <c r="G1" s="43"/>
    </row>
    <row r="2" customFormat="false" ht="27.75" hidden="false" customHeight="true" outlineLevel="0" collapsed="false">
      <c r="A2" s="44" t="s">
        <v>3789</v>
      </c>
      <c r="B2" s="44" t="s">
        <v>4302</v>
      </c>
      <c r="C2" s="44" t="s">
        <v>4303</v>
      </c>
      <c r="D2" s="44" t="s">
        <v>4304</v>
      </c>
      <c r="E2" s="44" t="s">
        <v>4305</v>
      </c>
      <c r="F2" s="44" t="s">
        <v>4306</v>
      </c>
      <c r="G2" s="44" t="s">
        <v>4</v>
      </c>
    </row>
    <row r="3" customFormat="false" ht="27.75" hidden="false" customHeight="true" outlineLevel="0" collapsed="false">
      <c r="A3" s="34" t="s">
        <v>4307</v>
      </c>
      <c r="B3" s="34" t="s">
        <v>4308</v>
      </c>
      <c r="C3" s="34" t="s">
        <v>4309</v>
      </c>
      <c r="D3" s="34" t="s">
        <v>4310</v>
      </c>
      <c r="E3" s="34" t="s">
        <v>4311</v>
      </c>
      <c r="F3" s="34" t="s">
        <v>4312</v>
      </c>
      <c r="G3" s="34" t="s">
        <v>3687</v>
      </c>
    </row>
    <row r="4" customFormat="false" ht="27.75" hidden="false" customHeight="true" outlineLevel="0" collapsed="false">
      <c r="A4" s="34" t="s">
        <v>4313</v>
      </c>
      <c r="B4" s="34" t="s">
        <v>4314</v>
      </c>
      <c r="C4" s="34" t="s">
        <v>4315</v>
      </c>
      <c r="D4" s="34" t="s">
        <v>4316</v>
      </c>
      <c r="E4" s="34" t="s">
        <v>4317</v>
      </c>
      <c r="F4" s="34" t="s">
        <v>4318</v>
      </c>
      <c r="G4" s="34" t="s">
        <v>3687</v>
      </c>
    </row>
    <row r="5" customFormat="false" ht="27.75" hidden="false" customHeight="true" outlineLevel="0" collapsed="false">
      <c r="A5" s="34" t="s">
        <v>4319</v>
      </c>
      <c r="B5" s="34" t="s">
        <v>4320</v>
      </c>
      <c r="C5" s="34" t="s">
        <v>4321</v>
      </c>
      <c r="D5" s="34" t="s">
        <v>4322</v>
      </c>
      <c r="E5" s="34" t="s">
        <v>4323</v>
      </c>
      <c r="F5" s="34" t="s">
        <v>4324</v>
      </c>
      <c r="G5" s="34" t="s">
        <v>3687</v>
      </c>
    </row>
    <row r="6" customFormat="false" ht="27.75" hidden="false" customHeight="true" outlineLevel="0" collapsed="false">
      <c r="A6" s="34" t="s">
        <v>4325</v>
      </c>
      <c r="B6" s="34" t="s">
        <v>4326</v>
      </c>
      <c r="C6" s="34" t="s">
        <v>4327</v>
      </c>
      <c r="D6" s="34" t="s">
        <v>4328</v>
      </c>
      <c r="E6" s="34" t="s">
        <v>4329</v>
      </c>
      <c r="F6" s="34" t="s">
        <v>4330</v>
      </c>
      <c r="G6" s="34" t="s">
        <v>3687</v>
      </c>
    </row>
    <row r="7" customFormat="false" ht="27.75" hidden="false" customHeight="true" outlineLevel="0" collapsed="false">
      <c r="A7" s="34" t="s">
        <v>332</v>
      </c>
      <c r="B7" s="34" t="s">
        <v>4331</v>
      </c>
      <c r="C7" s="34" t="s">
        <v>4332</v>
      </c>
      <c r="D7" s="34" t="s">
        <v>4333</v>
      </c>
      <c r="E7" s="34" t="s">
        <v>4334</v>
      </c>
      <c r="F7" s="34" t="s">
        <v>4335</v>
      </c>
      <c r="G7" s="34" t="s">
        <v>3687</v>
      </c>
    </row>
    <row r="8" customFormat="false" ht="27.75" hidden="false" customHeight="true" outlineLevel="0" collapsed="false">
      <c r="A8" s="34" t="s">
        <v>4042</v>
      </c>
      <c r="B8" s="34" t="s">
        <v>4336</v>
      </c>
      <c r="C8" s="34" t="s">
        <v>4337</v>
      </c>
      <c r="D8" s="34" t="s">
        <v>4338</v>
      </c>
      <c r="E8" s="34" t="s">
        <v>4339</v>
      </c>
      <c r="F8" s="34" t="s">
        <v>4340</v>
      </c>
      <c r="G8" s="34" t="s">
        <v>3687</v>
      </c>
    </row>
    <row r="9" customFormat="false" ht="27.75" hidden="false" customHeight="true" outlineLevel="0" collapsed="false">
      <c r="A9" s="34" t="s">
        <v>4042</v>
      </c>
      <c r="B9" s="34" t="s">
        <v>4341</v>
      </c>
      <c r="C9" s="34" t="s">
        <v>4342</v>
      </c>
      <c r="D9" s="34" t="s">
        <v>4343</v>
      </c>
      <c r="E9" s="34" t="s">
        <v>4344</v>
      </c>
      <c r="F9" s="34" t="s">
        <v>4345</v>
      </c>
      <c r="G9" s="34" t="s">
        <v>3687</v>
      </c>
    </row>
    <row r="10" customFormat="false" ht="27.75" hidden="false" customHeight="true" outlineLevel="0" collapsed="false">
      <c r="A10" s="34" t="s">
        <v>4042</v>
      </c>
      <c r="B10" s="34" t="s">
        <v>4346</v>
      </c>
      <c r="C10" s="34" t="s">
        <v>4347</v>
      </c>
      <c r="D10" s="34" t="s">
        <v>4348</v>
      </c>
      <c r="E10" s="34" t="s">
        <v>4349</v>
      </c>
      <c r="F10" s="34" t="s">
        <v>4350</v>
      </c>
      <c r="G10" s="34" t="s">
        <v>3687</v>
      </c>
    </row>
    <row r="11" customFormat="false" ht="27.75" hidden="false" customHeight="true" outlineLevel="0" collapsed="false">
      <c r="A11" s="34" t="s">
        <v>4351</v>
      </c>
      <c r="B11" s="34" t="s">
        <v>4352</v>
      </c>
      <c r="C11" s="34" t="s">
        <v>4353</v>
      </c>
      <c r="D11" s="34" t="s">
        <v>4354</v>
      </c>
      <c r="E11" s="34" t="s">
        <v>4355</v>
      </c>
      <c r="F11" s="34" t="s">
        <v>3970</v>
      </c>
      <c r="G11" s="34" t="s">
        <v>3806</v>
      </c>
    </row>
    <row r="12" customFormat="false" ht="27.75" hidden="false" customHeight="true" outlineLevel="0" collapsed="false">
      <c r="A12" s="34" t="s">
        <v>3878</v>
      </c>
      <c r="B12" s="34" t="s">
        <v>4356</v>
      </c>
      <c r="C12" s="34" t="s">
        <v>4357</v>
      </c>
      <c r="D12" s="34" t="s">
        <v>4358</v>
      </c>
      <c r="E12" s="34" t="s">
        <v>4359</v>
      </c>
      <c r="F12" s="34" t="s">
        <v>4360</v>
      </c>
      <c r="G12" s="34" t="s">
        <v>3687</v>
      </c>
    </row>
    <row r="13" customFormat="false" ht="27.75" hidden="false" customHeight="true" outlineLevel="0" collapsed="false">
      <c r="A13" s="34" t="s">
        <v>4361</v>
      </c>
      <c r="B13" s="34" t="s">
        <v>4362</v>
      </c>
      <c r="C13" s="34" t="s">
        <v>4363</v>
      </c>
      <c r="D13" s="34" t="s">
        <v>4364</v>
      </c>
      <c r="E13" s="34" t="s">
        <v>4365</v>
      </c>
      <c r="F13" s="34" t="s">
        <v>4366</v>
      </c>
      <c r="G13" s="34" t="s">
        <v>4139</v>
      </c>
    </row>
    <row r="14" customFormat="false" ht="27.75" hidden="false" customHeight="true" outlineLevel="0" collapsed="false">
      <c r="A14" s="34" t="s">
        <v>514</v>
      </c>
      <c r="B14" s="34" t="s">
        <v>4037</v>
      </c>
      <c r="C14" s="34" t="s">
        <v>4367</v>
      </c>
      <c r="D14" s="34" t="s">
        <v>4368</v>
      </c>
      <c r="E14" s="34" t="s">
        <v>4369</v>
      </c>
      <c r="F14" s="34" t="s">
        <v>4370</v>
      </c>
      <c r="G14" s="34" t="s">
        <v>4139</v>
      </c>
    </row>
    <row r="15" customFormat="false" ht="27.75" hidden="false" customHeight="true" outlineLevel="0" collapsed="false">
      <c r="A15" s="34" t="s">
        <v>3818</v>
      </c>
      <c r="B15" s="34" t="s">
        <v>4371</v>
      </c>
      <c r="C15" s="34" t="s">
        <v>4372</v>
      </c>
      <c r="D15" s="34" t="s">
        <v>4373</v>
      </c>
      <c r="E15" s="34" t="s">
        <v>4374</v>
      </c>
      <c r="F15" s="34" t="s">
        <v>4375</v>
      </c>
      <c r="G15" s="34" t="s">
        <v>3687</v>
      </c>
    </row>
    <row r="16" customFormat="false" ht="27.75" hidden="false" customHeight="true" outlineLevel="0" collapsed="false">
      <c r="A16" s="34" t="s">
        <v>3818</v>
      </c>
      <c r="B16" s="34" t="s">
        <v>4376</v>
      </c>
      <c r="C16" s="34" t="s">
        <v>4377</v>
      </c>
      <c r="D16" s="34" t="s">
        <v>4378</v>
      </c>
      <c r="E16" s="34" t="s">
        <v>4379</v>
      </c>
      <c r="F16" s="34" t="s">
        <v>4380</v>
      </c>
      <c r="G16" s="34" t="s">
        <v>3687</v>
      </c>
    </row>
    <row r="17" customFormat="false" ht="27.75" hidden="false" customHeight="true" outlineLevel="0" collapsed="false">
      <c r="A17" s="34" t="s">
        <v>3818</v>
      </c>
      <c r="B17" s="34" t="s">
        <v>4381</v>
      </c>
      <c r="C17" s="34" t="s">
        <v>4382</v>
      </c>
      <c r="D17" s="34" t="s">
        <v>4383</v>
      </c>
      <c r="E17" s="34" t="s">
        <v>4384</v>
      </c>
      <c r="F17" s="34" t="s">
        <v>4385</v>
      </c>
      <c r="G17" s="34" t="s">
        <v>3687</v>
      </c>
    </row>
    <row r="18" customFormat="false" ht="27.75" hidden="false" customHeight="true" outlineLevel="0" collapsed="false">
      <c r="A18" s="34" t="s">
        <v>3818</v>
      </c>
      <c r="B18" s="34" t="s">
        <v>4386</v>
      </c>
      <c r="C18" s="34" t="s">
        <v>4387</v>
      </c>
      <c r="D18" s="34" t="s">
        <v>4388</v>
      </c>
      <c r="E18" s="34" t="s">
        <v>4389</v>
      </c>
      <c r="F18" s="34" t="s">
        <v>4390</v>
      </c>
      <c r="G18" s="34" t="s">
        <v>3687</v>
      </c>
    </row>
    <row r="19" customFormat="false" ht="27.75" hidden="false" customHeight="true" outlineLevel="0" collapsed="false">
      <c r="A19" s="34" t="s">
        <v>3818</v>
      </c>
      <c r="B19" s="34" t="s">
        <v>4391</v>
      </c>
      <c r="C19" s="34" t="s">
        <v>4392</v>
      </c>
      <c r="D19" s="34" t="s">
        <v>4393</v>
      </c>
      <c r="E19" s="34" t="s">
        <v>4394</v>
      </c>
      <c r="F19" s="34" t="s">
        <v>4380</v>
      </c>
      <c r="G19" s="34" t="s">
        <v>3687</v>
      </c>
    </row>
    <row r="20" customFormat="false" ht="41.25" hidden="false" customHeight="true" outlineLevel="0" collapsed="false">
      <c r="A20" s="34" t="s">
        <v>4395</v>
      </c>
      <c r="B20" s="34" t="s">
        <v>4396</v>
      </c>
      <c r="C20" s="34" t="s">
        <v>4397</v>
      </c>
      <c r="D20" s="34" t="s">
        <v>4398</v>
      </c>
      <c r="E20" s="34" t="s">
        <v>4399</v>
      </c>
      <c r="F20" s="34" t="s">
        <v>4400</v>
      </c>
      <c r="G20" s="34" t="s">
        <v>4401</v>
      </c>
    </row>
    <row r="21" customFormat="false" ht="41.25" hidden="false" customHeight="true" outlineLevel="0" collapsed="false">
      <c r="A21" s="34" t="s">
        <v>4080</v>
      </c>
      <c r="B21" s="34" t="s">
        <v>4402</v>
      </c>
      <c r="C21" s="34" t="s">
        <v>4403</v>
      </c>
      <c r="D21" s="34" t="s">
        <v>4404</v>
      </c>
      <c r="E21" s="34" t="s">
        <v>4405</v>
      </c>
      <c r="F21" s="34" t="s">
        <v>4406</v>
      </c>
      <c r="G21" s="34" t="s">
        <v>4080</v>
      </c>
    </row>
    <row r="22" customFormat="false" ht="27.75" hidden="false" customHeight="true" outlineLevel="0" collapsed="false">
      <c r="A22" s="34" t="s">
        <v>4231</v>
      </c>
      <c r="B22" s="34" t="s">
        <v>4407</v>
      </c>
      <c r="C22" s="34" t="s">
        <v>4408</v>
      </c>
      <c r="D22" s="34" t="s">
        <v>4409</v>
      </c>
      <c r="E22" s="34" t="s">
        <v>4410</v>
      </c>
      <c r="F22" s="34" t="s">
        <v>4411</v>
      </c>
      <c r="G22" s="34" t="s">
        <v>4198</v>
      </c>
    </row>
    <row r="23" customFormat="false" ht="15" hidden="false" customHeight="true" outlineLevel="0" collapsed="false">
      <c r="A23" s="34"/>
      <c r="B23" s="34"/>
      <c r="C23" s="34"/>
      <c r="D23" s="34"/>
      <c r="E23" s="34"/>
      <c r="F23" s="34"/>
      <c r="G23" s="34"/>
    </row>
    <row r="24" customFormat="false" ht="15" hidden="false" customHeight="true" outlineLevel="0" collapsed="false">
      <c r="A24" s="34"/>
      <c r="B24" s="34"/>
      <c r="C24" s="34"/>
      <c r="D24" s="34"/>
      <c r="E24" s="34"/>
      <c r="F24" s="34"/>
      <c r="G24" s="34"/>
    </row>
    <row r="25" customFormat="false" ht="17.25" hidden="false" customHeight="true" outlineLevel="0" collapsed="false">
      <c r="A25" s="43" t="s">
        <v>3821</v>
      </c>
      <c r="B25" s="43"/>
      <c r="C25" s="43"/>
      <c r="D25" s="43"/>
      <c r="E25" s="43"/>
      <c r="F25" s="43"/>
      <c r="G25" s="43"/>
    </row>
    <row r="26" customFormat="false" ht="27.75" hidden="false" customHeight="true" outlineLevel="0" collapsed="false">
      <c r="A26" s="34" t="s">
        <v>3059</v>
      </c>
      <c r="B26" s="45" t="s">
        <v>3060</v>
      </c>
      <c r="C26" s="45"/>
      <c r="D26" s="45"/>
      <c r="E26" s="45"/>
      <c r="F26" s="45"/>
      <c r="G26" s="34" t="s">
        <v>3061</v>
      </c>
    </row>
    <row r="27" customFormat="false" ht="27.75" hidden="false" customHeight="true" outlineLevel="0" collapsed="false">
      <c r="A27" s="34" t="s">
        <v>3062</v>
      </c>
      <c r="B27" s="45" t="s">
        <v>3063</v>
      </c>
      <c r="C27" s="45"/>
      <c r="D27" s="45"/>
      <c r="E27" s="45"/>
      <c r="F27" s="45"/>
      <c r="G27" s="34" t="s">
        <v>3061</v>
      </c>
    </row>
    <row r="28" customFormat="false" ht="27.75" hidden="false" customHeight="true" outlineLevel="0" collapsed="false">
      <c r="A28" s="34" t="s">
        <v>3064</v>
      </c>
      <c r="B28" s="45" t="s">
        <v>3065</v>
      </c>
      <c r="C28" s="45"/>
      <c r="D28" s="45"/>
      <c r="E28" s="45"/>
      <c r="F28" s="45"/>
      <c r="G28" s="34" t="s">
        <v>3061</v>
      </c>
    </row>
    <row r="29" customFormat="false" ht="27.75" hidden="false" customHeight="true" outlineLevel="0" collapsed="false">
      <c r="A29" s="34" t="s">
        <v>3066</v>
      </c>
      <c r="B29" s="45" t="s">
        <v>3067</v>
      </c>
      <c r="C29" s="45"/>
      <c r="D29" s="45"/>
      <c r="E29" s="45"/>
      <c r="F29" s="45"/>
      <c r="G29" s="34" t="s">
        <v>3061</v>
      </c>
    </row>
    <row r="30" customFormat="false" ht="27.75" hidden="false" customHeight="true" outlineLevel="0" collapsed="false">
      <c r="A30" s="34" t="s">
        <v>3068</v>
      </c>
      <c r="B30" s="45" t="s">
        <v>3069</v>
      </c>
      <c r="C30" s="45"/>
      <c r="D30" s="45"/>
      <c r="E30" s="45"/>
      <c r="F30" s="45"/>
      <c r="G30" s="34" t="s">
        <v>3061</v>
      </c>
    </row>
    <row r="31" customFormat="false" ht="27.75" hidden="false" customHeight="true" outlineLevel="0" collapsed="false">
      <c r="A31" s="34" t="s">
        <v>3070</v>
      </c>
      <c r="B31" s="45" t="s">
        <v>3071</v>
      </c>
      <c r="C31" s="45"/>
      <c r="D31" s="45"/>
      <c r="E31" s="45"/>
      <c r="F31" s="45"/>
      <c r="G31" s="34" t="s">
        <v>3061</v>
      </c>
    </row>
    <row r="32" customFormat="false" ht="27.75" hidden="false" customHeight="true" outlineLevel="0" collapsed="false">
      <c r="A32" s="34" t="s">
        <v>3072</v>
      </c>
      <c r="B32" s="45" t="s">
        <v>3073</v>
      </c>
      <c r="C32" s="45"/>
      <c r="D32" s="45"/>
      <c r="E32" s="45"/>
      <c r="F32" s="45"/>
      <c r="G32" s="34" t="s">
        <v>3061</v>
      </c>
    </row>
    <row r="33" customFormat="false" ht="27.75" hidden="false" customHeight="true" outlineLevel="0" collapsed="false">
      <c r="A33" s="34" t="s">
        <v>3074</v>
      </c>
      <c r="B33" s="45" t="s">
        <v>3075</v>
      </c>
      <c r="C33" s="45"/>
      <c r="D33" s="45"/>
      <c r="E33" s="45"/>
      <c r="F33" s="45"/>
      <c r="G33" s="34" t="s">
        <v>3061</v>
      </c>
    </row>
    <row r="34" customFormat="false" ht="15" hidden="false" customHeight="true" outlineLevel="0" collapsed="false">
      <c r="A34" s="34"/>
      <c r="B34" s="34"/>
      <c r="G34" s="34"/>
    </row>
    <row r="35" customFormat="false" ht="15" hidden="false" customHeight="true" outlineLevel="0" collapsed="false">
      <c r="A35" s="34"/>
      <c r="B35" s="34"/>
      <c r="G35" s="34"/>
    </row>
    <row r="36" customFormat="false" ht="15" hidden="false" customHeight="true" outlineLevel="0" collapsed="false">
      <c r="A36" s="34"/>
      <c r="B36" s="34"/>
      <c r="G36" s="34"/>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10">
    <mergeCell ref="A1:G1"/>
    <mergeCell ref="A25:G25"/>
    <mergeCell ref="B26:F26"/>
    <mergeCell ref="B27:F27"/>
    <mergeCell ref="B28:F28"/>
    <mergeCell ref="B29:F29"/>
    <mergeCell ref="B30:F30"/>
    <mergeCell ref="B31:F31"/>
    <mergeCell ref="B32:F32"/>
    <mergeCell ref="B33:F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24" hidden="false" customHeight="true" outlineLevel="0" collapsed="false">
      <c r="A1" s="43" t="s">
        <v>4412</v>
      </c>
      <c r="B1" s="43"/>
      <c r="C1" s="43"/>
      <c r="D1" s="43"/>
      <c r="E1" s="43"/>
      <c r="F1" s="43"/>
      <c r="G1" s="43"/>
    </row>
    <row r="2" customFormat="false" ht="30" hidden="false" customHeight="true" outlineLevel="0" collapsed="false">
      <c r="A2" s="44" t="s">
        <v>3789</v>
      </c>
      <c r="B2" s="44" t="s">
        <v>4302</v>
      </c>
      <c r="C2" s="44" t="s">
        <v>4413</v>
      </c>
      <c r="D2" s="44" t="s">
        <v>4304</v>
      </c>
      <c r="E2" s="44" t="s">
        <v>4305</v>
      </c>
      <c r="F2" s="44" t="s">
        <v>4306</v>
      </c>
      <c r="G2" s="44" t="s">
        <v>4</v>
      </c>
    </row>
    <row r="3" customFormat="false" ht="39.75" hidden="false" customHeight="true" outlineLevel="0" collapsed="false">
      <c r="A3" s="27" t="s">
        <v>4414</v>
      </c>
      <c r="B3" s="27" t="s">
        <v>4415</v>
      </c>
      <c r="C3" s="27" t="s">
        <v>4416</v>
      </c>
      <c r="D3" s="27" t="s">
        <v>4417</v>
      </c>
      <c r="E3" s="27" t="s">
        <v>4418</v>
      </c>
      <c r="F3" s="27" t="s">
        <v>4419</v>
      </c>
      <c r="G3" s="27" t="s">
        <v>3687</v>
      </c>
    </row>
    <row r="4" customFormat="false" ht="39.75" hidden="false" customHeight="true" outlineLevel="0" collapsed="false">
      <c r="A4" s="27" t="s">
        <v>4420</v>
      </c>
      <c r="B4" s="27" t="s">
        <v>4421</v>
      </c>
      <c r="C4" s="27" t="s">
        <v>4422</v>
      </c>
      <c r="D4" s="27" t="s">
        <v>4423</v>
      </c>
      <c r="E4" s="27" t="s">
        <v>4424</v>
      </c>
      <c r="F4" s="27" t="s">
        <v>4425</v>
      </c>
      <c r="G4" s="27" t="s">
        <v>4426</v>
      </c>
    </row>
    <row r="5" customFormat="false" ht="39.75" hidden="false" customHeight="true" outlineLevel="0" collapsed="false">
      <c r="A5" s="27" t="s">
        <v>4420</v>
      </c>
      <c r="B5" s="27" t="s">
        <v>4427</v>
      </c>
      <c r="C5" s="27" t="s">
        <v>4428</v>
      </c>
      <c r="D5" s="27" t="s">
        <v>4429</v>
      </c>
      <c r="E5" s="27" t="s">
        <v>4430</v>
      </c>
      <c r="F5" s="27" t="s">
        <v>4431</v>
      </c>
      <c r="G5" s="27" t="s">
        <v>4426</v>
      </c>
    </row>
    <row r="6" customFormat="false" ht="39.75" hidden="false" customHeight="true" outlineLevel="0" collapsed="false">
      <c r="A6" s="27" t="s">
        <v>4432</v>
      </c>
      <c r="B6" s="27" t="s">
        <v>4433</v>
      </c>
      <c r="C6" s="27" t="s">
        <v>4434</v>
      </c>
      <c r="D6" s="27" t="s">
        <v>4435</v>
      </c>
      <c r="E6" s="27" t="s">
        <v>4436</v>
      </c>
      <c r="F6" s="27" t="s">
        <v>4437</v>
      </c>
      <c r="G6" s="27" t="s">
        <v>4438</v>
      </c>
    </row>
    <row r="7" customFormat="false" ht="39.75" hidden="false" customHeight="true" outlineLevel="0" collapsed="false">
      <c r="A7" s="27" t="s">
        <v>4439</v>
      </c>
      <c r="B7" s="27" t="s">
        <v>4440</v>
      </c>
      <c r="C7" s="27" t="s">
        <v>4441</v>
      </c>
      <c r="D7" s="27" t="s">
        <v>4442</v>
      </c>
      <c r="E7" s="27" t="s">
        <v>4443</v>
      </c>
      <c r="F7" s="27" t="s">
        <v>4172</v>
      </c>
      <c r="G7" s="27" t="s">
        <v>3687</v>
      </c>
    </row>
    <row r="8" customFormat="false" ht="39.75" hidden="false" customHeight="true" outlineLevel="0" collapsed="false">
      <c r="A8" s="27" t="s">
        <v>4439</v>
      </c>
      <c r="B8" s="27" t="s">
        <v>4444</v>
      </c>
      <c r="C8" s="27" t="s">
        <v>4445</v>
      </c>
      <c r="D8" s="27" t="s">
        <v>4446</v>
      </c>
      <c r="E8" s="27" t="s">
        <v>4447</v>
      </c>
      <c r="F8" s="27" t="s">
        <v>4172</v>
      </c>
      <c r="G8" s="27" t="s">
        <v>3687</v>
      </c>
    </row>
    <row r="9" customFormat="false" ht="39.75" hidden="false" customHeight="true" outlineLevel="0" collapsed="false">
      <c r="A9" s="27" t="s">
        <v>4448</v>
      </c>
      <c r="B9" s="27" t="s">
        <v>4449</v>
      </c>
      <c r="C9" s="27" t="s">
        <v>4450</v>
      </c>
      <c r="D9" s="27" t="s">
        <v>4451</v>
      </c>
      <c r="E9" s="27" t="s">
        <v>4452</v>
      </c>
      <c r="F9" s="27" t="s">
        <v>4453</v>
      </c>
      <c r="G9" s="27" t="s">
        <v>4454</v>
      </c>
    </row>
    <row r="10" customFormat="false" ht="39.75" hidden="false" customHeight="true" outlineLevel="0" collapsed="false">
      <c r="A10" s="27" t="s">
        <v>4448</v>
      </c>
      <c r="B10" s="27" t="s">
        <v>4455</v>
      </c>
      <c r="C10" s="27" t="s">
        <v>4456</v>
      </c>
      <c r="D10" s="27" t="s">
        <v>4451</v>
      </c>
      <c r="E10" s="27" t="s">
        <v>4457</v>
      </c>
      <c r="F10" s="27" t="s">
        <v>4453</v>
      </c>
      <c r="G10" s="27" t="s">
        <v>3687</v>
      </c>
    </row>
    <row r="11" customFormat="false" ht="39.75" hidden="false" customHeight="true" outlineLevel="0" collapsed="false">
      <c r="A11" s="27" t="s">
        <v>4448</v>
      </c>
      <c r="B11" s="27" t="s">
        <v>4458</v>
      </c>
      <c r="C11" s="27" t="s">
        <v>4459</v>
      </c>
      <c r="D11" s="27" t="s">
        <v>4460</v>
      </c>
      <c r="E11" s="27" t="s">
        <v>4461</v>
      </c>
      <c r="F11" s="27" t="s">
        <v>4462</v>
      </c>
      <c r="G11" s="27" t="s">
        <v>4426</v>
      </c>
    </row>
    <row r="12" customFormat="false" ht="39.75" hidden="false" customHeight="true" outlineLevel="0" collapsed="false">
      <c r="A12" s="27" t="s">
        <v>4463</v>
      </c>
      <c r="B12" s="27" t="s">
        <v>4464</v>
      </c>
      <c r="C12" s="27" t="s">
        <v>4465</v>
      </c>
      <c r="D12" s="27" t="s">
        <v>4466</v>
      </c>
      <c r="E12" s="27" t="s">
        <v>4467</v>
      </c>
      <c r="F12" s="27" t="s">
        <v>4453</v>
      </c>
      <c r="G12" s="27" t="s">
        <v>3687</v>
      </c>
    </row>
    <row r="13" customFormat="false" ht="39.75" hidden="false" customHeight="true" outlineLevel="0" collapsed="false">
      <c r="A13" s="27" t="s">
        <v>4468</v>
      </c>
      <c r="B13" s="27" t="s">
        <v>4469</v>
      </c>
      <c r="C13" s="27" t="s">
        <v>4470</v>
      </c>
      <c r="D13" s="27" t="s">
        <v>4471</v>
      </c>
      <c r="E13" s="27" t="s">
        <v>4472</v>
      </c>
      <c r="F13" s="27" t="s">
        <v>4473</v>
      </c>
      <c r="G13" s="27" t="s">
        <v>3687</v>
      </c>
    </row>
    <row r="14" customFormat="false" ht="39.75" hidden="false" customHeight="true" outlineLevel="0" collapsed="false">
      <c r="A14" s="27" t="s">
        <v>4468</v>
      </c>
      <c r="B14" s="27" t="s">
        <v>4474</v>
      </c>
      <c r="C14" s="27" t="s">
        <v>4475</v>
      </c>
      <c r="D14" s="27" t="s">
        <v>4476</v>
      </c>
      <c r="E14" s="27" t="s">
        <v>4477</v>
      </c>
      <c r="F14" s="27" t="s">
        <v>4478</v>
      </c>
      <c r="G14" s="27" t="s">
        <v>3687</v>
      </c>
    </row>
    <row r="15" customFormat="false" ht="39.75" hidden="false" customHeight="true" outlineLevel="0" collapsed="false">
      <c r="A15" s="27" t="s">
        <v>4479</v>
      </c>
      <c r="B15" s="27" t="s">
        <v>4480</v>
      </c>
      <c r="C15" s="27" t="s">
        <v>4481</v>
      </c>
      <c r="D15" s="27" t="s">
        <v>4482</v>
      </c>
      <c r="E15" s="27" t="s">
        <v>4483</v>
      </c>
      <c r="F15" s="27" t="s">
        <v>4478</v>
      </c>
      <c r="G15" s="27" t="s">
        <v>3687</v>
      </c>
    </row>
    <row r="16" customFormat="false" ht="39.75" hidden="false" customHeight="true" outlineLevel="0" collapsed="false">
      <c r="A16" s="27" t="s">
        <v>4484</v>
      </c>
      <c r="B16" s="27" t="s">
        <v>4485</v>
      </c>
      <c r="C16" s="27" t="s">
        <v>4486</v>
      </c>
      <c r="D16" s="27" t="s">
        <v>4487</v>
      </c>
      <c r="E16" s="27" t="s">
        <v>4488</v>
      </c>
      <c r="F16" s="27" t="s">
        <v>4489</v>
      </c>
      <c r="G16" s="27" t="s">
        <v>3687</v>
      </c>
    </row>
    <row r="17" customFormat="false" ht="39.75" hidden="false" customHeight="true" outlineLevel="0" collapsed="false">
      <c r="A17" s="27" t="s">
        <v>4484</v>
      </c>
      <c r="B17" s="27" t="s">
        <v>4490</v>
      </c>
      <c r="C17" s="27" t="s">
        <v>4491</v>
      </c>
      <c r="D17" s="27" t="s">
        <v>4492</v>
      </c>
      <c r="E17" s="27" t="s">
        <v>4493</v>
      </c>
      <c r="F17" s="27" t="s">
        <v>4494</v>
      </c>
      <c r="G17" s="27" t="s">
        <v>4438</v>
      </c>
    </row>
    <row r="18" customFormat="false" ht="39.75" hidden="false" customHeight="true" outlineLevel="0" collapsed="false">
      <c r="A18" s="27" t="s">
        <v>1265</v>
      </c>
      <c r="B18" s="27" t="s">
        <v>4495</v>
      </c>
      <c r="C18" s="27" t="s">
        <v>4496</v>
      </c>
      <c r="D18" s="27" t="s">
        <v>4497</v>
      </c>
      <c r="E18" s="27" t="s">
        <v>4498</v>
      </c>
      <c r="F18" s="27" t="s">
        <v>4478</v>
      </c>
      <c r="G18" s="27" t="s">
        <v>3687</v>
      </c>
    </row>
    <row r="19" customFormat="false" ht="39.75" hidden="false" customHeight="true" outlineLevel="0" collapsed="false">
      <c r="A19" s="27" t="s">
        <v>1265</v>
      </c>
      <c r="B19" s="27" t="s">
        <v>4499</v>
      </c>
      <c r="C19" s="27" t="s">
        <v>4500</v>
      </c>
      <c r="D19" s="27" t="s">
        <v>4497</v>
      </c>
      <c r="E19" s="27" t="s">
        <v>4501</v>
      </c>
      <c r="F19" s="27" t="s">
        <v>4478</v>
      </c>
      <c r="G19" s="27" t="s">
        <v>3687</v>
      </c>
    </row>
    <row r="20" customFormat="false" ht="39.75" hidden="false" customHeight="true" outlineLevel="0" collapsed="false">
      <c r="A20" s="27" t="s">
        <v>514</v>
      </c>
      <c r="B20" s="27" t="s">
        <v>4502</v>
      </c>
      <c r="C20" s="27" t="s">
        <v>4503</v>
      </c>
      <c r="D20" s="27" t="s">
        <v>4504</v>
      </c>
      <c r="E20" s="27" t="s">
        <v>4505</v>
      </c>
      <c r="F20" s="27" t="s">
        <v>4478</v>
      </c>
      <c r="G20" s="27" t="s">
        <v>3687</v>
      </c>
    </row>
    <row r="21" customFormat="false" ht="39.75" hidden="false" customHeight="true" outlineLevel="0" collapsed="false">
      <c r="A21" s="27" t="s">
        <v>4506</v>
      </c>
      <c r="B21" s="27" t="s">
        <v>4507</v>
      </c>
      <c r="C21" s="27" t="s">
        <v>4508</v>
      </c>
      <c r="D21" s="27" t="s">
        <v>4509</v>
      </c>
      <c r="E21" s="27" t="s">
        <v>4510</v>
      </c>
      <c r="F21" s="27" t="s">
        <v>4478</v>
      </c>
      <c r="G21" s="27" t="s">
        <v>3687</v>
      </c>
    </row>
    <row r="22" customFormat="false" ht="39.75" hidden="false" customHeight="true" outlineLevel="0" collapsed="false">
      <c r="A22" s="27" t="s">
        <v>1572</v>
      </c>
      <c r="B22" s="27" t="s">
        <v>4511</v>
      </c>
      <c r="C22" s="27" t="s">
        <v>4512</v>
      </c>
      <c r="D22" s="27" t="s">
        <v>4513</v>
      </c>
      <c r="E22" s="27" t="s">
        <v>4514</v>
      </c>
      <c r="F22" s="27" t="s">
        <v>4478</v>
      </c>
      <c r="G22" s="27" t="s">
        <v>3687</v>
      </c>
    </row>
    <row r="23" customFormat="false" ht="39.75" hidden="false" customHeight="true" outlineLevel="0" collapsed="false">
      <c r="A23" s="27" t="s">
        <v>195</v>
      </c>
      <c r="B23" s="27" t="s">
        <v>4515</v>
      </c>
      <c r="C23" s="27" t="s">
        <v>4516</v>
      </c>
      <c r="D23" s="27" t="s">
        <v>4517</v>
      </c>
      <c r="E23" s="27" t="s">
        <v>4518</v>
      </c>
      <c r="F23" s="27" t="s">
        <v>4478</v>
      </c>
      <c r="G23" s="27" t="s">
        <v>3687</v>
      </c>
    </row>
    <row r="24" customFormat="false" ht="39.75" hidden="false" customHeight="true" outlineLevel="0" collapsed="false">
      <c r="A24" s="27" t="s">
        <v>195</v>
      </c>
      <c r="B24" s="27" t="s">
        <v>4519</v>
      </c>
      <c r="C24" s="27" t="s">
        <v>4520</v>
      </c>
      <c r="D24" s="27" t="s">
        <v>4521</v>
      </c>
      <c r="E24" s="27" t="s">
        <v>4522</v>
      </c>
      <c r="F24" s="27" t="s">
        <v>4478</v>
      </c>
      <c r="G24" s="27" t="s">
        <v>3687</v>
      </c>
    </row>
    <row r="25" customFormat="false" ht="39.75" hidden="false" customHeight="true" outlineLevel="0" collapsed="false">
      <c r="A25" s="27" t="s">
        <v>276</v>
      </c>
      <c r="B25" s="27" t="s">
        <v>4523</v>
      </c>
      <c r="C25" s="27" t="s">
        <v>4524</v>
      </c>
      <c r="D25" s="27" t="s">
        <v>4525</v>
      </c>
      <c r="E25" s="27" t="s">
        <v>4526</v>
      </c>
      <c r="F25" s="27" t="s">
        <v>4478</v>
      </c>
      <c r="G25" s="27" t="s">
        <v>3687</v>
      </c>
    </row>
    <row r="26" customFormat="false" ht="39.75" hidden="false" customHeight="true" outlineLevel="0" collapsed="false">
      <c r="A26" s="27" t="s">
        <v>276</v>
      </c>
      <c r="B26" s="27" t="s">
        <v>4527</v>
      </c>
      <c r="C26" s="27" t="s">
        <v>4528</v>
      </c>
      <c r="D26" s="27" t="s">
        <v>4525</v>
      </c>
      <c r="E26" s="27" t="s">
        <v>4529</v>
      </c>
      <c r="F26" s="27" t="s">
        <v>4478</v>
      </c>
      <c r="G26" s="27" t="s">
        <v>3687</v>
      </c>
    </row>
    <row r="27" customFormat="false" ht="39.75" hidden="false" customHeight="true" outlineLevel="0" collapsed="false">
      <c r="A27" s="27" t="s">
        <v>276</v>
      </c>
      <c r="B27" s="27" t="s">
        <v>4530</v>
      </c>
      <c r="C27" s="27" t="s">
        <v>4531</v>
      </c>
      <c r="D27" s="27" t="s">
        <v>4532</v>
      </c>
      <c r="E27" s="27" t="s">
        <v>4533</v>
      </c>
      <c r="F27" s="27" t="s">
        <v>4478</v>
      </c>
      <c r="G27" s="27" t="s">
        <v>3687</v>
      </c>
    </row>
    <row r="28" customFormat="false" ht="39.75" hidden="false" customHeight="true" outlineLevel="0" collapsed="false">
      <c r="A28" s="27" t="s">
        <v>1758</v>
      </c>
      <c r="B28" s="27" t="s">
        <v>4534</v>
      </c>
      <c r="C28" s="27" t="s">
        <v>4535</v>
      </c>
      <c r="D28" s="27" t="s">
        <v>4525</v>
      </c>
      <c r="E28" s="27" t="s">
        <v>4536</v>
      </c>
      <c r="F28" s="27" t="s">
        <v>4478</v>
      </c>
      <c r="G28" s="27" t="s">
        <v>3687</v>
      </c>
    </row>
    <row r="29" customFormat="false" ht="39.75" hidden="false" customHeight="true" outlineLevel="0" collapsed="false">
      <c r="A29" s="27" t="s">
        <v>1758</v>
      </c>
      <c r="B29" s="27" t="s">
        <v>4064</v>
      </c>
      <c r="C29" s="27" t="s">
        <v>4537</v>
      </c>
      <c r="D29" s="27" t="s">
        <v>4525</v>
      </c>
      <c r="E29" s="27" t="s">
        <v>4538</v>
      </c>
      <c r="F29" s="27" t="s">
        <v>4478</v>
      </c>
      <c r="G29" s="27" t="s">
        <v>3687</v>
      </c>
    </row>
    <row r="30" customFormat="false" ht="39.75" hidden="false" customHeight="true" outlineLevel="0" collapsed="false">
      <c r="A30" s="27" t="s">
        <v>4539</v>
      </c>
      <c r="B30" s="27" t="s">
        <v>4540</v>
      </c>
      <c r="C30" s="27" t="s">
        <v>4541</v>
      </c>
      <c r="D30" s="27" t="s">
        <v>4525</v>
      </c>
      <c r="E30" s="27" t="s">
        <v>4542</v>
      </c>
      <c r="F30" s="27" t="s">
        <v>4478</v>
      </c>
      <c r="G30" s="27" t="s">
        <v>3687</v>
      </c>
    </row>
    <row r="31" customFormat="false" ht="39.75" hidden="false" customHeight="true" outlineLevel="0" collapsed="false">
      <c r="A31" s="27" t="s">
        <v>4543</v>
      </c>
      <c r="B31" s="27" t="s">
        <v>4544</v>
      </c>
      <c r="C31" s="27" t="s">
        <v>4545</v>
      </c>
      <c r="D31" s="27" t="s">
        <v>4546</v>
      </c>
      <c r="E31" s="27" t="s">
        <v>4547</v>
      </c>
      <c r="F31" s="27" t="s">
        <v>4478</v>
      </c>
      <c r="G31" s="27" t="s">
        <v>3687</v>
      </c>
    </row>
    <row r="32" customFormat="false" ht="39.75" hidden="false" customHeight="true" outlineLevel="0" collapsed="false">
      <c r="A32" s="27" t="s">
        <v>4543</v>
      </c>
      <c r="B32" s="27" t="s">
        <v>4548</v>
      </c>
      <c r="C32" s="27" t="s">
        <v>4549</v>
      </c>
      <c r="D32" s="27" t="s">
        <v>4550</v>
      </c>
      <c r="E32" s="27" t="s">
        <v>4551</v>
      </c>
      <c r="F32" s="27" t="s">
        <v>4478</v>
      </c>
      <c r="G32" s="27" t="s">
        <v>3687</v>
      </c>
    </row>
    <row r="33" customFormat="false" ht="39.75" hidden="false" customHeight="true" outlineLevel="0" collapsed="false">
      <c r="A33" s="27" t="s">
        <v>4552</v>
      </c>
      <c r="B33" s="27" t="s">
        <v>4553</v>
      </c>
      <c r="C33" s="27" t="s">
        <v>4554</v>
      </c>
      <c r="D33" s="27" t="s">
        <v>4555</v>
      </c>
      <c r="E33" s="27" t="s">
        <v>4556</v>
      </c>
      <c r="F33" s="27" t="s">
        <v>4478</v>
      </c>
      <c r="G33" s="27" t="s">
        <v>3687</v>
      </c>
    </row>
    <row r="34" customFormat="false" ht="39.75" hidden="false" customHeight="true" outlineLevel="0" collapsed="false">
      <c r="A34" s="27" t="s">
        <v>4557</v>
      </c>
      <c r="B34" s="27" t="s">
        <v>4558</v>
      </c>
      <c r="C34" s="27" t="s">
        <v>4559</v>
      </c>
      <c r="D34" s="27" t="s">
        <v>4560</v>
      </c>
      <c r="E34" s="27" t="s">
        <v>4561</v>
      </c>
      <c r="F34" s="27" t="s">
        <v>4478</v>
      </c>
      <c r="G34" s="27" t="s">
        <v>3687</v>
      </c>
    </row>
    <row r="35" customFormat="false" ht="39.75" hidden="false" customHeight="true" outlineLevel="0" collapsed="false">
      <c r="A35" s="27" t="s">
        <v>4562</v>
      </c>
      <c r="B35" s="27" t="s">
        <v>4563</v>
      </c>
      <c r="C35" s="27" t="s">
        <v>4564</v>
      </c>
      <c r="D35" s="27" t="s">
        <v>4565</v>
      </c>
      <c r="E35" s="27" t="s">
        <v>4566</v>
      </c>
      <c r="F35" s="27" t="s">
        <v>4478</v>
      </c>
      <c r="G35" s="27" t="s">
        <v>3687</v>
      </c>
    </row>
    <row r="36" customFormat="false" ht="39.75" hidden="false" customHeight="true" outlineLevel="0" collapsed="false">
      <c r="A36" s="27" t="s">
        <v>4042</v>
      </c>
      <c r="B36" s="27" t="s">
        <v>4567</v>
      </c>
      <c r="C36" s="27" t="s">
        <v>4568</v>
      </c>
      <c r="D36" s="27" t="s">
        <v>4569</v>
      </c>
      <c r="E36" s="27" t="s">
        <v>4570</v>
      </c>
      <c r="F36" s="27" t="s">
        <v>4478</v>
      </c>
      <c r="G36" s="27" t="s">
        <v>3687</v>
      </c>
    </row>
    <row r="37" customFormat="false" ht="39.75" hidden="false" customHeight="true" outlineLevel="0" collapsed="false">
      <c r="A37" s="27" t="s">
        <v>4042</v>
      </c>
      <c r="B37" s="27" t="s">
        <v>4571</v>
      </c>
      <c r="C37" s="27" t="s">
        <v>4572</v>
      </c>
      <c r="D37" s="27" t="s">
        <v>4573</v>
      </c>
      <c r="E37" s="27" t="s">
        <v>4574</v>
      </c>
      <c r="F37" s="27" t="s">
        <v>4478</v>
      </c>
      <c r="G37" s="27" t="s">
        <v>3687</v>
      </c>
    </row>
    <row r="38" customFormat="false" ht="39.75" hidden="false" customHeight="true" outlineLevel="0" collapsed="false">
      <c r="A38" s="27" t="s">
        <v>3818</v>
      </c>
      <c r="B38" s="27" t="s">
        <v>4575</v>
      </c>
      <c r="C38" s="27" t="s">
        <v>4576</v>
      </c>
      <c r="D38" s="27" t="s">
        <v>4577</v>
      </c>
      <c r="E38" s="27" t="s">
        <v>4578</v>
      </c>
      <c r="F38" s="27" t="s">
        <v>4579</v>
      </c>
      <c r="G38" s="27" t="s">
        <v>3687</v>
      </c>
    </row>
    <row r="39" customFormat="false" ht="39.75" hidden="false" customHeight="true" outlineLevel="0" collapsed="false">
      <c r="A39" s="27" t="s">
        <v>4231</v>
      </c>
      <c r="B39" s="27" t="s">
        <v>4580</v>
      </c>
      <c r="C39" s="27" t="s">
        <v>4581</v>
      </c>
      <c r="D39" s="27" t="s">
        <v>4582</v>
      </c>
      <c r="E39" s="27" t="s">
        <v>4583</v>
      </c>
      <c r="F39" s="27" t="s">
        <v>4584</v>
      </c>
      <c r="G39" s="27" t="s">
        <v>3687</v>
      </c>
    </row>
    <row r="40" customFormat="false" ht="39.75" hidden="false" customHeight="true" outlineLevel="0" collapsed="false">
      <c r="A40" s="27" t="s">
        <v>4080</v>
      </c>
      <c r="B40" s="27" t="s">
        <v>4585</v>
      </c>
      <c r="C40" s="27" t="s">
        <v>4586</v>
      </c>
      <c r="D40" s="27" t="s">
        <v>4587</v>
      </c>
      <c r="E40" s="27" t="s">
        <v>4588</v>
      </c>
      <c r="F40" s="27" t="s">
        <v>4589</v>
      </c>
      <c r="G40" s="27" t="s">
        <v>4590</v>
      </c>
    </row>
    <row r="41" customFormat="false" ht="39.75" hidden="false" customHeight="true" outlineLevel="0" collapsed="false">
      <c r="A41" s="27" t="s">
        <v>4439</v>
      </c>
      <c r="B41" s="27" t="s">
        <v>4591</v>
      </c>
      <c r="C41" s="27" t="s">
        <v>4592</v>
      </c>
      <c r="D41" s="27" t="s">
        <v>4593</v>
      </c>
      <c r="E41" s="27" t="s">
        <v>4594</v>
      </c>
      <c r="F41" s="27" t="s">
        <v>4595</v>
      </c>
      <c r="G41" s="27" t="s">
        <v>4596</v>
      </c>
    </row>
    <row r="42" customFormat="false" ht="39.75" hidden="false" customHeight="true" outlineLevel="0" collapsed="false">
      <c r="A42" s="27" t="s">
        <v>3791</v>
      </c>
      <c r="B42" s="27" t="s">
        <v>4597</v>
      </c>
      <c r="C42" s="27" t="s">
        <v>4598</v>
      </c>
      <c r="D42" s="27" t="s">
        <v>4599</v>
      </c>
      <c r="E42" s="27" t="s">
        <v>4600</v>
      </c>
      <c r="F42" s="27" t="s">
        <v>4601</v>
      </c>
      <c r="G42" s="27" t="s">
        <v>4454</v>
      </c>
    </row>
    <row r="43" customFormat="false" ht="24" hidden="false" customHeight="true" outlineLevel="0" collapsed="false">
      <c r="A43" s="43" t="s">
        <v>3821</v>
      </c>
      <c r="B43" s="43"/>
      <c r="C43" s="43"/>
      <c r="D43" s="43"/>
      <c r="E43" s="43"/>
      <c r="F43" s="43"/>
      <c r="G43" s="43"/>
    </row>
    <row r="44" customFormat="false" ht="66" hidden="false" customHeight="true" outlineLevel="0" collapsed="false">
      <c r="A44" s="27" t="s">
        <v>3076</v>
      </c>
      <c r="B44" s="42" t="s">
        <v>3077</v>
      </c>
      <c r="C44" s="42"/>
      <c r="D44" s="42"/>
      <c r="E44" s="42"/>
      <c r="F44" s="42"/>
      <c r="G44" s="27" t="s">
        <v>3078</v>
      </c>
    </row>
    <row r="45" customFormat="false" ht="69.75" hidden="false" customHeight="true" outlineLevel="0" collapsed="false">
      <c r="A45" s="27" t="s">
        <v>3079</v>
      </c>
      <c r="B45" s="42" t="s">
        <v>3080</v>
      </c>
      <c r="C45" s="42"/>
      <c r="D45" s="42"/>
      <c r="E45" s="42"/>
      <c r="F45" s="42"/>
      <c r="G45" s="27" t="s">
        <v>3078</v>
      </c>
    </row>
    <row r="46" customFormat="false" ht="51" hidden="false" customHeight="true" outlineLevel="0" collapsed="false">
      <c r="A46" s="27" t="s">
        <v>3081</v>
      </c>
      <c r="B46" s="42" t="s">
        <v>3082</v>
      </c>
      <c r="C46" s="42"/>
      <c r="D46" s="42"/>
      <c r="E46" s="42"/>
      <c r="F46" s="42"/>
      <c r="G46" s="27" t="s">
        <v>3083</v>
      </c>
    </row>
    <row r="47" customFormat="false" ht="57.75" hidden="false" customHeight="true" outlineLevel="0" collapsed="false">
      <c r="A47" s="27" t="s">
        <v>3084</v>
      </c>
      <c r="B47" s="42" t="s">
        <v>3085</v>
      </c>
      <c r="C47" s="42"/>
      <c r="D47" s="42"/>
      <c r="E47" s="42"/>
      <c r="F47" s="42"/>
      <c r="G47" s="27" t="s">
        <v>3086</v>
      </c>
    </row>
    <row r="48" customFormat="false" ht="63" hidden="false" customHeight="true" outlineLevel="0" collapsed="false">
      <c r="A48" s="27" t="s">
        <v>3087</v>
      </c>
      <c r="B48" s="42" t="s">
        <v>3088</v>
      </c>
      <c r="C48" s="42"/>
      <c r="D48" s="42"/>
      <c r="E48" s="42"/>
      <c r="F48" s="42"/>
      <c r="G48" s="27" t="s">
        <v>3089</v>
      </c>
    </row>
    <row r="49" customFormat="false" ht="76.5" hidden="false" customHeight="true" outlineLevel="0" collapsed="false">
      <c r="A49" s="27" t="s">
        <v>3090</v>
      </c>
      <c r="B49" s="42" t="s">
        <v>3091</v>
      </c>
      <c r="C49" s="42"/>
      <c r="D49" s="42"/>
      <c r="E49" s="42"/>
      <c r="F49" s="42"/>
      <c r="G49" s="27" t="s">
        <v>3083</v>
      </c>
    </row>
    <row r="50" customFormat="false" ht="65.25" hidden="false" customHeight="true" outlineLevel="0" collapsed="false">
      <c r="A50" s="27" t="s">
        <v>3092</v>
      </c>
      <c r="B50" s="42" t="s">
        <v>3093</v>
      </c>
      <c r="C50" s="42"/>
      <c r="D50" s="42"/>
      <c r="E50" s="42"/>
      <c r="F50" s="42"/>
      <c r="G50" s="27" t="s">
        <v>3078</v>
      </c>
    </row>
    <row r="51" customFormat="false" ht="61.5" hidden="false" customHeight="true" outlineLevel="0" collapsed="false">
      <c r="A51" s="27" t="s">
        <v>3094</v>
      </c>
      <c r="B51" s="42" t="s">
        <v>3095</v>
      </c>
      <c r="C51" s="42"/>
      <c r="D51" s="42"/>
      <c r="E51" s="42"/>
      <c r="F51" s="42"/>
      <c r="G51" s="27" t="s">
        <v>3078</v>
      </c>
    </row>
    <row r="52" customFormat="false" ht="64.5" hidden="false" customHeight="true" outlineLevel="0" collapsed="false">
      <c r="A52" s="27" t="s">
        <v>3096</v>
      </c>
      <c r="B52" s="42" t="s">
        <v>3097</v>
      </c>
      <c r="C52" s="42"/>
      <c r="D52" s="42"/>
      <c r="E52" s="42"/>
      <c r="F52" s="42"/>
      <c r="G52" s="27" t="s">
        <v>3078</v>
      </c>
    </row>
    <row r="53" customFormat="false" ht="74.25" hidden="false" customHeight="true" outlineLevel="0" collapsed="false">
      <c r="A53" s="27" t="s">
        <v>3098</v>
      </c>
      <c r="B53" s="42" t="s">
        <v>3099</v>
      </c>
      <c r="C53" s="42"/>
      <c r="D53" s="42"/>
      <c r="E53" s="42"/>
      <c r="F53" s="42"/>
      <c r="G53" s="27" t="s">
        <v>3078</v>
      </c>
    </row>
    <row r="54" customFormat="false" ht="78" hidden="false" customHeight="true" outlineLevel="0" collapsed="false">
      <c r="A54" s="27" t="s">
        <v>3100</v>
      </c>
      <c r="B54" s="42" t="s">
        <v>3101</v>
      </c>
      <c r="C54" s="42"/>
      <c r="D54" s="42"/>
      <c r="E54" s="42"/>
      <c r="F54" s="42"/>
      <c r="G54" s="27" t="s">
        <v>3102</v>
      </c>
    </row>
    <row r="55" customFormat="false" ht="67.5" hidden="false" customHeight="true" outlineLevel="0" collapsed="false">
      <c r="A55" s="27" t="s">
        <v>3103</v>
      </c>
      <c r="B55" s="42" t="s">
        <v>3104</v>
      </c>
      <c r="C55" s="42"/>
      <c r="D55" s="42"/>
      <c r="E55" s="42"/>
      <c r="F55" s="42"/>
      <c r="G55" s="27" t="s">
        <v>3105</v>
      </c>
    </row>
    <row r="56" customFormat="false" ht="63.75" hidden="false" customHeight="true" outlineLevel="0" collapsed="false">
      <c r="A56" s="27" t="s">
        <v>3106</v>
      </c>
      <c r="B56" s="42" t="s">
        <v>3107</v>
      </c>
      <c r="C56" s="42"/>
      <c r="D56" s="42"/>
      <c r="E56" s="42"/>
      <c r="F56" s="42"/>
      <c r="G56" s="27" t="s">
        <v>3083</v>
      </c>
    </row>
    <row r="57" customFormat="false" ht="75.75" hidden="false" customHeight="true" outlineLevel="0" collapsed="false">
      <c r="A57" s="27" t="s">
        <v>3108</v>
      </c>
      <c r="B57" s="42" t="s">
        <v>3109</v>
      </c>
      <c r="C57" s="42"/>
      <c r="D57" s="42"/>
      <c r="E57" s="42"/>
      <c r="F57" s="42"/>
      <c r="G57" s="27" t="s">
        <v>3110</v>
      </c>
    </row>
    <row r="58" customFormat="false" ht="63" hidden="false" customHeight="true" outlineLevel="0" collapsed="false">
      <c r="A58" s="27" t="s">
        <v>3111</v>
      </c>
      <c r="B58" s="42" t="s">
        <v>3112</v>
      </c>
      <c r="C58" s="42"/>
      <c r="D58" s="42"/>
      <c r="E58" s="42"/>
      <c r="F58" s="42"/>
      <c r="G58" s="27" t="s">
        <v>3078</v>
      </c>
    </row>
    <row r="59" customFormat="false" ht="70.5" hidden="false" customHeight="true" outlineLevel="0" collapsed="false">
      <c r="A59" s="27" t="s">
        <v>3113</v>
      </c>
      <c r="B59" s="42" t="s">
        <v>3114</v>
      </c>
      <c r="C59" s="42"/>
      <c r="D59" s="42"/>
      <c r="E59" s="42"/>
      <c r="F59" s="42"/>
      <c r="G59" s="27" t="s">
        <v>3078</v>
      </c>
    </row>
    <row r="60" customFormat="false" ht="76.5" hidden="false" customHeight="true" outlineLevel="0" collapsed="false">
      <c r="A60" s="27" t="s">
        <v>3115</v>
      </c>
      <c r="B60" s="42" t="s">
        <v>3116</v>
      </c>
      <c r="C60" s="42"/>
      <c r="D60" s="42"/>
      <c r="E60" s="42"/>
      <c r="F60" s="42"/>
      <c r="G60" s="27" t="s">
        <v>3078</v>
      </c>
    </row>
    <row r="61" customFormat="false" ht="67.5" hidden="false" customHeight="true" outlineLevel="0" collapsed="false">
      <c r="A61" s="27" t="s">
        <v>3117</v>
      </c>
      <c r="B61" s="42" t="s">
        <v>3118</v>
      </c>
      <c r="C61" s="42"/>
      <c r="D61" s="42"/>
      <c r="E61" s="42"/>
      <c r="F61" s="42"/>
      <c r="G61" s="27" t="s">
        <v>3078</v>
      </c>
    </row>
    <row r="62" customFormat="false" ht="62.25" hidden="false" customHeight="true" outlineLevel="0" collapsed="false">
      <c r="A62" s="27" t="s">
        <v>3119</v>
      </c>
      <c r="B62" s="42" t="s">
        <v>3120</v>
      </c>
      <c r="C62" s="42"/>
      <c r="D62" s="42"/>
      <c r="E62" s="42"/>
      <c r="F62" s="42"/>
      <c r="G62" s="27" t="s">
        <v>3121</v>
      </c>
    </row>
    <row r="63" customFormat="false" ht="78" hidden="false" customHeight="true" outlineLevel="0" collapsed="false">
      <c r="A63" s="27" t="s">
        <v>3122</v>
      </c>
      <c r="B63" s="42" t="s">
        <v>3123</v>
      </c>
      <c r="C63" s="42"/>
      <c r="D63" s="42"/>
      <c r="E63" s="42"/>
      <c r="F63" s="42"/>
      <c r="G63" s="27" t="s">
        <v>3078</v>
      </c>
    </row>
    <row r="64" customFormat="false" ht="70.5" hidden="false" customHeight="true" outlineLevel="0" collapsed="false">
      <c r="A64" s="27" t="s">
        <v>3124</v>
      </c>
      <c r="B64" s="42" t="s">
        <v>3125</v>
      </c>
      <c r="C64" s="42"/>
      <c r="D64" s="42"/>
      <c r="E64" s="42"/>
      <c r="F64" s="42"/>
      <c r="G64" s="27" t="s">
        <v>3078</v>
      </c>
    </row>
    <row r="65" customFormat="false" ht="68.25" hidden="false" customHeight="true" outlineLevel="0" collapsed="false">
      <c r="A65" s="27" t="s">
        <v>3126</v>
      </c>
      <c r="B65" s="42" t="s">
        <v>3127</v>
      </c>
      <c r="C65" s="42"/>
      <c r="D65" s="42"/>
      <c r="E65" s="42"/>
      <c r="F65" s="42"/>
      <c r="G65" s="27" t="s">
        <v>3078</v>
      </c>
    </row>
    <row r="66" customFormat="false" ht="61.5" hidden="false" customHeight="true" outlineLevel="0" collapsed="false">
      <c r="A66" s="27" t="s">
        <v>3128</v>
      </c>
      <c r="B66" s="42" t="s">
        <v>3129</v>
      </c>
      <c r="C66" s="42"/>
      <c r="D66" s="42"/>
      <c r="E66" s="42"/>
      <c r="F66" s="42"/>
      <c r="G66" s="27" t="s">
        <v>3130</v>
      </c>
    </row>
    <row r="67" customFormat="false" ht="65.25" hidden="false" customHeight="true" outlineLevel="0" collapsed="false">
      <c r="A67" s="27" t="s">
        <v>3131</v>
      </c>
      <c r="B67" s="42" t="s">
        <v>3132</v>
      </c>
      <c r="C67" s="42"/>
      <c r="D67" s="42"/>
      <c r="E67" s="42"/>
      <c r="F67" s="42"/>
      <c r="G67" s="27" t="s">
        <v>3078</v>
      </c>
    </row>
    <row r="68" customFormat="false" ht="66" hidden="false" customHeight="true" outlineLevel="0" collapsed="false">
      <c r="A68" s="27" t="s">
        <v>3133</v>
      </c>
      <c r="B68" s="42" t="s">
        <v>3134</v>
      </c>
      <c r="C68" s="42"/>
      <c r="D68" s="42"/>
      <c r="E68" s="42"/>
      <c r="F68" s="42"/>
      <c r="G68" s="27" t="s">
        <v>3078</v>
      </c>
    </row>
    <row r="69" customFormat="false" ht="72" hidden="false" customHeight="true" outlineLevel="0" collapsed="false">
      <c r="A69" s="27" t="s">
        <v>3135</v>
      </c>
      <c r="B69" s="42" t="s">
        <v>3136</v>
      </c>
      <c r="C69" s="42"/>
      <c r="D69" s="42"/>
      <c r="E69" s="42"/>
      <c r="F69" s="42"/>
      <c r="G69" s="27" t="s">
        <v>3078</v>
      </c>
    </row>
    <row r="70" customFormat="false" ht="78" hidden="false" customHeight="true" outlineLevel="0" collapsed="false">
      <c r="A70" s="27" t="s">
        <v>3137</v>
      </c>
      <c r="B70" s="42" t="s">
        <v>3138</v>
      </c>
      <c r="C70" s="42"/>
      <c r="D70" s="42"/>
      <c r="E70" s="42"/>
      <c r="F70" s="42"/>
      <c r="G70" s="27" t="s">
        <v>3078</v>
      </c>
    </row>
    <row r="71" customFormat="false" ht="60" hidden="false" customHeight="true" outlineLevel="0" collapsed="false">
      <c r="A71" s="27" t="s">
        <v>3139</v>
      </c>
      <c r="B71" s="42" t="s">
        <v>3140</v>
      </c>
      <c r="C71" s="42"/>
      <c r="D71" s="42"/>
      <c r="E71" s="42"/>
      <c r="F71" s="42"/>
      <c r="G71" s="27" t="s">
        <v>3078</v>
      </c>
    </row>
    <row r="72" customFormat="false" ht="73.5" hidden="false" customHeight="true" outlineLevel="0" collapsed="false">
      <c r="A72" s="27" t="s">
        <v>3141</v>
      </c>
      <c r="B72" s="42" t="s">
        <v>3142</v>
      </c>
      <c r="C72" s="42"/>
      <c r="D72" s="42"/>
      <c r="E72" s="42"/>
      <c r="F72" s="42"/>
      <c r="G72" s="27" t="s">
        <v>3078</v>
      </c>
    </row>
    <row r="73" customFormat="false" ht="71.25" hidden="false" customHeight="true" outlineLevel="0" collapsed="false">
      <c r="A73" s="27" t="s">
        <v>3143</v>
      </c>
      <c r="B73" s="42" t="s">
        <v>3144</v>
      </c>
      <c r="C73" s="42"/>
      <c r="D73" s="42"/>
      <c r="E73" s="42"/>
      <c r="F73" s="42"/>
      <c r="G73" s="27" t="s">
        <v>3145</v>
      </c>
    </row>
    <row r="74" customFormat="false" ht="68.25" hidden="false" customHeight="true" outlineLevel="0" collapsed="false">
      <c r="A74" s="27" t="s">
        <v>3146</v>
      </c>
      <c r="B74" s="42" t="s">
        <v>3147</v>
      </c>
      <c r="C74" s="42"/>
      <c r="D74" s="42"/>
      <c r="E74" s="42"/>
      <c r="F74" s="42"/>
      <c r="G74" s="27" t="s">
        <v>3078</v>
      </c>
    </row>
    <row r="75" customFormat="false" ht="62.25" hidden="false" customHeight="true" outlineLevel="0" collapsed="false">
      <c r="A75" s="27" t="s">
        <v>3148</v>
      </c>
      <c r="B75" s="42" t="s">
        <v>3149</v>
      </c>
      <c r="C75" s="42"/>
      <c r="D75" s="42"/>
      <c r="E75" s="42"/>
      <c r="F75" s="42"/>
      <c r="G75" s="27" t="s">
        <v>3078</v>
      </c>
    </row>
    <row r="76" customFormat="false" ht="63" hidden="false" customHeight="true" outlineLevel="0" collapsed="false">
      <c r="A76" s="27" t="s">
        <v>3150</v>
      </c>
      <c r="B76" s="42" t="s">
        <v>3151</v>
      </c>
      <c r="C76" s="42"/>
      <c r="D76" s="42"/>
      <c r="E76" s="42"/>
      <c r="F76" s="42"/>
      <c r="G76" s="27" t="s">
        <v>3078</v>
      </c>
    </row>
    <row r="77" customFormat="false" ht="69.75" hidden="false" customHeight="true" outlineLevel="0" collapsed="false">
      <c r="A77" s="27" t="s">
        <v>3152</v>
      </c>
      <c r="B77" s="42" t="s">
        <v>3153</v>
      </c>
      <c r="C77" s="42"/>
      <c r="D77" s="42"/>
      <c r="E77" s="42"/>
      <c r="F77" s="42"/>
      <c r="G77" s="27" t="s">
        <v>3078</v>
      </c>
    </row>
    <row r="78" customFormat="false" ht="71.25" hidden="false" customHeight="true" outlineLevel="0" collapsed="false">
      <c r="A78" s="27" t="s">
        <v>3154</v>
      </c>
      <c r="B78" s="42" t="s">
        <v>3155</v>
      </c>
      <c r="C78" s="42"/>
      <c r="D78" s="42"/>
      <c r="E78" s="42"/>
      <c r="F78" s="42"/>
      <c r="G78" s="27" t="s">
        <v>3156</v>
      </c>
    </row>
    <row r="79" customFormat="false" ht="61.5" hidden="false" customHeight="true" outlineLevel="0" collapsed="false">
      <c r="A79" s="27" t="s">
        <v>3157</v>
      </c>
      <c r="B79" s="42" t="s">
        <v>3158</v>
      </c>
      <c r="C79" s="42"/>
      <c r="D79" s="42"/>
      <c r="E79" s="42"/>
      <c r="F79" s="42"/>
      <c r="G79" s="27" t="s">
        <v>3145</v>
      </c>
    </row>
    <row r="80" customFormat="false" ht="56.25" hidden="false" customHeight="true" outlineLevel="0" collapsed="false">
      <c r="A80" s="27" t="s">
        <v>3159</v>
      </c>
      <c r="B80" s="42" t="s">
        <v>3160</v>
      </c>
      <c r="C80" s="42"/>
      <c r="D80" s="42"/>
      <c r="E80" s="42"/>
      <c r="F80" s="42"/>
      <c r="G80" s="27" t="s">
        <v>3161</v>
      </c>
    </row>
    <row r="81" customFormat="false" ht="65.25" hidden="false" customHeight="true" outlineLevel="0" collapsed="false">
      <c r="A81" s="27" t="s">
        <v>3162</v>
      </c>
      <c r="B81" s="42" t="s">
        <v>3163</v>
      </c>
      <c r="C81" s="42"/>
      <c r="D81" s="42"/>
      <c r="E81" s="42"/>
      <c r="F81" s="42"/>
      <c r="G81" s="27" t="s">
        <v>3078</v>
      </c>
    </row>
    <row r="82" customFormat="false" ht="51.75" hidden="false" customHeight="true" outlineLevel="0" collapsed="false">
      <c r="A82" s="27" t="s">
        <v>3164</v>
      </c>
      <c r="B82" s="42" t="s">
        <v>3165</v>
      </c>
      <c r="C82" s="42"/>
      <c r="D82" s="42"/>
      <c r="E82" s="42"/>
      <c r="F82" s="42"/>
      <c r="G82" s="27" t="s">
        <v>3166</v>
      </c>
    </row>
    <row r="83" customFormat="false" ht="63.75" hidden="false" customHeight="true" outlineLevel="0" collapsed="false">
      <c r="A83" s="27" t="s">
        <v>3167</v>
      </c>
      <c r="B83" s="42" t="s">
        <v>3168</v>
      </c>
      <c r="C83" s="42"/>
      <c r="D83" s="42"/>
      <c r="E83" s="42"/>
      <c r="F83" s="42"/>
      <c r="G83" s="27" t="s">
        <v>3169</v>
      </c>
    </row>
    <row r="84" customFormat="false" ht="67.5" hidden="false" customHeight="true" outlineLevel="0" collapsed="false">
      <c r="A84" s="27" t="s">
        <v>3170</v>
      </c>
      <c r="B84" s="42" t="s">
        <v>3171</v>
      </c>
      <c r="C84" s="42"/>
      <c r="D84" s="42"/>
      <c r="E84" s="42"/>
      <c r="F84" s="42"/>
      <c r="G84" s="27" t="s">
        <v>3172</v>
      </c>
    </row>
    <row r="85" customFormat="false" ht="62.25" hidden="false" customHeight="true" outlineLevel="0" collapsed="false">
      <c r="A85" s="27" t="s">
        <v>3173</v>
      </c>
      <c r="B85" s="42" t="s">
        <v>3174</v>
      </c>
      <c r="C85" s="42"/>
      <c r="D85" s="42"/>
      <c r="E85" s="42"/>
      <c r="F85" s="42"/>
      <c r="G85" s="27" t="s">
        <v>3175</v>
      </c>
    </row>
    <row r="86" customFormat="false" ht="51" hidden="false" customHeight="true" outlineLevel="0" collapsed="false">
      <c r="A86" s="27" t="s">
        <v>3176</v>
      </c>
      <c r="B86" s="42" t="s">
        <v>3177</v>
      </c>
      <c r="C86" s="42"/>
      <c r="D86" s="42"/>
      <c r="E86" s="42"/>
      <c r="F86" s="42"/>
      <c r="G86" s="27" t="s">
        <v>3078</v>
      </c>
    </row>
    <row r="87" customFormat="false" ht="60" hidden="false" customHeight="true" outlineLevel="0" collapsed="false">
      <c r="A87" s="27" t="s">
        <v>3178</v>
      </c>
      <c r="B87" s="42" t="s">
        <v>3179</v>
      </c>
      <c r="C87" s="42"/>
      <c r="D87" s="42"/>
      <c r="E87" s="42"/>
      <c r="F87" s="42"/>
      <c r="G87" s="27" t="s">
        <v>3180</v>
      </c>
    </row>
    <row r="88" customFormat="false" ht="78" hidden="false" customHeight="true" outlineLevel="0" collapsed="false">
      <c r="A88" s="27" t="s">
        <v>3181</v>
      </c>
      <c r="B88" s="42" t="s">
        <v>3182</v>
      </c>
      <c r="C88" s="42"/>
      <c r="D88" s="42"/>
      <c r="E88" s="42"/>
      <c r="F88" s="42"/>
      <c r="G88" s="27" t="s">
        <v>3183</v>
      </c>
    </row>
    <row r="89" customFormat="false" ht="132" hidden="false" customHeight="true" outlineLevel="0" collapsed="false">
      <c r="A89" s="27" t="s">
        <v>3184</v>
      </c>
      <c r="B89" s="27" t="s">
        <v>3185</v>
      </c>
      <c r="G89" s="27" t="s">
        <v>3186</v>
      </c>
    </row>
    <row r="90" customFormat="false" ht="150" hidden="false" customHeight="true" outlineLevel="0" collapsed="false">
      <c r="A90" s="27" t="s">
        <v>3187</v>
      </c>
      <c r="B90" s="27" t="s">
        <v>3188</v>
      </c>
      <c r="G90" s="27" t="s">
        <v>3189</v>
      </c>
    </row>
  </sheetData>
  <mergeCells count="47">
    <mergeCell ref="A1:G1"/>
    <mergeCell ref="A43:G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4602</v>
      </c>
      <c r="B1" s="43"/>
      <c r="C1" s="43"/>
      <c r="D1" s="43"/>
      <c r="E1" s="43"/>
      <c r="F1" s="43"/>
      <c r="G1" s="43"/>
    </row>
    <row r="2" customFormat="false" ht="31.5" hidden="false" customHeight="true" outlineLevel="0" collapsed="false">
      <c r="A2" s="44" t="s">
        <v>3789</v>
      </c>
      <c r="B2" s="44" t="s">
        <v>4302</v>
      </c>
      <c r="C2" s="44" t="s">
        <v>4603</v>
      </c>
      <c r="D2" s="44" t="s">
        <v>4604</v>
      </c>
      <c r="E2" s="44" t="s">
        <v>4605</v>
      </c>
      <c r="F2" s="44" t="s">
        <v>4306</v>
      </c>
      <c r="G2" s="44" t="s">
        <v>4</v>
      </c>
    </row>
    <row r="3" customFormat="false" ht="39.75" hidden="false" customHeight="true" outlineLevel="0" collapsed="false">
      <c r="A3" s="27"/>
      <c r="B3" s="27"/>
      <c r="C3" s="27"/>
      <c r="D3" s="27"/>
      <c r="E3" s="27"/>
      <c r="F3" s="27"/>
      <c r="G3" s="27"/>
    </row>
    <row r="4" customFormat="false" ht="43.5" hidden="false" customHeight="true" outlineLevel="0" collapsed="false">
      <c r="A4" s="27" t="s">
        <v>4606</v>
      </c>
      <c r="B4" s="27" t="s">
        <v>4607</v>
      </c>
      <c r="C4" s="27" t="s">
        <v>4608</v>
      </c>
      <c r="D4" s="27" t="s">
        <v>4609</v>
      </c>
      <c r="E4" s="27" t="s">
        <v>4610</v>
      </c>
      <c r="F4" s="27" t="s">
        <v>4611</v>
      </c>
      <c r="G4" s="27" t="s">
        <v>3799</v>
      </c>
    </row>
    <row r="5" customFormat="false" ht="60.75" hidden="false" customHeight="true" outlineLevel="0" collapsed="false">
      <c r="A5" s="27" t="s">
        <v>4606</v>
      </c>
      <c r="B5" s="27" t="s">
        <v>4444</v>
      </c>
      <c r="C5" s="27" t="s">
        <v>4612</v>
      </c>
      <c r="D5" s="27" t="s">
        <v>4613</v>
      </c>
      <c r="E5" s="27" t="s">
        <v>4614</v>
      </c>
      <c r="F5" s="27" t="s">
        <v>4615</v>
      </c>
      <c r="G5" s="27" t="s">
        <v>4426</v>
      </c>
    </row>
    <row r="6" customFormat="false" ht="60.75" hidden="false" customHeight="true" outlineLevel="0" collapsed="false">
      <c r="A6" s="27" t="s">
        <v>4484</v>
      </c>
      <c r="B6" s="27" t="s">
        <v>4616</v>
      </c>
      <c r="C6" s="27" t="s">
        <v>4617</v>
      </c>
      <c r="D6" s="27" t="s">
        <v>4618</v>
      </c>
      <c r="E6" s="27" t="s">
        <v>4619</v>
      </c>
      <c r="F6" s="27" t="s">
        <v>4620</v>
      </c>
      <c r="G6" s="27" t="s">
        <v>4426</v>
      </c>
    </row>
    <row r="7" customFormat="false" ht="43.5" hidden="false" customHeight="true" outlineLevel="0" collapsed="false">
      <c r="A7" s="27" t="s">
        <v>4484</v>
      </c>
      <c r="B7" s="27" t="s">
        <v>4621</v>
      </c>
      <c r="C7" s="27" t="s">
        <v>4622</v>
      </c>
      <c r="D7" s="27" t="s">
        <v>4623</v>
      </c>
      <c r="E7" s="27" t="s">
        <v>4624</v>
      </c>
      <c r="F7" s="27" t="s">
        <v>4625</v>
      </c>
      <c r="G7" s="27" t="s">
        <v>3806</v>
      </c>
    </row>
    <row r="8" customFormat="false" ht="60.75" hidden="false" customHeight="true" outlineLevel="0" collapsed="false">
      <c r="A8" s="27" t="s">
        <v>4626</v>
      </c>
      <c r="B8" s="27" t="s">
        <v>4627</v>
      </c>
      <c r="C8" s="27" t="s">
        <v>4628</v>
      </c>
      <c r="D8" s="27" t="s">
        <v>4629</v>
      </c>
      <c r="E8" s="27" t="s">
        <v>4630</v>
      </c>
      <c r="F8" s="27" t="s">
        <v>4631</v>
      </c>
      <c r="G8" s="27" t="s">
        <v>3687</v>
      </c>
    </row>
    <row r="9" customFormat="false" ht="60.75" hidden="false" customHeight="true" outlineLevel="0" collapsed="false">
      <c r="A9" s="27" t="s">
        <v>4626</v>
      </c>
      <c r="B9" s="27" t="s">
        <v>4632</v>
      </c>
      <c r="C9" s="27" t="s">
        <v>4633</v>
      </c>
      <c r="D9" s="27" t="s">
        <v>4634</v>
      </c>
      <c r="E9" s="27" t="s">
        <v>4635</v>
      </c>
      <c r="F9" s="27" t="s">
        <v>4636</v>
      </c>
      <c r="G9" s="27" t="s">
        <v>3687</v>
      </c>
    </row>
    <row r="10" customFormat="false" ht="60.75" hidden="false" customHeight="true" outlineLevel="0" collapsed="false">
      <c r="A10" s="27" t="s">
        <v>4637</v>
      </c>
      <c r="B10" s="27" t="s">
        <v>4638</v>
      </c>
      <c r="C10" s="27" t="s">
        <v>4639</v>
      </c>
      <c r="D10" s="27" t="s">
        <v>4640</v>
      </c>
      <c r="E10" s="27" t="s">
        <v>4641</v>
      </c>
      <c r="F10" s="27" t="s">
        <v>4642</v>
      </c>
      <c r="G10" s="27" t="s">
        <v>4192</v>
      </c>
    </row>
    <row r="11" customFormat="false" ht="43.5" hidden="false" customHeight="true" outlineLevel="0" collapsed="false">
      <c r="A11" s="27" t="s">
        <v>4637</v>
      </c>
      <c r="B11" s="27" t="s">
        <v>4643</v>
      </c>
      <c r="C11" s="27" t="s">
        <v>4644</v>
      </c>
      <c r="D11" s="27" t="s">
        <v>4645</v>
      </c>
      <c r="E11" s="27" t="s">
        <v>4646</v>
      </c>
      <c r="F11" s="27" t="s">
        <v>4647</v>
      </c>
      <c r="G11" s="27" t="s">
        <v>4192</v>
      </c>
    </row>
    <row r="12" customFormat="false" ht="43.5" hidden="false" customHeight="true" outlineLevel="0" collapsed="false">
      <c r="A12" s="27" t="s">
        <v>4637</v>
      </c>
      <c r="B12" s="27" t="s">
        <v>4648</v>
      </c>
      <c r="C12" s="27" t="s">
        <v>4649</v>
      </c>
      <c r="D12" s="27" t="s">
        <v>4650</v>
      </c>
      <c r="E12" s="27" t="s">
        <v>4651</v>
      </c>
      <c r="F12" s="27" t="s">
        <v>4652</v>
      </c>
      <c r="G12" s="27" t="s">
        <v>4192</v>
      </c>
    </row>
    <row r="13" customFormat="false" ht="60.75" hidden="false" customHeight="true" outlineLevel="0" collapsed="false">
      <c r="A13" s="27" t="s">
        <v>4653</v>
      </c>
      <c r="B13" s="27" t="s">
        <v>4654</v>
      </c>
      <c r="C13" s="27" t="s">
        <v>4655</v>
      </c>
      <c r="D13" s="27" t="s">
        <v>4656</v>
      </c>
      <c r="E13" s="27" t="s">
        <v>4657</v>
      </c>
      <c r="F13" s="27" t="s">
        <v>4658</v>
      </c>
      <c r="G13" s="27" t="s">
        <v>3687</v>
      </c>
    </row>
    <row r="14" customFormat="false" ht="60.75" hidden="false" customHeight="true" outlineLevel="0" collapsed="false">
      <c r="A14" s="27" t="s">
        <v>4653</v>
      </c>
      <c r="B14" s="27" t="s">
        <v>4659</v>
      </c>
      <c r="C14" s="27" t="s">
        <v>4660</v>
      </c>
      <c r="D14" s="27" t="s">
        <v>4661</v>
      </c>
      <c r="E14" s="27" t="s">
        <v>4662</v>
      </c>
      <c r="F14" s="27" t="s">
        <v>4658</v>
      </c>
      <c r="G14" s="27" t="s">
        <v>3687</v>
      </c>
    </row>
    <row r="15" customFormat="false" ht="60.75" hidden="false" customHeight="true" outlineLevel="0" collapsed="false">
      <c r="A15" s="27" t="s">
        <v>4653</v>
      </c>
      <c r="B15" s="27" t="s">
        <v>4663</v>
      </c>
      <c r="C15" s="27" t="s">
        <v>4664</v>
      </c>
      <c r="D15" s="27" t="s">
        <v>4665</v>
      </c>
      <c r="E15" s="27" t="s">
        <v>4666</v>
      </c>
      <c r="F15" s="27" t="s">
        <v>4658</v>
      </c>
      <c r="G15" s="27" t="s">
        <v>3687</v>
      </c>
    </row>
    <row r="16" customFormat="false" ht="78" hidden="false" customHeight="true" outlineLevel="0" collapsed="false">
      <c r="A16" s="27" t="s">
        <v>4667</v>
      </c>
      <c r="B16" s="27" t="s">
        <v>4668</v>
      </c>
      <c r="C16" s="27" t="s">
        <v>4669</v>
      </c>
      <c r="D16" s="27" t="s">
        <v>4670</v>
      </c>
      <c r="E16" s="27" t="s">
        <v>4671</v>
      </c>
      <c r="F16" s="27" t="s">
        <v>4672</v>
      </c>
      <c r="G16" s="27" t="s">
        <v>3687</v>
      </c>
    </row>
    <row r="17" customFormat="false" ht="60.75" hidden="false" customHeight="true" outlineLevel="0" collapsed="false">
      <c r="A17" s="27" t="s">
        <v>4667</v>
      </c>
      <c r="B17" s="27" t="s">
        <v>4673</v>
      </c>
      <c r="C17" s="27" t="s">
        <v>4674</v>
      </c>
      <c r="D17" s="27" t="s">
        <v>4675</v>
      </c>
      <c r="E17" s="27" t="s">
        <v>4676</v>
      </c>
      <c r="F17" s="27" t="s">
        <v>4677</v>
      </c>
      <c r="G17" s="27" t="s">
        <v>3687</v>
      </c>
    </row>
    <row r="18" customFormat="false" ht="60.75" hidden="false" customHeight="true" outlineLevel="0" collapsed="false">
      <c r="A18" s="27" t="s">
        <v>4667</v>
      </c>
      <c r="B18" s="27" t="s">
        <v>4678</v>
      </c>
      <c r="C18" s="27" t="s">
        <v>4679</v>
      </c>
      <c r="D18" s="27" t="s">
        <v>4680</v>
      </c>
      <c r="E18" s="27" t="s">
        <v>4681</v>
      </c>
      <c r="F18" s="27" t="s">
        <v>4672</v>
      </c>
      <c r="G18" s="27" t="s">
        <v>3687</v>
      </c>
    </row>
    <row r="19" customFormat="false" ht="60.75" hidden="false" customHeight="true" outlineLevel="0" collapsed="false">
      <c r="A19" s="27" t="s">
        <v>3791</v>
      </c>
      <c r="B19" s="27" t="s">
        <v>4682</v>
      </c>
      <c r="C19" s="27" t="s">
        <v>4683</v>
      </c>
      <c r="D19" s="27" t="s">
        <v>4684</v>
      </c>
      <c r="E19" s="27" t="s">
        <v>4685</v>
      </c>
      <c r="F19" s="27" t="s">
        <v>4686</v>
      </c>
      <c r="G19" s="27" t="s">
        <v>3687</v>
      </c>
    </row>
    <row r="20" customFormat="false" ht="43.5" hidden="false" customHeight="true" outlineLevel="0" collapsed="false">
      <c r="A20" s="27" t="s">
        <v>3791</v>
      </c>
      <c r="B20" s="27" t="s">
        <v>4687</v>
      </c>
      <c r="C20" s="27" t="s">
        <v>4688</v>
      </c>
      <c r="D20" s="27" t="s">
        <v>4689</v>
      </c>
      <c r="E20" s="27" t="s">
        <v>4690</v>
      </c>
      <c r="F20" s="27" t="s">
        <v>4691</v>
      </c>
      <c r="G20" s="27" t="s">
        <v>4426</v>
      </c>
    </row>
    <row r="21" customFormat="false" ht="39.75" hidden="false" customHeight="true" outlineLevel="0" collapsed="false">
      <c r="A21" s="27"/>
      <c r="B21" s="27"/>
      <c r="C21" s="27"/>
      <c r="D21" s="27"/>
      <c r="E21" s="27"/>
      <c r="F21" s="27"/>
      <c r="G21" s="27"/>
    </row>
    <row r="22" customFormat="false" ht="39.75" hidden="false" customHeight="true" outlineLevel="0" collapsed="false">
      <c r="A22" s="27"/>
      <c r="B22" s="27"/>
      <c r="C22" s="27"/>
      <c r="D22" s="27"/>
      <c r="E22" s="27"/>
      <c r="F22" s="27"/>
      <c r="G22" s="27"/>
    </row>
    <row r="23" customFormat="false" ht="43.5" hidden="false" customHeight="true" outlineLevel="0" collapsed="false">
      <c r="A23" s="43" t="s">
        <v>4692</v>
      </c>
      <c r="B23" s="43"/>
      <c r="C23" s="43"/>
      <c r="D23" s="43"/>
      <c r="E23" s="43"/>
      <c r="F23" s="43"/>
      <c r="G23" s="43"/>
    </row>
    <row r="24" customFormat="false" ht="60" hidden="false" customHeight="true" outlineLevel="0" collapsed="false">
      <c r="A24" s="27" t="s">
        <v>3190</v>
      </c>
      <c r="B24" s="42" t="s">
        <v>3191</v>
      </c>
      <c r="C24" s="42"/>
      <c r="D24" s="42"/>
      <c r="E24" s="42"/>
      <c r="F24" s="42"/>
      <c r="G24" s="27" t="s">
        <v>3192</v>
      </c>
    </row>
    <row r="25" customFormat="false" ht="60" hidden="false" customHeight="true" outlineLevel="0" collapsed="false">
      <c r="A25" s="27" t="s">
        <v>3193</v>
      </c>
      <c r="B25" s="42" t="s">
        <v>3194</v>
      </c>
      <c r="C25" s="42"/>
      <c r="D25" s="42"/>
      <c r="E25" s="42"/>
      <c r="F25" s="42"/>
      <c r="G25" s="27" t="s">
        <v>3195</v>
      </c>
    </row>
    <row r="26" customFormat="false" ht="60" hidden="false" customHeight="true" outlineLevel="0" collapsed="false">
      <c r="A26" s="27" t="s">
        <v>3196</v>
      </c>
      <c r="B26" s="42" t="s">
        <v>3197</v>
      </c>
      <c r="C26" s="42"/>
      <c r="D26" s="42"/>
      <c r="E26" s="42"/>
      <c r="F26" s="42"/>
      <c r="G26" s="27" t="s">
        <v>3198</v>
      </c>
    </row>
    <row r="27" customFormat="false" ht="60" hidden="false" customHeight="true" outlineLevel="0" collapsed="false">
      <c r="A27" s="27" t="s">
        <v>3199</v>
      </c>
      <c r="B27" s="42" t="s">
        <v>3200</v>
      </c>
      <c r="C27" s="42"/>
      <c r="D27" s="42"/>
      <c r="E27" s="42"/>
      <c r="F27" s="42"/>
      <c r="G27" s="27" t="s">
        <v>3201</v>
      </c>
    </row>
    <row r="28" customFormat="false" ht="60" hidden="false" customHeight="true" outlineLevel="0" collapsed="false">
      <c r="A28" s="27" t="s">
        <v>3202</v>
      </c>
      <c r="B28" s="42" t="s">
        <v>3203</v>
      </c>
      <c r="C28" s="42"/>
      <c r="D28" s="42"/>
      <c r="E28" s="42"/>
      <c r="F28" s="42"/>
      <c r="G28" s="27" t="s">
        <v>3204</v>
      </c>
    </row>
    <row r="29" customFormat="false" ht="60" hidden="false" customHeight="true" outlineLevel="0" collapsed="false">
      <c r="A29" s="27" t="s">
        <v>3205</v>
      </c>
      <c r="B29" s="42" t="s">
        <v>3206</v>
      </c>
      <c r="C29" s="42"/>
      <c r="D29" s="42"/>
      <c r="E29" s="42"/>
      <c r="F29" s="42"/>
      <c r="G29" s="27" t="s">
        <v>3207</v>
      </c>
    </row>
    <row r="30" customFormat="false" ht="39.75" hidden="false" customHeight="true" outlineLevel="0" collapsed="false">
      <c r="A30" s="27"/>
      <c r="B30" s="27"/>
      <c r="C30" s="27"/>
      <c r="D30" s="27"/>
      <c r="E30" s="27"/>
      <c r="F30" s="27"/>
      <c r="G30" s="27"/>
    </row>
    <row r="31" customFormat="false" ht="39.75" hidden="false" customHeight="true" outlineLevel="0" collapsed="false">
      <c r="A31" s="27"/>
      <c r="B31" s="27"/>
      <c r="C31" s="27"/>
      <c r="D31" s="27"/>
      <c r="E31" s="27"/>
      <c r="F31" s="27"/>
      <c r="G31" s="27"/>
    </row>
    <row r="32" customFormat="false" ht="39.75" hidden="false" customHeight="true" outlineLevel="0" collapsed="false">
      <c r="A32" s="27"/>
      <c r="B32" s="27"/>
      <c r="C32" s="27"/>
      <c r="D32" s="27"/>
      <c r="E32" s="27"/>
      <c r="F32" s="27"/>
      <c r="G32" s="27"/>
    </row>
    <row r="33" customFormat="false" ht="39.75" hidden="false" customHeight="true" outlineLevel="0" collapsed="false">
      <c r="A33" s="27"/>
      <c r="B33" s="27"/>
      <c r="C33" s="27"/>
      <c r="D33" s="27"/>
      <c r="E33" s="27"/>
      <c r="F33" s="27"/>
      <c r="G33" s="27"/>
    </row>
    <row r="34" customFormat="false" ht="39.75" hidden="false" customHeight="true" outlineLevel="0" collapsed="false">
      <c r="A34" s="27"/>
      <c r="B34" s="27"/>
      <c r="C34" s="27"/>
      <c r="D34" s="27"/>
      <c r="E34" s="27"/>
      <c r="F34" s="27"/>
      <c r="G34" s="27"/>
    </row>
    <row r="35" customFormat="false" ht="39.75" hidden="false" customHeight="true" outlineLevel="0" collapsed="false">
      <c r="A35" s="27"/>
      <c r="B35" s="27"/>
      <c r="C35" s="27"/>
      <c r="D35" s="27"/>
      <c r="E35" s="27"/>
      <c r="F35" s="27"/>
      <c r="G35" s="27"/>
    </row>
    <row r="36" customFormat="false" ht="39.75" hidden="false" customHeight="true" outlineLevel="0" collapsed="false">
      <c r="A36" s="27"/>
      <c r="B36" s="27"/>
      <c r="C36" s="27"/>
      <c r="D36" s="27"/>
      <c r="E36" s="27"/>
      <c r="F36" s="27"/>
      <c r="G36" s="27"/>
    </row>
    <row r="37" customFormat="false" ht="39.75" hidden="false" customHeight="true" outlineLevel="0" collapsed="false">
      <c r="A37" s="27"/>
      <c r="B37" s="27"/>
      <c r="C37" s="27"/>
      <c r="D37" s="27"/>
      <c r="E37" s="27"/>
      <c r="F37" s="27"/>
      <c r="G37" s="27"/>
    </row>
    <row r="38" customFormat="false" ht="39.75" hidden="false" customHeight="true" outlineLevel="0" collapsed="false">
      <c r="A38" s="27"/>
      <c r="B38" s="27"/>
      <c r="C38" s="27"/>
      <c r="D38" s="27"/>
      <c r="E38" s="27"/>
      <c r="F38" s="27"/>
      <c r="G38" s="27"/>
    </row>
    <row r="39" customFormat="false" ht="39.75" hidden="false" customHeight="true" outlineLevel="0" collapsed="false">
      <c r="A39" s="27"/>
      <c r="B39" s="27"/>
      <c r="C39" s="27"/>
      <c r="D39" s="27"/>
      <c r="E39" s="27"/>
      <c r="F39" s="27"/>
      <c r="G39" s="27"/>
    </row>
    <row r="40" customFormat="false" ht="39.75" hidden="false" customHeight="true" outlineLevel="0" collapsed="false">
      <c r="A40" s="27"/>
      <c r="B40" s="27"/>
      <c r="C40" s="27"/>
      <c r="D40" s="27"/>
      <c r="E40" s="27"/>
      <c r="F40" s="27"/>
      <c r="G40" s="27"/>
    </row>
    <row r="41" customFormat="false" ht="39.75" hidden="false" customHeight="true" outlineLevel="0" collapsed="false">
      <c r="A41" s="27"/>
      <c r="B41" s="27"/>
      <c r="C41" s="27"/>
      <c r="D41" s="27"/>
      <c r="E41" s="27"/>
      <c r="F41" s="27"/>
      <c r="G41" s="27"/>
    </row>
    <row r="42" customFormat="false" ht="39.75" hidden="false" customHeight="true" outlineLevel="0" collapsed="false">
      <c r="A42" s="27"/>
      <c r="B42" s="27"/>
      <c r="C42" s="27"/>
      <c r="D42" s="27"/>
      <c r="E42" s="27"/>
      <c r="F42" s="27"/>
      <c r="G42" s="27"/>
    </row>
    <row r="43" customFormat="false" ht="24" hidden="false" customHeight="true" outlineLevel="0" collapsed="false">
      <c r="A43" s="46"/>
    </row>
    <row r="44" customFormat="false" ht="66" hidden="false" customHeight="true" outlineLevel="0" collapsed="false">
      <c r="A44" s="27"/>
      <c r="B44" s="27"/>
      <c r="G44" s="27"/>
    </row>
    <row r="45" customFormat="false" ht="69.75" hidden="false" customHeight="true" outlineLevel="0" collapsed="false">
      <c r="A45" s="27"/>
      <c r="B45" s="27"/>
      <c r="G45" s="27"/>
    </row>
    <row r="46" customFormat="false" ht="51" hidden="false" customHeight="true" outlineLevel="0" collapsed="false">
      <c r="A46" s="27"/>
      <c r="B46" s="27"/>
      <c r="G46" s="27"/>
    </row>
    <row r="47" customFormat="false" ht="57.75" hidden="false" customHeight="true" outlineLevel="0" collapsed="false">
      <c r="A47" s="27"/>
      <c r="B47" s="27"/>
      <c r="G47" s="27"/>
    </row>
    <row r="48" customFormat="false" ht="63" hidden="false" customHeight="true" outlineLevel="0" collapsed="false">
      <c r="A48" s="27"/>
      <c r="B48" s="27"/>
      <c r="G48" s="27"/>
    </row>
    <row r="49" customFormat="false" ht="76.5" hidden="false" customHeight="true" outlineLevel="0" collapsed="false">
      <c r="A49" s="27"/>
      <c r="B49" s="27"/>
      <c r="G49" s="27"/>
    </row>
    <row r="50" customFormat="false" ht="65.25" hidden="false" customHeight="true" outlineLevel="0" collapsed="false">
      <c r="A50" s="27"/>
      <c r="B50" s="27"/>
      <c r="G50" s="27"/>
    </row>
    <row r="51" customFormat="false" ht="61.5" hidden="false" customHeight="true" outlineLevel="0" collapsed="false">
      <c r="A51" s="27"/>
      <c r="B51" s="27"/>
      <c r="G51" s="27"/>
    </row>
    <row r="52" customFormat="false" ht="64.5" hidden="false" customHeight="true" outlineLevel="0" collapsed="false">
      <c r="A52" s="27"/>
      <c r="B52" s="27"/>
      <c r="G52" s="27"/>
    </row>
    <row r="53" customFormat="false" ht="74.25" hidden="false" customHeight="true" outlineLevel="0" collapsed="false">
      <c r="A53" s="27"/>
      <c r="B53" s="27"/>
      <c r="G53" s="27"/>
    </row>
    <row r="54" customFormat="false" ht="78" hidden="false" customHeight="true" outlineLevel="0" collapsed="false">
      <c r="A54" s="27"/>
      <c r="B54" s="27"/>
      <c r="G54" s="27"/>
    </row>
    <row r="55" customFormat="false" ht="67.5" hidden="false" customHeight="true" outlineLevel="0" collapsed="false">
      <c r="A55" s="27"/>
      <c r="B55" s="27"/>
      <c r="G55" s="27"/>
    </row>
    <row r="56" customFormat="false" ht="63.75" hidden="false" customHeight="true" outlineLevel="0" collapsed="false">
      <c r="A56" s="27"/>
      <c r="B56" s="27"/>
      <c r="G56" s="27"/>
    </row>
    <row r="57" customFormat="false" ht="75.75" hidden="false" customHeight="true" outlineLevel="0" collapsed="false">
      <c r="A57" s="27"/>
      <c r="B57" s="27"/>
      <c r="G57" s="27"/>
    </row>
    <row r="58" customFormat="false" ht="63" hidden="false" customHeight="true" outlineLevel="0" collapsed="false">
      <c r="A58" s="27"/>
      <c r="B58" s="27"/>
      <c r="G58" s="27"/>
    </row>
    <row r="59" customFormat="false" ht="70.5" hidden="false" customHeight="true" outlineLevel="0" collapsed="false">
      <c r="A59" s="27"/>
      <c r="B59" s="27"/>
      <c r="G59" s="27"/>
    </row>
    <row r="60" customFormat="false" ht="76.5" hidden="false" customHeight="true" outlineLevel="0" collapsed="false">
      <c r="A60" s="27"/>
      <c r="B60" s="27"/>
      <c r="G60" s="27"/>
    </row>
    <row r="61" customFormat="false" ht="67.5" hidden="false" customHeight="true" outlineLevel="0" collapsed="false">
      <c r="A61" s="27"/>
      <c r="B61" s="27"/>
      <c r="G61" s="27"/>
    </row>
    <row r="62" customFormat="false" ht="62.25" hidden="false" customHeight="true" outlineLevel="0" collapsed="false">
      <c r="A62" s="27"/>
      <c r="B62" s="27"/>
      <c r="G62" s="27"/>
    </row>
    <row r="63" customFormat="false" ht="78" hidden="false" customHeight="true" outlineLevel="0" collapsed="false">
      <c r="A63" s="27"/>
      <c r="B63" s="27"/>
      <c r="G63" s="27"/>
    </row>
    <row r="64" customFormat="false" ht="70.5" hidden="false" customHeight="true" outlineLevel="0" collapsed="false">
      <c r="A64" s="27"/>
      <c r="B64" s="27"/>
      <c r="G64" s="27"/>
    </row>
    <row r="65" customFormat="false" ht="68.25" hidden="false" customHeight="true" outlineLevel="0" collapsed="false">
      <c r="A65" s="27"/>
      <c r="B65" s="27"/>
      <c r="G65" s="27"/>
    </row>
    <row r="66" customFormat="false" ht="61.5" hidden="false" customHeight="true" outlineLevel="0" collapsed="false">
      <c r="A66" s="27"/>
      <c r="B66" s="27"/>
      <c r="G66" s="27"/>
    </row>
    <row r="67" customFormat="false" ht="65.25" hidden="false" customHeight="true" outlineLevel="0" collapsed="false">
      <c r="A67" s="27"/>
      <c r="B67" s="27"/>
      <c r="G67" s="27"/>
    </row>
    <row r="68" customFormat="false" ht="66" hidden="false" customHeight="true" outlineLevel="0" collapsed="false">
      <c r="A68" s="27"/>
      <c r="B68" s="27"/>
      <c r="G68" s="27"/>
    </row>
    <row r="69" customFormat="false" ht="72" hidden="false" customHeight="true" outlineLevel="0" collapsed="false">
      <c r="A69" s="27"/>
      <c r="B69" s="27"/>
      <c r="G69" s="27"/>
    </row>
    <row r="70" customFormat="false" ht="78" hidden="false" customHeight="true" outlineLevel="0" collapsed="false">
      <c r="A70" s="27"/>
      <c r="B70" s="27"/>
      <c r="G70" s="27"/>
    </row>
    <row r="71" customFormat="false" ht="60" hidden="false" customHeight="true" outlineLevel="0" collapsed="false">
      <c r="A71" s="27"/>
      <c r="B71" s="27"/>
      <c r="G71" s="27"/>
    </row>
    <row r="72" customFormat="false" ht="73.5" hidden="false" customHeight="true" outlineLevel="0" collapsed="false">
      <c r="A72" s="27"/>
      <c r="B72" s="27"/>
      <c r="G72" s="27"/>
    </row>
    <row r="73" customFormat="false" ht="71.25" hidden="false" customHeight="true" outlineLevel="0" collapsed="false">
      <c r="A73" s="27"/>
      <c r="B73" s="27"/>
      <c r="G73" s="27"/>
    </row>
    <row r="74" customFormat="false" ht="68.25" hidden="false" customHeight="true" outlineLevel="0" collapsed="false">
      <c r="A74" s="27"/>
      <c r="B74" s="27"/>
      <c r="G74" s="27"/>
    </row>
    <row r="75" customFormat="false" ht="62.25" hidden="false" customHeight="true" outlineLevel="0" collapsed="false">
      <c r="A75" s="27"/>
      <c r="B75" s="27"/>
      <c r="G75" s="27"/>
    </row>
    <row r="76" customFormat="false" ht="63" hidden="false" customHeight="true" outlineLevel="0" collapsed="false">
      <c r="A76" s="27"/>
      <c r="B76" s="27"/>
      <c r="G76" s="27"/>
    </row>
    <row r="77" customFormat="false" ht="69.75" hidden="false" customHeight="true" outlineLevel="0" collapsed="false">
      <c r="A77" s="27"/>
      <c r="B77" s="27"/>
      <c r="G77" s="27"/>
    </row>
    <row r="78" customFormat="false" ht="71.25" hidden="false" customHeight="true" outlineLevel="0" collapsed="false">
      <c r="A78" s="27"/>
      <c r="B78" s="27"/>
      <c r="G78" s="27"/>
    </row>
    <row r="79" customFormat="false" ht="61.5" hidden="false" customHeight="true" outlineLevel="0" collapsed="false">
      <c r="A79" s="27"/>
      <c r="B79" s="27"/>
      <c r="G79" s="27"/>
    </row>
    <row r="80" customFormat="false" ht="56.25" hidden="false" customHeight="true" outlineLevel="0" collapsed="false">
      <c r="A80" s="27"/>
      <c r="B80" s="27"/>
      <c r="G80" s="27"/>
    </row>
    <row r="81" customFormat="false" ht="65.25" hidden="false" customHeight="true" outlineLevel="0" collapsed="false">
      <c r="A81" s="27"/>
      <c r="B81" s="27"/>
      <c r="G81" s="27"/>
    </row>
    <row r="82" customFormat="false" ht="51.75" hidden="false" customHeight="true" outlineLevel="0" collapsed="false">
      <c r="A82" s="27"/>
      <c r="B82" s="27"/>
      <c r="G82" s="27"/>
    </row>
    <row r="83" customFormat="false" ht="63.75" hidden="false" customHeight="true" outlineLevel="0" collapsed="false">
      <c r="A83" s="27"/>
      <c r="B83" s="27"/>
      <c r="G83" s="27"/>
    </row>
    <row r="84" customFormat="false" ht="67.5" hidden="false" customHeight="true" outlineLevel="0" collapsed="false">
      <c r="A84" s="27"/>
      <c r="B84" s="27"/>
      <c r="G84" s="27"/>
    </row>
    <row r="85" customFormat="false" ht="62.25" hidden="false" customHeight="true" outlineLevel="0" collapsed="false">
      <c r="A85" s="27"/>
      <c r="B85" s="27"/>
      <c r="G85" s="27"/>
    </row>
    <row r="86" customFormat="false" ht="51" hidden="false" customHeight="true" outlineLevel="0" collapsed="false">
      <c r="A86" s="27"/>
      <c r="B86" s="27"/>
      <c r="G86" s="27"/>
    </row>
    <row r="87" customFormat="false" ht="60" hidden="false" customHeight="true" outlineLevel="0" collapsed="false">
      <c r="A87" s="27"/>
      <c r="B87" s="27"/>
      <c r="G87" s="27"/>
    </row>
    <row r="88" customFormat="false" ht="78" hidden="false" customHeight="true" outlineLevel="0" collapsed="false">
      <c r="A88" s="27"/>
      <c r="B88" s="27"/>
      <c r="G88" s="27"/>
    </row>
    <row r="89" customFormat="false" ht="132" hidden="false" customHeight="true" outlineLevel="0" collapsed="false">
      <c r="A89" s="27"/>
      <c r="B89" s="27"/>
      <c r="G89" s="27"/>
    </row>
    <row r="90" customFormat="false" ht="150" hidden="false" customHeight="true" outlineLevel="0" collapsed="false">
      <c r="A90" s="27"/>
      <c r="B90" s="27"/>
      <c r="G90" s="27"/>
    </row>
  </sheetData>
  <mergeCells count="8">
    <mergeCell ref="A1:G1"/>
    <mergeCell ref="A23:G23"/>
    <mergeCell ref="B24:F24"/>
    <mergeCell ref="B25:F25"/>
    <mergeCell ref="B26:F26"/>
    <mergeCell ref="B27:F27"/>
    <mergeCell ref="B28:F28"/>
    <mergeCell ref="B29:F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4693</v>
      </c>
      <c r="B1" s="43"/>
      <c r="C1" s="43"/>
      <c r="D1" s="43"/>
      <c r="E1" s="43"/>
      <c r="F1" s="43"/>
      <c r="G1" s="43"/>
    </row>
    <row r="2" customFormat="false" ht="31.5" hidden="false" customHeight="true" outlineLevel="0" collapsed="false">
      <c r="A2" s="44" t="s">
        <v>3789</v>
      </c>
      <c r="B2" s="44" t="s">
        <v>4302</v>
      </c>
      <c r="C2" s="44" t="s">
        <v>4694</v>
      </c>
      <c r="D2" s="44" t="s">
        <v>4604</v>
      </c>
      <c r="E2" s="44" t="s">
        <v>4605</v>
      </c>
      <c r="F2" s="44" t="s">
        <v>4306</v>
      </c>
      <c r="G2" s="44" t="s">
        <v>4</v>
      </c>
    </row>
    <row r="3" customFormat="false" ht="39.75" hidden="false" customHeight="true" outlineLevel="0" collapsed="false">
      <c r="A3" s="27"/>
      <c r="B3" s="27"/>
      <c r="C3" s="27"/>
      <c r="D3" s="27"/>
      <c r="E3" s="27"/>
      <c r="F3" s="27"/>
      <c r="G3" s="27"/>
    </row>
    <row r="4" customFormat="false" ht="43.5" hidden="false" customHeight="true" outlineLevel="0" collapsed="false">
      <c r="A4" s="27" t="s">
        <v>4695</v>
      </c>
      <c r="B4" s="27" t="s">
        <v>4696</v>
      </c>
      <c r="C4" s="27" t="s">
        <v>4697</v>
      </c>
      <c r="D4" s="27" t="s">
        <v>4698</v>
      </c>
      <c r="E4" s="27" t="s">
        <v>4699</v>
      </c>
      <c r="F4" s="27" t="s">
        <v>4700</v>
      </c>
      <c r="G4" s="27" t="s">
        <v>3687</v>
      </c>
    </row>
    <row r="5" customFormat="false" ht="43.5" hidden="false" customHeight="true" outlineLevel="0" collapsed="false">
      <c r="A5" s="27" t="s">
        <v>4695</v>
      </c>
      <c r="B5" s="27" t="s">
        <v>4701</v>
      </c>
      <c r="C5" s="27" t="s">
        <v>4702</v>
      </c>
      <c r="D5" s="27" t="s">
        <v>4703</v>
      </c>
      <c r="E5" s="27" t="s">
        <v>4704</v>
      </c>
      <c r="F5" s="27" t="s">
        <v>4705</v>
      </c>
      <c r="G5" s="27" t="s">
        <v>4426</v>
      </c>
    </row>
    <row r="6" customFormat="false" ht="43.5" hidden="false" customHeight="true" outlineLevel="0" collapsed="false">
      <c r="A6" s="27" t="s">
        <v>4706</v>
      </c>
      <c r="B6" s="27" t="s">
        <v>4707</v>
      </c>
      <c r="C6" s="27" t="s">
        <v>4708</v>
      </c>
      <c r="D6" s="27" t="s">
        <v>4709</v>
      </c>
      <c r="E6" s="27" t="s">
        <v>4710</v>
      </c>
      <c r="F6" s="27" t="s">
        <v>4711</v>
      </c>
      <c r="G6" s="27" t="s">
        <v>4712</v>
      </c>
    </row>
    <row r="7" customFormat="false" ht="43.5" hidden="false" customHeight="true" outlineLevel="0" collapsed="false">
      <c r="A7" s="27" t="s">
        <v>4706</v>
      </c>
      <c r="B7" s="27" t="s">
        <v>4713</v>
      </c>
      <c r="C7" s="27" t="s">
        <v>4714</v>
      </c>
      <c r="D7" s="27" t="s">
        <v>4715</v>
      </c>
      <c r="E7" s="27" t="s">
        <v>4716</v>
      </c>
      <c r="F7" s="27" t="s">
        <v>4717</v>
      </c>
      <c r="G7" s="27" t="s">
        <v>3687</v>
      </c>
    </row>
    <row r="8" customFormat="false" ht="43.5" hidden="false" customHeight="true" outlineLevel="0" collapsed="false">
      <c r="A8" s="27" t="s">
        <v>4718</v>
      </c>
      <c r="B8" s="27" t="s">
        <v>4719</v>
      </c>
      <c r="C8" s="27" t="s">
        <v>4720</v>
      </c>
      <c r="D8" s="27" t="s">
        <v>4721</v>
      </c>
      <c r="E8" s="27" t="s">
        <v>4722</v>
      </c>
      <c r="F8" s="27" t="s">
        <v>4723</v>
      </c>
      <c r="G8" s="27" t="s">
        <v>3671</v>
      </c>
    </row>
    <row r="9" customFormat="false" ht="43.5" hidden="false" customHeight="true" outlineLevel="0" collapsed="false">
      <c r="A9" s="27" t="s">
        <v>4718</v>
      </c>
      <c r="B9" s="27" t="s">
        <v>4715</v>
      </c>
      <c r="C9" s="27" t="s">
        <v>4724</v>
      </c>
      <c r="D9" s="27" t="s">
        <v>4725</v>
      </c>
      <c r="E9" s="27" t="s">
        <v>4726</v>
      </c>
      <c r="F9" s="27" t="s">
        <v>4727</v>
      </c>
      <c r="G9" s="27" t="s">
        <v>3687</v>
      </c>
    </row>
    <row r="10" customFormat="false" ht="43.5" hidden="false" customHeight="true" outlineLevel="0" collapsed="false">
      <c r="A10" s="27" t="s">
        <v>4718</v>
      </c>
      <c r="B10" s="27" t="s">
        <v>4728</v>
      </c>
      <c r="C10" s="27" t="s">
        <v>4729</v>
      </c>
      <c r="D10" s="27" t="s">
        <v>4730</v>
      </c>
      <c r="E10" s="27" t="s">
        <v>4731</v>
      </c>
      <c r="F10" s="27" t="s">
        <v>4732</v>
      </c>
      <c r="G10" s="27" t="s">
        <v>4426</v>
      </c>
    </row>
    <row r="11" customFormat="false" ht="43.5" hidden="false" customHeight="true" outlineLevel="0" collapsed="false">
      <c r="A11" s="27" t="s">
        <v>4718</v>
      </c>
      <c r="B11" s="27" t="s">
        <v>4733</v>
      </c>
      <c r="C11" s="27" t="s">
        <v>4734</v>
      </c>
      <c r="D11" s="27" t="s">
        <v>4735</v>
      </c>
      <c r="E11" s="27" t="s">
        <v>4736</v>
      </c>
      <c r="F11" s="27" t="s">
        <v>4737</v>
      </c>
      <c r="G11" s="27" t="s">
        <v>3687</v>
      </c>
    </row>
    <row r="12" customFormat="false" ht="43.5" hidden="false" customHeight="true" outlineLevel="0" collapsed="false">
      <c r="A12" s="27" t="s">
        <v>4738</v>
      </c>
      <c r="B12" s="27" t="s">
        <v>4739</v>
      </c>
      <c r="C12" s="27" t="s">
        <v>4740</v>
      </c>
      <c r="D12" s="27" t="s">
        <v>4741</v>
      </c>
      <c r="E12" s="27" t="s">
        <v>4742</v>
      </c>
      <c r="F12" s="27" t="s">
        <v>4743</v>
      </c>
      <c r="G12" s="27" t="s">
        <v>3687</v>
      </c>
    </row>
    <row r="13" customFormat="false" ht="43.5" hidden="false" customHeight="true" outlineLevel="0" collapsed="false">
      <c r="A13" s="27" t="s">
        <v>4738</v>
      </c>
      <c r="B13" s="27" t="s">
        <v>4744</v>
      </c>
      <c r="C13" s="27" t="s">
        <v>4745</v>
      </c>
      <c r="D13" s="27" t="s">
        <v>4741</v>
      </c>
      <c r="E13" s="27" t="s">
        <v>4746</v>
      </c>
      <c r="F13" s="27" t="s">
        <v>4747</v>
      </c>
      <c r="G13" s="27" t="s">
        <v>4454</v>
      </c>
    </row>
    <row r="14" customFormat="false" ht="43.5" hidden="false" customHeight="true" outlineLevel="0" collapsed="false">
      <c r="A14" s="27" t="s">
        <v>4738</v>
      </c>
      <c r="B14" s="27" t="s">
        <v>4748</v>
      </c>
      <c r="C14" s="27" t="s">
        <v>4749</v>
      </c>
      <c r="D14" s="27" t="s">
        <v>4750</v>
      </c>
      <c r="E14" s="27" t="s">
        <v>4751</v>
      </c>
      <c r="F14" s="27" t="s">
        <v>4752</v>
      </c>
      <c r="G14" s="27" t="s">
        <v>4438</v>
      </c>
    </row>
    <row r="15" customFormat="false" ht="43.5" hidden="false" customHeight="true" outlineLevel="0" collapsed="false">
      <c r="A15" s="27" t="s">
        <v>4738</v>
      </c>
      <c r="B15" s="27" t="s">
        <v>4753</v>
      </c>
      <c r="C15" s="27" t="s">
        <v>4754</v>
      </c>
      <c r="D15" s="27" t="s">
        <v>4750</v>
      </c>
      <c r="E15" s="27" t="s">
        <v>4755</v>
      </c>
      <c r="F15" s="27" t="s">
        <v>4752</v>
      </c>
      <c r="G15" s="27" t="s">
        <v>4438</v>
      </c>
    </row>
    <row r="16" customFormat="false" ht="43.5" hidden="false" customHeight="true" outlineLevel="0" collapsed="false">
      <c r="A16" s="27" t="s">
        <v>4738</v>
      </c>
      <c r="B16" s="27" t="s">
        <v>4756</v>
      </c>
      <c r="C16" s="27" t="s">
        <v>4757</v>
      </c>
      <c r="D16" s="27" t="s">
        <v>4750</v>
      </c>
      <c r="E16" s="27" t="s">
        <v>4758</v>
      </c>
      <c r="F16" s="27" t="s">
        <v>4752</v>
      </c>
      <c r="G16" s="27" t="s">
        <v>4438</v>
      </c>
    </row>
    <row r="17" customFormat="false" ht="43.5" hidden="false" customHeight="true" outlineLevel="0" collapsed="false">
      <c r="A17" s="27" t="s">
        <v>4042</v>
      </c>
      <c r="B17" s="27" t="s">
        <v>4759</v>
      </c>
      <c r="C17" s="27" t="s">
        <v>4760</v>
      </c>
      <c r="D17" s="27" t="s">
        <v>4761</v>
      </c>
      <c r="E17" s="27" t="s">
        <v>4762</v>
      </c>
      <c r="F17" s="27" t="s">
        <v>4763</v>
      </c>
      <c r="G17" s="27" t="s">
        <v>3687</v>
      </c>
    </row>
    <row r="18" customFormat="false" ht="43.5" hidden="false" customHeight="true" outlineLevel="0" collapsed="false">
      <c r="A18" s="27" t="s">
        <v>4042</v>
      </c>
      <c r="B18" s="27" t="s">
        <v>4764</v>
      </c>
      <c r="C18" s="27" t="s">
        <v>4765</v>
      </c>
      <c r="D18" s="27" t="s">
        <v>4766</v>
      </c>
      <c r="E18" s="27" t="s">
        <v>4767</v>
      </c>
      <c r="F18" s="27" t="s">
        <v>4768</v>
      </c>
      <c r="G18" s="27" t="s">
        <v>3687</v>
      </c>
    </row>
    <row r="19" customFormat="false" ht="43.5" hidden="false" customHeight="true" outlineLevel="0" collapsed="false">
      <c r="A19" s="27" t="s">
        <v>638</v>
      </c>
      <c r="B19" s="27" t="s">
        <v>4769</v>
      </c>
      <c r="C19" s="27" t="s">
        <v>4770</v>
      </c>
      <c r="D19" s="27" t="s">
        <v>4771</v>
      </c>
      <c r="E19" s="27" t="s">
        <v>4772</v>
      </c>
      <c r="F19" s="27" t="s">
        <v>4090</v>
      </c>
      <c r="G19" s="27" t="s">
        <v>3687</v>
      </c>
    </row>
    <row r="20" customFormat="false" ht="43.5" hidden="false" customHeight="true" outlineLevel="0" collapsed="false">
      <c r="A20" s="27" t="s">
        <v>638</v>
      </c>
      <c r="B20" s="27" t="s">
        <v>4773</v>
      </c>
      <c r="C20" s="27" t="s">
        <v>4774</v>
      </c>
      <c r="D20" s="27" t="s">
        <v>4775</v>
      </c>
      <c r="E20" s="27" t="s">
        <v>4776</v>
      </c>
      <c r="F20" s="27" t="s">
        <v>4777</v>
      </c>
      <c r="G20" s="27" t="s">
        <v>3799</v>
      </c>
    </row>
    <row r="21" customFormat="false" ht="43.5" hidden="false" customHeight="true" outlineLevel="0" collapsed="false">
      <c r="A21" s="27" t="s">
        <v>638</v>
      </c>
      <c r="B21" s="27" t="s">
        <v>4484</v>
      </c>
      <c r="C21" s="27" t="s">
        <v>4778</v>
      </c>
      <c r="D21" s="27" t="s">
        <v>4779</v>
      </c>
      <c r="E21" s="27" t="s">
        <v>4780</v>
      </c>
      <c r="F21" s="27" t="s">
        <v>4781</v>
      </c>
      <c r="G21" s="27" t="s">
        <v>3687</v>
      </c>
    </row>
    <row r="22" customFormat="false" ht="43.5" hidden="false" customHeight="true" outlineLevel="0" collapsed="false">
      <c r="A22" s="27" t="s">
        <v>638</v>
      </c>
      <c r="B22" s="27" t="s">
        <v>4597</v>
      </c>
      <c r="C22" s="27" t="s">
        <v>4782</v>
      </c>
      <c r="D22" s="27" t="s">
        <v>4783</v>
      </c>
      <c r="E22" s="27" t="s">
        <v>4784</v>
      </c>
      <c r="F22" s="27" t="s">
        <v>4711</v>
      </c>
      <c r="G22" s="27" t="s">
        <v>4785</v>
      </c>
    </row>
    <row r="23" customFormat="false" ht="43.5" hidden="false" customHeight="true" outlineLevel="0" collapsed="false">
      <c r="A23" s="27" t="s">
        <v>4786</v>
      </c>
      <c r="B23" s="27" t="s">
        <v>4787</v>
      </c>
      <c r="C23" s="27" t="s">
        <v>4788</v>
      </c>
      <c r="D23" s="27" t="s">
        <v>4789</v>
      </c>
      <c r="E23" s="27" t="s">
        <v>4790</v>
      </c>
      <c r="F23" s="27" t="s">
        <v>4711</v>
      </c>
      <c r="G23" s="27" t="s">
        <v>3687</v>
      </c>
    </row>
    <row r="24" customFormat="false" ht="43.5" hidden="false" customHeight="true" outlineLevel="0" collapsed="false">
      <c r="A24" s="27" t="s">
        <v>4667</v>
      </c>
      <c r="B24" s="27" t="s">
        <v>4673</v>
      </c>
      <c r="C24" s="27" t="s">
        <v>4791</v>
      </c>
      <c r="D24" s="27" t="s">
        <v>4675</v>
      </c>
      <c r="E24" s="27" t="s">
        <v>4792</v>
      </c>
      <c r="F24" s="27" t="s">
        <v>4090</v>
      </c>
      <c r="G24" s="27" t="s">
        <v>3687</v>
      </c>
    </row>
    <row r="25" customFormat="false" ht="43.5" hidden="false" customHeight="true" outlineLevel="0" collapsed="false">
      <c r="A25" s="27" t="s">
        <v>4793</v>
      </c>
      <c r="B25" s="27" t="s">
        <v>4794</v>
      </c>
      <c r="C25" s="27" t="s">
        <v>4795</v>
      </c>
      <c r="D25" s="27" t="s">
        <v>4796</v>
      </c>
      <c r="E25" s="27" t="s">
        <v>4797</v>
      </c>
      <c r="F25" s="27" t="s">
        <v>4711</v>
      </c>
      <c r="G25" s="27" t="s">
        <v>3687</v>
      </c>
    </row>
    <row r="26" customFormat="false" ht="43.5" hidden="false" customHeight="true" outlineLevel="0" collapsed="false">
      <c r="A26" s="27" t="s">
        <v>4793</v>
      </c>
      <c r="B26" s="27" t="s">
        <v>4798</v>
      </c>
      <c r="C26" s="27" t="s">
        <v>4799</v>
      </c>
      <c r="D26" s="27" t="s">
        <v>4800</v>
      </c>
      <c r="E26" s="27" t="s">
        <v>4801</v>
      </c>
      <c r="F26" s="27" t="s">
        <v>4802</v>
      </c>
      <c r="G26" s="27" t="s">
        <v>3687</v>
      </c>
    </row>
    <row r="27" customFormat="false" ht="43.5" hidden="false" customHeight="true" outlineLevel="0" collapsed="false">
      <c r="A27" s="27" t="s">
        <v>4803</v>
      </c>
      <c r="B27" s="27" t="s">
        <v>4804</v>
      </c>
      <c r="C27" s="27" t="s">
        <v>4805</v>
      </c>
      <c r="D27" s="27" t="s">
        <v>4806</v>
      </c>
      <c r="E27" s="27" t="s">
        <v>4807</v>
      </c>
      <c r="F27" s="27" t="s">
        <v>4808</v>
      </c>
      <c r="G27" s="27" t="s">
        <v>4426</v>
      </c>
    </row>
    <row r="28" customFormat="false" ht="39.75" hidden="false" customHeight="true" outlineLevel="0" collapsed="false">
      <c r="A28" s="27"/>
      <c r="B28" s="27"/>
      <c r="C28" s="27"/>
      <c r="D28" s="27"/>
      <c r="E28" s="27"/>
      <c r="F28" s="27"/>
      <c r="G28" s="27"/>
    </row>
    <row r="29" customFormat="false" ht="43.5" hidden="false" customHeight="true" outlineLevel="0" collapsed="false">
      <c r="A29" s="42" t="s">
        <v>4809</v>
      </c>
      <c r="B29" s="42"/>
      <c r="C29" s="42"/>
      <c r="D29" s="42"/>
      <c r="E29" s="42"/>
      <c r="F29" s="42"/>
      <c r="G29" s="42"/>
    </row>
    <row r="30" customFormat="false" ht="60" hidden="false" customHeight="true" outlineLevel="0" collapsed="false">
      <c r="A30" s="27" t="s">
        <v>3208</v>
      </c>
      <c r="B30" s="42" t="s">
        <v>3209</v>
      </c>
      <c r="C30" s="42"/>
      <c r="D30" s="42"/>
      <c r="E30" s="42"/>
      <c r="F30" s="42"/>
      <c r="G30" s="27" t="s">
        <v>3210</v>
      </c>
    </row>
    <row r="31" customFormat="false" ht="60" hidden="false" customHeight="true" outlineLevel="0" collapsed="false">
      <c r="A31" s="27" t="s">
        <v>3211</v>
      </c>
      <c r="B31" s="42" t="s">
        <v>3212</v>
      </c>
      <c r="C31" s="42"/>
      <c r="D31" s="42"/>
      <c r="E31" s="42"/>
      <c r="F31" s="42"/>
      <c r="G31" s="27" t="s">
        <v>3213</v>
      </c>
    </row>
    <row r="32" customFormat="false" ht="60" hidden="false" customHeight="true" outlineLevel="0" collapsed="false">
      <c r="A32" s="27" t="s">
        <v>3214</v>
      </c>
      <c r="B32" s="42" t="s">
        <v>3215</v>
      </c>
      <c r="C32" s="42"/>
      <c r="D32" s="42"/>
      <c r="E32" s="42"/>
      <c r="F32" s="42"/>
      <c r="G32" s="27" t="s">
        <v>3216</v>
      </c>
    </row>
    <row r="33" customFormat="false" ht="60" hidden="false" customHeight="true" outlineLevel="0" collapsed="false">
      <c r="A33" s="27" t="s">
        <v>3217</v>
      </c>
      <c r="B33" s="42" t="s">
        <v>3218</v>
      </c>
      <c r="C33" s="42"/>
      <c r="D33" s="42"/>
      <c r="E33" s="42"/>
      <c r="F33" s="42"/>
      <c r="G33" s="27" t="s">
        <v>3219</v>
      </c>
    </row>
    <row r="34" customFormat="false" ht="60" hidden="false" customHeight="true" outlineLevel="0" collapsed="false">
      <c r="A34" s="27" t="s">
        <v>3220</v>
      </c>
      <c r="B34" s="42" t="s">
        <v>3221</v>
      </c>
      <c r="C34" s="42"/>
      <c r="D34" s="42"/>
      <c r="E34" s="42"/>
      <c r="F34" s="42"/>
      <c r="G34" s="27" t="s">
        <v>3222</v>
      </c>
    </row>
  </sheetData>
  <mergeCells count="7">
    <mergeCell ref="A1:G1"/>
    <mergeCell ref="A29:G29"/>
    <mergeCell ref="B30:F30"/>
    <mergeCell ref="B31:F31"/>
    <mergeCell ref="B32:F32"/>
    <mergeCell ref="B33:F33"/>
    <mergeCell ref="B34:F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4810</v>
      </c>
      <c r="B1" s="43"/>
      <c r="C1" s="43"/>
      <c r="D1" s="43"/>
      <c r="E1" s="43"/>
      <c r="F1" s="43"/>
      <c r="G1" s="43"/>
    </row>
    <row r="2" customFormat="false" ht="31.5" hidden="false" customHeight="true" outlineLevel="0" collapsed="false">
      <c r="A2" s="44" t="s">
        <v>3789</v>
      </c>
      <c r="B2" s="44" t="s">
        <v>4302</v>
      </c>
      <c r="C2" s="44" t="s">
        <v>4811</v>
      </c>
      <c r="D2" s="44" t="s">
        <v>4604</v>
      </c>
      <c r="E2" s="44" t="s">
        <v>4605</v>
      </c>
      <c r="F2" s="44" t="s">
        <v>4306</v>
      </c>
      <c r="G2" s="44" t="s">
        <v>4</v>
      </c>
    </row>
    <row r="3" customFormat="false" ht="39.75" hidden="false" customHeight="true" outlineLevel="0" collapsed="false">
      <c r="A3" s="27"/>
      <c r="B3" s="27"/>
      <c r="C3" s="27"/>
      <c r="D3" s="27"/>
      <c r="E3" s="27"/>
      <c r="F3" s="27"/>
      <c r="G3" s="27"/>
    </row>
    <row r="4" customFormat="false" ht="43.5" hidden="false" customHeight="true" outlineLevel="0" collapsed="false">
      <c r="A4" s="27" t="s">
        <v>4718</v>
      </c>
      <c r="B4" s="27" t="s">
        <v>4812</v>
      </c>
      <c r="C4" s="27" t="s">
        <v>4813</v>
      </c>
      <c r="D4" s="27" t="s">
        <v>4721</v>
      </c>
      <c r="E4" s="27" t="s">
        <v>4814</v>
      </c>
      <c r="F4" s="27" t="s">
        <v>4815</v>
      </c>
      <c r="G4" s="27" t="s">
        <v>3671</v>
      </c>
    </row>
    <row r="5" customFormat="false" ht="43.5" hidden="false" customHeight="true" outlineLevel="0" collapsed="false">
      <c r="A5" s="27" t="s">
        <v>4718</v>
      </c>
      <c r="B5" s="27" t="s">
        <v>4816</v>
      </c>
      <c r="C5" s="27" t="s">
        <v>4817</v>
      </c>
      <c r="D5" s="27" t="s">
        <v>4818</v>
      </c>
      <c r="E5" s="27" t="s">
        <v>4819</v>
      </c>
      <c r="F5" s="27" t="s">
        <v>4820</v>
      </c>
      <c r="G5" s="27" t="s">
        <v>4821</v>
      </c>
    </row>
    <row r="6" customFormat="false" ht="43.5" hidden="false" customHeight="true" outlineLevel="0" collapsed="false">
      <c r="A6" s="27" t="s">
        <v>4042</v>
      </c>
      <c r="B6" s="27" t="s">
        <v>4822</v>
      </c>
      <c r="C6" s="27" t="s">
        <v>4823</v>
      </c>
      <c r="D6" s="27" t="s">
        <v>4824</v>
      </c>
      <c r="E6" s="27" t="s">
        <v>4825</v>
      </c>
      <c r="F6" s="27" t="s">
        <v>4826</v>
      </c>
      <c r="G6" s="27" t="s">
        <v>3671</v>
      </c>
    </row>
    <row r="7" customFormat="false" ht="43.5" hidden="false" customHeight="true" outlineLevel="0" collapsed="false">
      <c r="A7" s="27" t="s">
        <v>4048</v>
      </c>
      <c r="B7" s="27" t="s">
        <v>4827</v>
      </c>
      <c r="C7" s="27" t="s">
        <v>4828</v>
      </c>
      <c r="D7" s="27" t="s">
        <v>4829</v>
      </c>
      <c r="E7" s="27" t="s">
        <v>4830</v>
      </c>
      <c r="F7" s="27" t="s">
        <v>4831</v>
      </c>
      <c r="G7" s="27" t="s">
        <v>4712</v>
      </c>
    </row>
    <row r="8" customFormat="false" ht="43.5" hidden="false" customHeight="true" outlineLevel="0" collapsed="false">
      <c r="A8" s="27" t="s">
        <v>4048</v>
      </c>
      <c r="B8" s="27" t="s">
        <v>4832</v>
      </c>
      <c r="C8" s="27" t="s">
        <v>4833</v>
      </c>
      <c r="D8" s="27" t="s">
        <v>4834</v>
      </c>
      <c r="E8" s="27" t="s">
        <v>4835</v>
      </c>
      <c r="F8" s="27" t="s">
        <v>4836</v>
      </c>
      <c r="G8" s="27" t="s">
        <v>4454</v>
      </c>
    </row>
    <row r="9" customFormat="false" ht="43.5" hidden="false" customHeight="true" outlineLevel="0" collapsed="false">
      <c r="A9" s="27" t="s">
        <v>4837</v>
      </c>
      <c r="B9" s="27" t="s">
        <v>4838</v>
      </c>
      <c r="C9" s="27" t="s">
        <v>4839</v>
      </c>
      <c r="D9" s="27" t="s">
        <v>4840</v>
      </c>
      <c r="E9" s="27" t="s">
        <v>4841</v>
      </c>
      <c r="F9" s="27" t="s">
        <v>4842</v>
      </c>
      <c r="G9" s="27" t="s">
        <v>4843</v>
      </c>
    </row>
    <row r="10" customFormat="false" ht="43.5" hidden="false" customHeight="true" outlineLevel="0" collapsed="false">
      <c r="A10" s="27" t="s">
        <v>3833</v>
      </c>
      <c r="B10" s="27" t="s">
        <v>4844</v>
      </c>
      <c r="C10" s="27" t="s">
        <v>4845</v>
      </c>
      <c r="D10" s="27" t="s">
        <v>4846</v>
      </c>
      <c r="E10" s="27" t="s">
        <v>4847</v>
      </c>
      <c r="F10" s="27" t="s">
        <v>4848</v>
      </c>
      <c r="G10" s="27" t="s">
        <v>3799</v>
      </c>
    </row>
    <row r="11" customFormat="false" ht="43.5" hidden="false" customHeight="true" outlineLevel="0" collapsed="false">
      <c r="A11" s="27" t="s">
        <v>3833</v>
      </c>
      <c r="B11" s="27" t="s">
        <v>4849</v>
      </c>
      <c r="C11" s="27" t="s">
        <v>4850</v>
      </c>
      <c r="D11" s="27" t="s">
        <v>4851</v>
      </c>
      <c r="E11" s="27" t="s">
        <v>4852</v>
      </c>
      <c r="F11" s="27" t="s">
        <v>4853</v>
      </c>
      <c r="G11" s="27" t="s">
        <v>3687</v>
      </c>
    </row>
    <row r="12" customFormat="false" ht="43.5" hidden="false" customHeight="true" outlineLevel="0" collapsed="false">
      <c r="A12" s="27" t="s">
        <v>94</v>
      </c>
      <c r="B12" s="27" t="s">
        <v>4854</v>
      </c>
      <c r="C12" s="27" t="s">
        <v>4855</v>
      </c>
      <c r="D12" s="27" t="s">
        <v>4856</v>
      </c>
      <c r="E12" s="27" t="s">
        <v>4857</v>
      </c>
      <c r="F12" s="27" t="s">
        <v>4711</v>
      </c>
      <c r="G12" s="27" t="s">
        <v>3687</v>
      </c>
    </row>
    <row r="13" customFormat="false" ht="43.5" hidden="false" customHeight="true" outlineLevel="0" collapsed="false">
      <c r="A13" s="27" t="s">
        <v>94</v>
      </c>
      <c r="B13" s="27" t="s">
        <v>4858</v>
      </c>
      <c r="C13" s="27" t="s">
        <v>4859</v>
      </c>
      <c r="D13" s="27" t="s">
        <v>4860</v>
      </c>
      <c r="E13" s="27" t="s">
        <v>4861</v>
      </c>
      <c r="F13" s="27" t="s">
        <v>4711</v>
      </c>
      <c r="G13" s="27" t="s">
        <v>4862</v>
      </c>
    </row>
    <row r="14" customFormat="false" ht="43.5" hidden="false" customHeight="true" outlineLevel="0" collapsed="false">
      <c r="A14" s="27" t="s">
        <v>94</v>
      </c>
      <c r="B14" s="27" t="s">
        <v>4863</v>
      </c>
      <c r="C14" s="27" t="s">
        <v>4864</v>
      </c>
      <c r="D14" s="27" t="s">
        <v>4865</v>
      </c>
      <c r="E14" s="27" t="s">
        <v>4866</v>
      </c>
      <c r="F14" s="27" t="s">
        <v>4867</v>
      </c>
      <c r="G14" s="27" t="s">
        <v>3687</v>
      </c>
    </row>
    <row r="15" customFormat="false" ht="43.5" hidden="false" customHeight="true" outlineLevel="0" collapsed="false">
      <c r="A15" s="27" t="s">
        <v>4868</v>
      </c>
      <c r="B15" s="27" t="s">
        <v>4869</v>
      </c>
      <c r="C15" s="27" t="s">
        <v>4870</v>
      </c>
      <c r="D15" s="27" t="s">
        <v>4871</v>
      </c>
      <c r="E15" s="27" t="s">
        <v>4872</v>
      </c>
      <c r="F15" s="27" t="s">
        <v>4873</v>
      </c>
      <c r="G15" s="27" t="s">
        <v>4454</v>
      </c>
    </row>
    <row r="16" customFormat="false" ht="43.5" hidden="false" customHeight="true" outlineLevel="0" collapsed="false">
      <c r="A16" s="27" t="s">
        <v>4786</v>
      </c>
      <c r="B16" s="27" t="s">
        <v>4787</v>
      </c>
      <c r="C16" s="27" t="s">
        <v>4874</v>
      </c>
      <c r="D16" s="27" t="s">
        <v>4789</v>
      </c>
      <c r="E16" s="27" t="s">
        <v>4875</v>
      </c>
      <c r="F16" s="27" t="s">
        <v>4711</v>
      </c>
      <c r="G16" s="27" t="s">
        <v>3687</v>
      </c>
    </row>
    <row r="17" customFormat="false" ht="43.5" hidden="false" customHeight="true" outlineLevel="0" collapsed="false">
      <c r="A17" s="27" t="s">
        <v>4793</v>
      </c>
      <c r="B17" s="27" t="s">
        <v>4876</v>
      </c>
      <c r="C17" s="27" t="s">
        <v>4877</v>
      </c>
      <c r="D17" s="27" t="s">
        <v>4878</v>
      </c>
      <c r="E17" s="27" t="s">
        <v>4879</v>
      </c>
      <c r="F17" s="27" t="s">
        <v>4711</v>
      </c>
      <c r="G17" s="27" t="s">
        <v>3687</v>
      </c>
    </row>
    <row r="18" customFormat="false" ht="43.5" hidden="false" customHeight="true" outlineLevel="0" collapsed="false">
      <c r="A18" s="27" t="s">
        <v>4793</v>
      </c>
      <c r="B18" s="27" t="s">
        <v>4880</v>
      </c>
      <c r="C18" s="27" t="s">
        <v>4881</v>
      </c>
      <c r="D18" s="27" t="s">
        <v>4882</v>
      </c>
      <c r="E18" s="27" t="s">
        <v>4883</v>
      </c>
      <c r="F18" s="27" t="s">
        <v>4711</v>
      </c>
      <c r="G18" s="27" t="s">
        <v>3687</v>
      </c>
    </row>
    <row r="19" customFormat="false" ht="43.5" hidden="false" customHeight="true" outlineLevel="0" collapsed="false">
      <c r="A19" s="27" t="s">
        <v>4793</v>
      </c>
      <c r="B19" s="27" t="s">
        <v>4884</v>
      </c>
      <c r="C19" s="27" t="s">
        <v>4885</v>
      </c>
      <c r="D19" s="27" t="s">
        <v>4886</v>
      </c>
      <c r="E19" s="27" t="s">
        <v>4887</v>
      </c>
      <c r="F19" s="27" t="s">
        <v>4711</v>
      </c>
      <c r="G19" s="27" t="s">
        <v>3687</v>
      </c>
    </row>
    <row r="20" customFormat="false" ht="43.5" hidden="false" customHeight="true" outlineLevel="0" collapsed="false">
      <c r="A20" s="27" t="s">
        <v>3818</v>
      </c>
      <c r="B20" s="27" t="s">
        <v>4888</v>
      </c>
      <c r="C20" s="27" t="s">
        <v>4889</v>
      </c>
      <c r="D20" s="27" t="s">
        <v>4890</v>
      </c>
      <c r="E20" s="27" t="s">
        <v>4891</v>
      </c>
      <c r="F20" s="27" t="s">
        <v>4090</v>
      </c>
      <c r="G20" s="27" t="s">
        <v>3687</v>
      </c>
    </row>
    <row r="21" customFormat="false" ht="43.5" hidden="false" customHeight="true" outlineLevel="0" collapsed="false">
      <c r="A21" s="27" t="s">
        <v>3818</v>
      </c>
      <c r="B21" s="27" t="s">
        <v>4892</v>
      </c>
      <c r="C21" s="27" t="s">
        <v>4893</v>
      </c>
      <c r="D21" s="27" t="s">
        <v>4890</v>
      </c>
      <c r="E21" s="27" t="s">
        <v>4894</v>
      </c>
      <c r="F21" s="27" t="s">
        <v>4895</v>
      </c>
      <c r="G21" s="27" t="s">
        <v>3687</v>
      </c>
    </row>
    <row r="22" customFormat="false" ht="43.5" hidden="false" customHeight="true" outlineLevel="0" collapsed="false">
      <c r="A22" s="27" t="s">
        <v>4803</v>
      </c>
      <c r="B22" s="27" t="s">
        <v>4804</v>
      </c>
      <c r="C22" s="27" t="s">
        <v>4896</v>
      </c>
      <c r="D22" s="27" t="s">
        <v>4806</v>
      </c>
      <c r="E22" s="27" t="s">
        <v>4897</v>
      </c>
      <c r="F22" s="27" t="s">
        <v>4808</v>
      </c>
      <c r="G22" s="27" t="s">
        <v>4426</v>
      </c>
    </row>
    <row r="23" customFormat="false" ht="43.5" hidden="false" customHeight="true" outlineLevel="0" collapsed="false">
      <c r="A23" s="27"/>
      <c r="B23" s="27"/>
      <c r="C23" s="27"/>
      <c r="D23" s="27"/>
      <c r="E23" s="27"/>
      <c r="F23" s="27"/>
      <c r="G23" s="27"/>
    </row>
    <row r="24" customFormat="false" ht="43.5" hidden="false" customHeight="true" outlineLevel="0" collapsed="false">
      <c r="A24" s="27" t="s">
        <v>4898</v>
      </c>
      <c r="B24" s="27"/>
      <c r="C24" s="27"/>
      <c r="D24" s="27"/>
      <c r="E24" s="27"/>
      <c r="F24" s="27"/>
      <c r="G24" s="27"/>
    </row>
    <row r="25" customFormat="false" ht="27.75" hidden="false" customHeight="true" outlineLevel="0" collapsed="false">
      <c r="A25" s="27" t="s">
        <v>3223</v>
      </c>
      <c r="B25" s="45" t="s">
        <v>3224</v>
      </c>
      <c r="C25" s="45"/>
      <c r="D25" s="45"/>
      <c r="E25" s="45"/>
      <c r="F25" s="45"/>
      <c r="G25" s="27" t="s">
        <v>3225</v>
      </c>
    </row>
    <row r="26" customFormat="false" ht="27.75" hidden="false" customHeight="true" outlineLevel="0" collapsed="false">
      <c r="A26" s="27" t="s">
        <v>3226</v>
      </c>
      <c r="B26" s="45" t="s">
        <v>3227</v>
      </c>
      <c r="C26" s="45"/>
      <c r="D26" s="45"/>
      <c r="E26" s="45"/>
      <c r="F26" s="45"/>
      <c r="G26" s="27" t="s">
        <v>3225</v>
      </c>
    </row>
    <row r="27" customFormat="false" ht="41.25" hidden="false" customHeight="true" outlineLevel="0" collapsed="false">
      <c r="A27" s="27" t="s">
        <v>3228</v>
      </c>
      <c r="B27" s="45" t="s">
        <v>3229</v>
      </c>
      <c r="C27" s="45"/>
      <c r="D27" s="45"/>
      <c r="E27" s="45"/>
      <c r="F27" s="45"/>
      <c r="G27" s="27" t="s">
        <v>3230</v>
      </c>
    </row>
    <row r="28" customFormat="false" ht="27.75" hidden="false" customHeight="true" outlineLevel="0" collapsed="false">
      <c r="A28" s="27" t="s">
        <v>3231</v>
      </c>
      <c r="B28" s="45" t="s">
        <v>3232</v>
      </c>
      <c r="C28" s="45"/>
      <c r="D28" s="45"/>
      <c r="E28" s="45"/>
      <c r="F28" s="45"/>
      <c r="G28" s="27" t="s">
        <v>3233</v>
      </c>
    </row>
    <row r="29" customFormat="false" ht="41.25" hidden="false" customHeight="true" outlineLevel="0" collapsed="false">
      <c r="A29" s="27" t="s">
        <v>3234</v>
      </c>
      <c r="B29" s="45" t="s">
        <v>3235</v>
      </c>
      <c r="C29" s="45"/>
      <c r="D29" s="45"/>
      <c r="E29" s="45"/>
      <c r="F29" s="45"/>
      <c r="G29" s="1" t="s">
        <v>3236</v>
      </c>
    </row>
    <row r="30" customFormat="false" ht="41.25" hidden="false" customHeight="true" outlineLevel="0" collapsed="false">
      <c r="A30" s="27" t="s">
        <v>3237</v>
      </c>
      <c r="B30" s="45" t="s">
        <v>3238</v>
      </c>
      <c r="C30" s="45"/>
      <c r="D30" s="45"/>
      <c r="E30" s="45"/>
      <c r="F30" s="45"/>
      <c r="G30" s="27" t="s">
        <v>4899</v>
      </c>
    </row>
    <row r="31" customFormat="false" ht="27.75" hidden="false" customHeight="true" outlineLevel="0" collapsed="false">
      <c r="A31" s="27" t="s">
        <v>3240</v>
      </c>
      <c r="B31" s="45" t="s">
        <v>3241</v>
      </c>
      <c r="C31" s="45"/>
      <c r="D31" s="45"/>
      <c r="E31" s="45"/>
      <c r="F31" s="45"/>
      <c r="G31" s="27" t="s">
        <v>4900</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8">
    <mergeCell ref="A1:G1"/>
    <mergeCell ref="B25:F25"/>
    <mergeCell ref="B26:F26"/>
    <mergeCell ref="B27:F27"/>
    <mergeCell ref="B28:F28"/>
    <mergeCell ref="B29:F29"/>
    <mergeCell ref="B30:F30"/>
    <mergeCell ref="B31:F3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4901</v>
      </c>
      <c r="B1" s="43"/>
      <c r="C1" s="43"/>
      <c r="D1" s="43"/>
      <c r="E1" s="43"/>
      <c r="F1" s="43"/>
      <c r="G1" s="43"/>
    </row>
    <row r="2" customFormat="false" ht="31.5" hidden="false" customHeight="true" outlineLevel="0" collapsed="false">
      <c r="A2" s="44" t="s">
        <v>3789</v>
      </c>
      <c r="B2" s="44" t="s">
        <v>4302</v>
      </c>
      <c r="C2" s="44" t="s">
        <v>4902</v>
      </c>
      <c r="D2" s="44" t="s">
        <v>4604</v>
      </c>
      <c r="E2" s="44" t="s">
        <v>4605</v>
      </c>
      <c r="F2" s="44" t="s">
        <v>4306</v>
      </c>
      <c r="G2" s="44" t="s">
        <v>4</v>
      </c>
    </row>
    <row r="3" customFormat="false" ht="39.75" hidden="false" customHeight="true" outlineLevel="0" collapsed="false">
      <c r="A3" s="27"/>
      <c r="B3" s="27"/>
      <c r="C3" s="27"/>
      <c r="D3" s="27"/>
      <c r="E3" s="27"/>
      <c r="F3" s="27"/>
      <c r="G3" s="27"/>
    </row>
    <row r="4" customFormat="false" ht="43.5" hidden="false" customHeight="true" outlineLevel="0" collapsed="false">
      <c r="A4" s="27" t="s">
        <v>4903</v>
      </c>
      <c r="B4" s="27" t="s">
        <v>4904</v>
      </c>
      <c r="C4" s="27" t="s">
        <v>4905</v>
      </c>
      <c r="D4" s="27" t="s">
        <v>4906</v>
      </c>
      <c r="E4" s="27" t="s">
        <v>4907</v>
      </c>
      <c r="F4" s="27" t="s">
        <v>4908</v>
      </c>
      <c r="G4" s="27" t="s">
        <v>4909</v>
      </c>
    </row>
    <row r="5" customFormat="false" ht="43.5" hidden="false" customHeight="true" outlineLevel="0" collapsed="false">
      <c r="A5" s="27" t="s">
        <v>4903</v>
      </c>
      <c r="B5" s="27" t="s">
        <v>4910</v>
      </c>
      <c r="C5" s="27" t="s">
        <v>4911</v>
      </c>
      <c r="D5" s="27" t="s">
        <v>4912</v>
      </c>
      <c r="E5" s="27" t="s">
        <v>4913</v>
      </c>
      <c r="F5" s="27" t="s">
        <v>4914</v>
      </c>
      <c r="G5" s="27" t="s">
        <v>4909</v>
      </c>
    </row>
    <row r="6" customFormat="false" ht="43.5" hidden="false" customHeight="true" outlineLevel="0" collapsed="false">
      <c r="A6" s="27" t="s">
        <v>4637</v>
      </c>
      <c r="B6" s="27" t="s">
        <v>4915</v>
      </c>
      <c r="C6" s="27" t="s">
        <v>4916</v>
      </c>
      <c r="D6" s="27" t="s">
        <v>4917</v>
      </c>
      <c r="E6" s="27" t="s">
        <v>4918</v>
      </c>
      <c r="F6" s="27" t="s">
        <v>4919</v>
      </c>
      <c r="G6" s="27" t="s">
        <v>4920</v>
      </c>
    </row>
    <row r="7" customFormat="false" ht="43.5" hidden="false" customHeight="true" outlineLevel="0" collapsed="false">
      <c r="A7" s="27" t="s">
        <v>4921</v>
      </c>
      <c r="B7" s="27" t="s">
        <v>4282</v>
      </c>
      <c r="C7" s="27" t="s">
        <v>4922</v>
      </c>
      <c r="D7" s="27" t="s">
        <v>4923</v>
      </c>
      <c r="E7" s="27" t="s">
        <v>4924</v>
      </c>
      <c r="F7" s="27" t="s">
        <v>4925</v>
      </c>
      <c r="G7" s="27" t="s">
        <v>4926</v>
      </c>
    </row>
    <row r="8" customFormat="false" ht="43.5" hidden="false" customHeight="true" outlineLevel="0" collapsed="false">
      <c r="A8" s="27" t="s">
        <v>1265</v>
      </c>
      <c r="B8" s="27" t="s">
        <v>4927</v>
      </c>
      <c r="C8" s="27" t="s">
        <v>4845</v>
      </c>
      <c r="D8" s="27" t="s">
        <v>4928</v>
      </c>
      <c r="E8" s="27" t="s">
        <v>4929</v>
      </c>
      <c r="F8" s="27" t="s">
        <v>4930</v>
      </c>
      <c r="G8" s="27" t="s">
        <v>4931</v>
      </c>
    </row>
    <row r="9" customFormat="false" ht="43.5" hidden="false" customHeight="true" outlineLevel="0" collapsed="false">
      <c r="A9" s="27" t="s">
        <v>1517</v>
      </c>
      <c r="B9" s="27" t="s">
        <v>4844</v>
      </c>
      <c r="C9" s="27" t="s">
        <v>4932</v>
      </c>
      <c r="D9" s="27" t="s">
        <v>4933</v>
      </c>
      <c r="E9" s="27" t="s">
        <v>4934</v>
      </c>
      <c r="F9" s="27" t="s">
        <v>4935</v>
      </c>
      <c r="G9" s="27" t="s">
        <v>4936</v>
      </c>
    </row>
    <row r="10" customFormat="false" ht="43.5" hidden="false" customHeight="true" outlineLevel="0" collapsed="false">
      <c r="A10" s="27" t="s">
        <v>4937</v>
      </c>
      <c r="B10" s="27" t="s">
        <v>4938</v>
      </c>
      <c r="C10" s="27" t="s">
        <v>4939</v>
      </c>
      <c r="D10" s="27" t="s">
        <v>4940</v>
      </c>
      <c r="E10" s="27" t="s">
        <v>4941</v>
      </c>
      <c r="F10" s="27" t="s">
        <v>4942</v>
      </c>
      <c r="G10" s="27" t="s">
        <v>4943</v>
      </c>
    </row>
    <row r="11" customFormat="false" ht="43.5" hidden="false" customHeight="true" outlineLevel="0" collapsed="false">
      <c r="A11" s="27" t="s">
        <v>4937</v>
      </c>
      <c r="B11" s="27" t="s">
        <v>4944</v>
      </c>
      <c r="C11" s="27" t="s">
        <v>4945</v>
      </c>
      <c r="D11" s="27" t="s">
        <v>4946</v>
      </c>
      <c r="E11" s="27" t="s">
        <v>4947</v>
      </c>
      <c r="F11" s="27" t="s">
        <v>4948</v>
      </c>
      <c r="G11" s="27" t="s">
        <v>4949</v>
      </c>
    </row>
    <row r="12" customFormat="false" ht="43.5" hidden="false" customHeight="true" outlineLevel="0" collapsed="false">
      <c r="A12" s="27" t="s">
        <v>4667</v>
      </c>
      <c r="B12" s="27" t="s">
        <v>4950</v>
      </c>
      <c r="C12" s="27" t="s">
        <v>4951</v>
      </c>
      <c r="D12" s="27" t="s">
        <v>4946</v>
      </c>
      <c r="E12" s="27" t="s">
        <v>4952</v>
      </c>
      <c r="F12" s="27" t="s">
        <v>4948</v>
      </c>
      <c r="G12" s="27" t="s">
        <v>4949</v>
      </c>
    </row>
    <row r="13" customFormat="false" ht="43.5" hidden="false" customHeight="true" outlineLevel="0" collapsed="false">
      <c r="A13" s="27" t="s">
        <v>3907</v>
      </c>
      <c r="B13" s="27" t="s">
        <v>4953</v>
      </c>
      <c r="C13" s="27" t="s">
        <v>4954</v>
      </c>
      <c r="D13" s="27" t="s">
        <v>4955</v>
      </c>
      <c r="E13" s="27" t="s">
        <v>4956</v>
      </c>
      <c r="F13" s="27" t="s">
        <v>3975</v>
      </c>
      <c r="G13" s="27" t="s">
        <v>4843</v>
      </c>
    </row>
    <row r="14" customFormat="false" ht="43.5" hidden="false" customHeight="true" outlineLevel="0" collapsed="false">
      <c r="A14" s="27" t="s">
        <v>3907</v>
      </c>
      <c r="B14" s="27" t="s">
        <v>4484</v>
      </c>
      <c r="C14" s="27" t="s">
        <v>4957</v>
      </c>
      <c r="D14" s="27" t="s">
        <v>4958</v>
      </c>
      <c r="E14" s="27" t="s">
        <v>4959</v>
      </c>
      <c r="F14" s="27" t="s">
        <v>4375</v>
      </c>
      <c r="G14" s="27" t="s">
        <v>4960</v>
      </c>
    </row>
    <row r="15" customFormat="false" ht="43.5" hidden="false" customHeight="true" outlineLevel="0" collapsed="false">
      <c r="A15" s="27" t="s">
        <v>3907</v>
      </c>
      <c r="B15" s="27" t="s">
        <v>4961</v>
      </c>
      <c r="C15" s="27" t="s">
        <v>4962</v>
      </c>
      <c r="D15" s="27" t="s">
        <v>4963</v>
      </c>
      <c r="E15" s="27" t="s">
        <v>4964</v>
      </c>
      <c r="F15" s="27" t="s">
        <v>4375</v>
      </c>
      <c r="G15" s="27" t="s">
        <v>4960</v>
      </c>
    </row>
    <row r="16" customFormat="false" ht="43.5" hidden="false" customHeight="true" outlineLevel="0" collapsed="false">
      <c r="A16" s="27" t="s">
        <v>3907</v>
      </c>
      <c r="B16" s="27" t="s">
        <v>4444</v>
      </c>
      <c r="C16" s="27" t="s">
        <v>4965</v>
      </c>
      <c r="D16" s="27" t="s">
        <v>4966</v>
      </c>
      <c r="E16" s="27" t="s">
        <v>4967</v>
      </c>
      <c r="F16" s="27" t="s">
        <v>4375</v>
      </c>
      <c r="G16" s="27" t="s">
        <v>4960</v>
      </c>
    </row>
    <row r="17" customFormat="false" ht="43.5" hidden="false" customHeight="true" outlineLevel="0" collapsed="false">
      <c r="A17" s="27" t="s">
        <v>3907</v>
      </c>
      <c r="B17" s="27" t="s">
        <v>4968</v>
      </c>
      <c r="C17" s="27" t="s">
        <v>4969</v>
      </c>
      <c r="D17" s="27" t="s">
        <v>4970</v>
      </c>
      <c r="E17" s="27" t="s">
        <v>4971</v>
      </c>
      <c r="F17" s="27" t="s">
        <v>4375</v>
      </c>
      <c r="G17" s="27" t="s">
        <v>4960</v>
      </c>
    </row>
    <row r="18" customFormat="false" ht="43.5" hidden="false" customHeight="true" outlineLevel="0" collapsed="false">
      <c r="A18" s="27" t="s">
        <v>3907</v>
      </c>
      <c r="B18" s="27" t="s">
        <v>4972</v>
      </c>
      <c r="C18" s="27" t="s">
        <v>4973</v>
      </c>
      <c r="D18" s="27" t="s">
        <v>4974</v>
      </c>
      <c r="E18" s="27" t="s">
        <v>4975</v>
      </c>
      <c r="F18" s="27" t="s">
        <v>4976</v>
      </c>
      <c r="G18" s="27" t="s">
        <v>4960</v>
      </c>
    </row>
    <row r="19" customFormat="false" ht="43.5" hidden="false" customHeight="true" outlineLevel="0" collapsed="false">
      <c r="A19" s="27" t="s">
        <v>4793</v>
      </c>
      <c r="B19" s="27" t="s">
        <v>4977</v>
      </c>
      <c r="C19" s="27" t="s">
        <v>4978</v>
      </c>
      <c r="D19" s="27" t="s">
        <v>4979</v>
      </c>
      <c r="E19" s="27" t="s">
        <v>4980</v>
      </c>
      <c r="F19" s="27" t="s">
        <v>4981</v>
      </c>
      <c r="G19" s="27" t="s">
        <v>3687</v>
      </c>
    </row>
    <row r="20" customFormat="false" ht="43.5" hidden="false" customHeight="true" outlineLevel="0" collapsed="false">
      <c r="A20" s="27" t="s">
        <v>4793</v>
      </c>
      <c r="B20" s="27" t="s">
        <v>4982</v>
      </c>
      <c r="C20" s="27" t="s">
        <v>4983</v>
      </c>
      <c r="D20" s="27" t="s">
        <v>4984</v>
      </c>
      <c r="E20" s="27" t="s">
        <v>4985</v>
      </c>
      <c r="F20" s="27" t="s">
        <v>4986</v>
      </c>
      <c r="G20" s="27" t="s">
        <v>3687</v>
      </c>
    </row>
    <row r="21" customFormat="false" ht="43.5" hidden="false" customHeight="true" outlineLevel="0" collapsed="false">
      <c r="A21" s="27" t="s">
        <v>4987</v>
      </c>
      <c r="B21" s="27" t="s">
        <v>4988</v>
      </c>
      <c r="C21" s="27" t="s">
        <v>4989</v>
      </c>
      <c r="D21" s="27" t="s">
        <v>4990</v>
      </c>
      <c r="E21" s="27" t="s">
        <v>4991</v>
      </c>
      <c r="F21" s="27" t="s">
        <v>4948</v>
      </c>
      <c r="G21" s="27" t="s">
        <v>3687</v>
      </c>
    </row>
    <row r="22" customFormat="false" ht="43.5" hidden="false" customHeight="true" outlineLevel="0" collapsed="false">
      <c r="A22" s="27" t="s">
        <v>4803</v>
      </c>
      <c r="B22" s="27" t="s">
        <v>4992</v>
      </c>
      <c r="C22" s="27" t="s">
        <v>4993</v>
      </c>
      <c r="D22" s="27" t="s">
        <v>4994</v>
      </c>
      <c r="E22" s="27" t="s">
        <v>4995</v>
      </c>
      <c r="F22" s="27" t="s">
        <v>4996</v>
      </c>
      <c r="G22" s="27" t="s">
        <v>4997</v>
      </c>
    </row>
    <row r="23" customFormat="false" ht="43.5" hidden="false" customHeight="true" outlineLevel="0" collapsed="false">
      <c r="A23" s="27" t="s">
        <v>4803</v>
      </c>
      <c r="B23" s="27" t="s">
        <v>4998</v>
      </c>
      <c r="C23" s="27" t="s">
        <v>4999</v>
      </c>
      <c r="D23" s="27" t="s">
        <v>5000</v>
      </c>
      <c r="E23" s="27" t="s">
        <v>5001</v>
      </c>
      <c r="F23" s="27" t="s">
        <v>5002</v>
      </c>
      <c r="G23" s="27" t="s">
        <v>4426</v>
      </c>
    </row>
    <row r="24" customFormat="false" ht="43.5" hidden="false" customHeight="true" outlineLevel="0" collapsed="false">
      <c r="A24" s="27"/>
      <c r="B24" s="27"/>
      <c r="C24" s="27"/>
      <c r="D24" s="27"/>
      <c r="E24" s="27"/>
      <c r="F24" s="27"/>
      <c r="G24" s="27"/>
    </row>
    <row r="25" customFormat="false" ht="27.75" hidden="false" customHeight="true" outlineLevel="0" collapsed="false">
      <c r="A25" s="27" t="s">
        <v>5003</v>
      </c>
      <c r="B25" s="34"/>
      <c r="G25" s="27"/>
    </row>
    <row r="26" customFormat="false" ht="42" hidden="false" customHeight="true" outlineLevel="0" collapsed="false">
      <c r="A26" s="27" t="s">
        <v>3243</v>
      </c>
      <c r="B26" s="45" t="s">
        <v>3244</v>
      </c>
      <c r="C26" s="45"/>
      <c r="D26" s="45"/>
      <c r="E26" s="45"/>
      <c r="F26" s="45"/>
      <c r="G26" s="27" t="s">
        <v>3245</v>
      </c>
    </row>
    <row r="27" customFormat="false" ht="42" hidden="false" customHeight="true" outlineLevel="0" collapsed="false">
      <c r="A27" s="27" t="s">
        <v>3246</v>
      </c>
      <c r="B27" s="45" t="s">
        <v>3247</v>
      </c>
      <c r="C27" s="45"/>
      <c r="D27" s="45"/>
      <c r="E27" s="45"/>
      <c r="F27" s="45"/>
      <c r="G27" s="27" t="s">
        <v>3248</v>
      </c>
    </row>
    <row r="28" customFormat="false" ht="42" hidden="false" customHeight="true" outlineLevel="0" collapsed="false">
      <c r="A28" s="27" t="s">
        <v>3249</v>
      </c>
      <c r="B28" s="45" t="s">
        <v>3250</v>
      </c>
      <c r="C28" s="45"/>
      <c r="D28" s="45"/>
      <c r="E28" s="45"/>
      <c r="F28" s="45"/>
      <c r="G28" s="27" t="s">
        <v>3251</v>
      </c>
    </row>
    <row r="29" customFormat="false" ht="42" hidden="false" customHeight="true" outlineLevel="0" collapsed="false">
      <c r="A29" s="27" t="s">
        <v>3252</v>
      </c>
      <c r="B29" s="45" t="s">
        <v>3253</v>
      </c>
      <c r="C29" s="45"/>
      <c r="D29" s="45"/>
      <c r="E29" s="45"/>
      <c r="F29" s="45"/>
      <c r="G29" s="1" t="s">
        <v>3254</v>
      </c>
    </row>
    <row r="30" customFormat="false" ht="42" hidden="false" customHeight="true" outlineLevel="0" collapsed="false">
      <c r="A30" s="27" t="s">
        <v>3255</v>
      </c>
      <c r="B30" s="45" t="s">
        <v>3256</v>
      </c>
      <c r="C30" s="45"/>
      <c r="D30" s="45"/>
      <c r="E30" s="45"/>
      <c r="F30" s="45"/>
      <c r="G30" s="27" t="s">
        <v>3257</v>
      </c>
    </row>
    <row r="31" customFormat="false" ht="42" hidden="false" customHeight="true" outlineLevel="0" collapsed="false">
      <c r="A31" s="27" t="s">
        <v>3258</v>
      </c>
      <c r="B31" s="45" t="s">
        <v>3259</v>
      </c>
      <c r="C31" s="45"/>
      <c r="D31" s="45"/>
      <c r="E31" s="45"/>
      <c r="F31" s="45"/>
      <c r="G31" s="27" t="s">
        <v>3260</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7">
    <mergeCell ref="A1:G1"/>
    <mergeCell ref="B26:F26"/>
    <mergeCell ref="B27:F27"/>
    <mergeCell ref="B28:F28"/>
    <mergeCell ref="B29:F29"/>
    <mergeCell ref="B30:F30"/>
    <mergeCell ref="B31:F3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5004</v>
      </c>
      <c r="B1" s="47"/>
      <c r="C1" s="47"/>
      <c r="D1" s="47"/>
      <c r="E1" s="47"/>
      <c r="F1" s="47"/>
      <c r="G1" s="47"/>
    </row>
    <row r="2" customFormat="false" ht="36" hidden="false" customHeight="true" outlineLevel="0" collapsed="false">
      <c r="A2" s="48" t="s">
        <v>3789</v>
      </c>
      <c r="B2" s="48" t="s">
        <v>5005</v>
      </c>
      <c r="C2" s="48" t="s">
        <v>5006</v>
      </c>
      <c r="D2" s="48" t="s">
        <v>5007</v>
      </c>
      <c r="E2" s="48" t="s">
        <v>5008</v>
      </c>
      <c r="F2" s="48" t="s">
        <v>5009</v>
      </c>
      <c r="G2" s="48" t="s">
        <v>4</v>
      </c>
    </row>
    <row r="3" customFormat="false" ht="39.75" hidden="false" customHeight="true" outlineLevel="0" collapsed="false">
      <c r="A3" s="27"/>
      <c r="B3" s="27"/>
      <c r="C3" s="27"/>
      <c r="D3" s="27"/>
      <c r="E3" s="27"/>
      <c r="F3" s="27"/>
      <c r="G3" s="27"/>
    </row>
    <row r="4" customFormat="false" ht="48" hidden="false" customHeight="true" outlineLevel="0" collapsed="false">
      <c r="A4" s="49" t="s">
        <v>5010</v>
      </c>
      <c r="B4" s="49" t="s">
        <v>5011</v>
      </c>
      <c r="C4" s="49" t="s">
        <v>5012</v>
      </c>
      <c r="D4" s="49" t="s">
        <v>5013</v>
      </c>
      <c r="E4" s="49" t="s">
        <v>5014</v>
      </c>
      <c r="F4" s="49" t="s">
        <v>5015</v>
      </c>
      <c r="G4" s="49" t="s">
        <v>5016</v>
      </c>
    </row>
    <row r="5" customFormat="false" ht="48" hidden="false" customHeight="true" outlineLevel="0" collapsed="false">
      <c r="A5" s="49" t="s">
        <v>5010</v>
      </c>
      <c r="B5" s="49" t="s">
        <v>5017</v>
      </c>
      <c r="C5" s="49" t="s">
        <v>5018</v>
      </c>
      <c r="D5" s="49" t="s">
        <v>5019</v>
      </c>
      <c r="E5" s="49" t="s">
        <v>5020</v>
      </c>
      <c r="F5" s="49" t="s">
        <v>5021</v>
      </c>
      <c r="G5" s="49" t="s">
        <v>5016</v>
      </c>
    </row>
    <row r="6" customFormat="false" ht="48" hidden="false" customHeight="true" outlineLevel="0" collapsed="false">
      <c r="A6" s="49" t="s">
        <v>5022</v>
      </c>
      <c r="B6" s="49" t="s">
        <v>5023</v>
      </c>
      <c r="C6" s="49" t="s">
        <v>5024</v>
      </c>
      <c r="D6" s="49" t="s">
        <v>5025</v>
      </c>
      <c r="E6" s="49" t="s">
        <v>5026</v>
      </c>
      <c r="F6" s="49" t="s">
        <v>5027</v>
      </c>
      <c r="G6" s="49" t="s">
        <v>5028</v>
      </c>
    </row>
    <row r="7" customFormat="false" ht="48" hidden="false" customHeight="true" outlineLevel="0" collapsed="false">
      <c r="A7" s="49" t="s">
        <v>5029</v>
      </c>
      <c r="B7" s="49" t="s">
        <v>5030</v>
      </c>
      <c r="C7" s="49" t="s">
        <v>5031</v>
      </c>
      <c r="D7" s="49" t="s">
        <v>5032</v>
      </c>
      <c r="E7" s="49" t="s">
        <v>5033</v>
      </c>
      <c r="F7" s="49" t="s">
        <v>5034</v>
      </c>
      <c r="G7" s="49" t="s">
        <v>5035</v>
      </c>
    </row>
    <row r="8" customFormat="false" ht="48" hidden="false" customHeight="true" outlineLevel="0" collapsed="false">
      <c r="A8" s="49" t="s">
        <v>5036</v>
      </c>
      <c r="B8" s="49" t="s">
        <v>5037</v>
      </c>
      <c r="C8" s="49" t="s">
        <v>5038</v>
      </c>
      <c r="D8" s="49" t="s">
        <v>5039</v>
      </c>
      <c r="E8" s="49" t="s">
        <v>5040</v>
      </c>
      <c r="F8" s="49" t="s">
        <v>5041</v>
      </c>
      <c r="G8" s="49" t="s">
        <v>5035</v>
      </c>
    </row>
    <row r="9" customFormat="false" ht="48" hidden="false" customHeight="true" outlineLevel="0" collapsed="false">
      <c r="A9" s="49" t="s">
        <v>5036</v>
      </c>
      <c r="B9" s="49" t="s">
        <v>5042</v>
      </c>
      <c r="C9" s="49" t="s">
        <v>5043</v>
      </c>
      <c r="D9" s="49" t="s">
        <v>5044</v>
      </c>
      <c r="E9" s="49" t="s">
        <v>5045</v>
      </c>
      <c r="F9" s="49" t="s">
        <v>5046</v>
      </c>
      <c r="G9" s="49" t="s">
        <v>5035</v>
      </c>
    </row>
    <row r="10" customFormat="false" ht="48" hidden="false" customHeight="true" outlineLevel="0" collapsed="false">
      <c r="A10" s="49" t="s">
        <v>94</v>
      </c>
      <c r="B10" s="49" t="s">
        <v>5047</v>
      </c>
      <c r="C10" s="49" t="s">
        <v>5048</v>
      </c>
      <c r="D10" s="49" t="s">
        <v>5049</v>
      </c>
      <c r="E10" s="49" t="s">
        <v>5050</v>
      </c>
      <c r="F10" s="49" t="s">
        <v>5051</v>
      </c>
      <c r="G10" s="49" t="s">
        <v>5052</v>
      </c>
    </row>
    <row r="11" customFormat="false" ht="48" hidden="false" customHeight="true" outlineLevel="0" collapsed="false">
      <c r="A11" s="49" t="s">
        <v>94</v>
      </c>
      <c r="B11" s="49" t="s">
        <v>5053</v>
      </c>
      <c r="C11" s="49" t="s">
        <v>5054</v>
      </c>
      <c r="D11" s="49" t="s">
        <v>5055</v>
      </c>
      <c r="E11" s="49" t="s">
        <v>5056</v>
      </c>
      <c r="F11" s="49" t="s">
        <v>5057</v>
      </c>
      <c r="G11" s="49" t="s">
        <v>5058</v>
      </c>
    </row>
    <row r="12" customFormat="false" ht="48" hidden="false" customHeight="true" outlineLevel="0" collapsed="false">
      <c r="A12" s="49" t="s">
        <v>195</v>
      </c>
      <c r="B12" s="49" t="s">
        <v>5059</v>
      </c>
      <c r="C12" s="49" t="s">
        <v>5060</v>
      </c>
      <c r="D12" s="49" t="s">
        <v>5061</v>
      </c>
      <c r="E12" s="49" t="s">
        <v>5062</v>
      </c>
      <c r="F12" s="49" t="s">
        <v>5063</v>
      </c>
      <c r="G12" s="49" t="s">
        <v>5064</v>
      </c>
    </row>
    <row r="13" customFormat="false" ht="48" hidden="false" customHeight="true" outlineLevel="0" collapsed="false">
      <c r="A13" s="49" t="s">
        <v>5065</v>
      </c>
      <c r="B13" s="49" t="s">
        <v>5066</v>
      </c>
      <c r="C13" s="49" t="s">
        <v>5067</v>
      </c>
      <c r="D13" s="49" t="s">
        <v>5068</v>
      </c>
      <c r="E13" s="49" t="s">
        <v>5069</v>
      </c>
      <c r="F13" s="49" t="s">
        <v>5070</v>
      </c>
      <c r="G13" s="49" t="s">
        <v>5071</v>
      </c>
    </row>
    <row r="14" customFormat="false" ht="48" hidden="false" customHeight="true" outlineLevel="0" collapsed="false">
      <c r="A14" s="49" t="s">
        <v>5065</v>
      </c>
      <c r="B14" s="49" t="s">
        <v>5072</v>
      </c>
      <c r="C14" s="49" t="s">
        <v>5073</v>
      </c>
      <c r="D14" s="49" t="s">
        <v>5074</v>
      </c>
      <c r="E14" s="49" t="s">
        <v>5075</v>
      </c>
      <c r="F14" s="49" t="s">
        <v>5076</v>
      </c>
      <c r="G14" s="49" t="s">
        <v>5077</v>
      </c>
    </row>
    <row r="15" customFormat="false" ht="48" hidden="false" customHeight="true" outlineLevel="0" collapsed="false">
      <c r="A15" s="49" t="s">
        <v>4192</v>
      </c>
      <c r="B15" s="49" t="s">
        <v>5078</v>
      </c>
      <c r="C15" s="49" t="s">
        <v>5079</v>
      </c>
      <c r="D15" s="49" t="s">
        <v>5080</v>
      </c>
      <c r="E15" s="49" t="s">
        <v>5081</v>
      </c>
      <c r="F15" s="49" t="s">
        <v>5082</v>
      </c>
      <c r="G15" s="49" t="s">
        <v>5064</v>
      </c>
    </row>
    <row r="16" customFormat="false" ht="48" hidden="false" customHeight="true" outlineLevel="0" collapsed="false">
      <c r="A16" s="49" t="s">
        <v>5083</v>
      </c>
      <c r="B16" s="49" t="s">
        <v>5084</v>
      </c>
      <c r="C16" s="49" t="s">
        <v>5085</v>
      </c>
      <c r="D16" s="49" t="s">
        <v>5086</v>
      </c>
      <c r="E16" s="49" t="s">
        <v>5087</v>
      </c>
      <c r="F16" s="49" t="s">
        <v>5088</v>
      </c>
      <c r="G16" s="49" t="s">
        <v>5089</v>
      </c>
    </row>
    <row r="17" customFormat="false" ht="48" hidden="false" customHeight="true" outlineLevel="0" collapsed="false">
      <c r="A17" s="49" t="s">
        <v>5090</v>
      </c>
      <c r="B17" s="49" t="s">
        <v>5091</v>
      </c>
      <c r="C17" s="49" t="s">
        <v>5092</v>
      </c>
      <c r="D17" s="49" t="s">
        <v>5093</v>
      </c>
      <c r="E17" s="49" t="s">
        <v>5094</v>
      </c>
      <c r="F17" s="49" t="s">
        <v>5095</v>
      </c>
      <c r="G17" s="49" t="s">
        <v>5096</v>
      </c>
    </row>
    <row r="18" customFormat="false" ht="48" hidden="false" customHeight="true" outlineLevel="0" collapsed="false">
      <c r="A18" s="49" t="s">
        <v>5097</v>
      </c>
      <c r="B18" s="49" t="s">
        <v>5098</v>
      </c>
      <c r="C18" s="49" t="s">
        <v>5099</v>
      </c>
      <c r="D18" s="49" t="s">
        <v>5100</v>
      </c>
      <c r="E18" s="49" t="s">
        <v>5101</v>
      </c>
      <c r="F18" s="49" t="s">
        <v>5102</v>
      </c>
      <c r="G18" s="49" t="s">
        <v>5103</v>
      </c>
    </row>
    <row r="19" customFormat="false" ht="48" hidden="false" customHeight="true" outlineLevel="0" collapsed="false">
      <c r="A19" s="49" t="s">
        <v>4803</v>
      </c>
      <c r="B19" s="49" t="s">
        <v>4992</v>
      </c>
      <c r="C19" s="49" t="s">
        <v>5104</v>
      </c>
      <c r="D19" s="49" t="s">
        <v>5105</v>
      </c>
      <c r="E19" s="49" t="s">
        <v>5106</v>
      </c>
      <c r="F19" s="49" t="s">
        <v>5107</v>
      </c>
      <c r="G19" s="49" t="s">
        <v>5108</v>
      </c>
    </row>
    <row r="20" customFormat="false" ht="43.5" hidden="false" customHeight="true" outlineLevel="0" collapsed="false">
      <c r="A20" s="27"/>
      <c r="B20" s="27"/>
      <c r="C20" s="27"/>
      <c r="D20" s="27"/>
      <c r="E20" s="27"/>
      <c r="F20" s="27"/>
      <c r="G20" s="27"/>
    </row>
    <row r="21" customFormat="false" ht="43.5" hidden="false" customHeight="true" outlineLevel="0" collapsed="false">
      <c r="A21" s="27"/>
      <c r="B21" s="27"/>
      <c r="C21" s="27"/>
      <c r="D21" s="27"/>
      <c r="E21" s="27"/>
      <c r="F21" s="27"/>
      <c r="G21" s="27"/>
    </row>
    <row r="22" customFormat="false" ht="25.5" hidden="false" customHeight="true" outlineLevel="0" collapsed="false">
      <c r="A22" s="50" t="s">
        <v>5109</v>
      </c>
      <c r="B22" s="50"/>
      <c r="C22" s="50"/>
      <c r="D22" s="50"/>
      <c r="E22" s="50"/>
      <c r="F22" s="50"/>
      <c r="G22" s="50"/>
      <c r="H22" s="50"/>
      <c r="I22" s="50"/>
      <c r="J22" s="50"/>
      <c r="K22" s="50"/>
      <c r="L22" s="50"/>
      <c r="M22" s="50"/>
      <c r="N22" s="50"/>
      <c r="O22" s="50"/>
      <c r="P22" s="50"/>
      <c r="Q22" s="50"/>
    </row>
    <row r="23" customFormat="false" ht="36" hidden="false" customHeight="true" outlineLevel="0" collapsed="false">
      <c r="A23" s="48" t="s">
        <v>5110</v>
      </c>
      <c r="B23" s="48" t="s">
        <v>36</v>
      </c>
      <c r="C23" s="48" t="s">
        <v>103</v>
      </c>
      <c r="D23" s="48" t="s">
        <v>97</v>
      </c>
      <c r="E23" s="48" t="s">
        <v>108</v>
      </c>
      <c r="F23" s="48" t="s">
        <v>5111</v>
      </c>
      <c r="G23" s="48" t="s">
        <v>172</v>
      </c>
      <c r="H23" s="48" t="s">
        <v>1263</v>
      </c>
      <c r="I23" s="48" t="s">
        <v>5112</v>
      </c>
      <c r="J23" s="48" t="s">
        <v>5113</v>
      </c>
      <c r="K23" s="48" t="s">
        <v>5114</v>
      </c>
      <c r="L23" s="48" t="s">
        <v>5115</v>
      </c>
      <c r="M23" s="48" t="s">
        <v>5116</v>
      </c>
      <c r="N23" s="48" t="s">
        <v>5117</v>
      </c>
      <c r="O23" s="48" t="s">
        <v>5118</v>
      </c>
      <c r="P23" s="48" t="s">
        <v>5119</v>
      </c>
      <c r="Q23" s="48" t="s">
        <v>4</v>
      </c>
    </row>
    <row r="24" customFormat="false" ht="42" hidden="false" customHeight="true" outlineLevel="0" collapsed="false">
      <c r="A24" s="49" t="s">
        <v>5120</v>
      </c>
      <c r="B24" s="49" t="n">
        <v>13</v>
      </c>
      <c r="C24" s="49" t="n">
        <v>5</v>
      </c>
      <c r="D24" s="49" t="n">
        <v>0</v>
      </c>
      <c r="E24" s="49" t="n">
        <v>3</v>
      </c>
      <c r="F24" s="49" t="n">
        <v>1</v>
      </c>
      <c r="G24" s="49" t="n">
        <v>0</v>
      </c>
      <c r="H24" s="49" t="n">
        <v>6</v>
      </c>
      <c r="I24" s="49" t="n">
        <v>3</v>
      </c>
      <c r="J24" s="49" t="n">
        <f aca="false">H24-I24</f>
        <v>3</v>
      </c>
      <c r="K24" s="49" t="n">
        <v>2</v>
      </c>
      <c r="L24" s="49" t="n">
        <v>3</v>
      </c>
      <c r="M24" s="49" t="s">
        <v>5121</v>
      </c>
      <c r="N24" s="49" t="s">
        <v>5122</v>
      </c>
      <c r="O24" s="49" t="s">
        <v>5123</v>
      </c>
      <c r="P24" s="51" t="n">
        <v>0.6021253241</v>
      </c>
      <c r="Q24" s="49" t="s">
        <v>3907</v>
      </c>
    </row>
    <row r="25" customFormat="false" ht="42" hidden="false" customHeight="true" outlineLevel="0" collapsed="false">
      <c r="A25" s="52" t="s">
        <v>5124</v>
      </c>
      <c r="B25" s="52" t="n">
        <v>14</v>
      </c>
      <c r="C25" s="52" t="n">
        <v>5</v>
      </c>
      <c r="D25" s="52" t="n">
        <v>0</v>
      </c>
      <c r="E25" s="52" t="n">
        <v>3</v>
      </c>
      <c r="F25" s="52" t="n">
        <v>1</v>
      </c>
      <c r="G25" s="52" t="n">
        <v>0</v>
      </c>
      <c r="H25" s="52" t="n">
        <v>6</v>
      </c>
      <c r="I25" s="52" t="n">
        <v>3</v>
      </c>
      <c r="J25" s="52" t="n">
        <f aca="false">H25-I25</f>
        <v>3</v>
      </c>
      <c r="K25" s="52" t="n">
        <v>2</v>
      </c>
      <c r="L25" s="52" t="n">
        <v>3</v>
      </c>
      <c r="M25" s="52" t="s">
        <v>5125</v>
      </c>
      <c r="N25" s="52" t="s">
        <v>5126</v>
      </c>
      <c r="O25" s="52" t="s">
        <v>5127</v>
      </c>
      <c r="P25" s="53" t="n">
        <v>0.666836312</v>
      </c>
      <c r="Q25" s="52" t="s">
        <v>5128</v>
      </c>
    </row>
    <row r="26" customFormat="false" ht="42" hidden="false" customHeight="true" outlineLevel="0" collapsed="false">
      <c r="A26" s="49" t="s">
        <v>5129</v>
      </c>
      <c r="B26" s="49" t="n">
        <v>14</v>
      </c>
      <c r="C26" s="49" t="n">
        <v>6</v>
      </c>
      <c r="D26" s="49" t="n">
        <v>0</v>
      </c>
      <c r="E26" s="49" t="n">
        <v>3</v>
      </c>
      <c r="F26" s="49" t="n">
        <v>1</v>
      </c>
      <c r="G26" s="49" t="n">
        <v>0</v>
      </c>
      <c r="H26" s="49" t="n">
        <v>6</v>
      </c>
      <c r="I26" s="49" t="n">
        <v>3</v>
      </c>
      <c r="J26" s="49" t="n">
        <f aca="false">H26-I26</f>
        <v>3</v>
      </c>
      <c r="K26" s="49" t="n">
        <v>2</v>
      </c>
      <c r="L26" s="49" t="n">
        <v>3</v>
      </c>
      <c r="M26" s="49" t="s">
        <v>5126</v>
      </c>
      <c r="N26" s="49" t="s">
        <v>5130</v>
      </c>
      <c r="O26" s="49" t="s">
        <v>5131</v>
      </c>
      <c r="P26" s="51" t="n">
        <v>0.6544162602</v>
      </c>
      <c r="Q26" s="49" t="s">
        <v>5132</v>
      </c>
    </row>
    <row r="27" customFormat="false" ht="42" hidden="false" customHeight="true" outlineLevel="0" collapsed="false">
      <c r="A27" s="27"/>
      <c r="B27" s="34"/>
      <c r="G27" s="27"/>
    </row>
    <row r="28" customFormat="false" ht="42" hidden="false" customHeight="true" outlineLevel="0" collapsed="false">
      <c r="A28" s="27"/>
      <c r="B28" s="34"/>
      <c r="G28" s="27"/>
    </row>
    <row r="29" customFormat="false" ht="25.5" hidden="false" customHeight="true" outlineLevel="0" collapsed="false">
      <c r="A29" s="50" t="s">
        <v>5133</v>
      </c>
      <c r="B29" s="50"/>
      <c r="C29" s="50"/>
      <c r="D29" s="50"/>
      <c r="E29" s="50"/>
      <c r="F29" s="50"/>
      <c r="G29" s="50"/>
      <c r="H29" s="50"/>
      <c r="I29" s="50"/>
      <c r="J29" s="50"/>
      <c r="K29" s="50"/>
      <c r="L29" s="50"/>
      <c r="M29" s="50"/>
      <c r="N29" s="50"/>
      <c r="O29" s="50"/>
      <c r="P29" s="50"/>
      <c r="Q29" s="50"/>
    </row>
    <row r="30" customFormat="false" ht="49.5" hidden="false" customHeight="true" outlineLevel="0" collapsed="false">
      <c r="A30" s="54" t="s">
        <v>3261</v>
      </c>
      <c r="B30" s="54" t="s">
        <v>3262</v>
      </c>
      <c r="C30" s="54"/>
      <c r="D30" s="54"/>
      <c r="E30" s="54"/>
      <c r="F30" s="54"/>
      <c r="G30" s="54"/>
      <c r="H30" s="54"/>
      <c r="I30" s="54"/>
      <c r="J30" s="54"/>
      <c r="K30" s="54"/>
      <c r="L30" s="54"/>
      <c r="M30" s="54"/>
      <c r="N30" s="54"/>
      <c r="O30" s="54"/>
      <c r="P30" s="54"/>
      <c r="Q30" s="54" t="s">
        <v>3263</v>
      </c>
    </row>
    <row r="31" customFormat="false" ht="49.5" hidden="false" customHeight="true" outlineLevel="0" collapsed="false">
      <c r="A31" s="54" t="s">
        <v>3264</v>
      </c>
      <c r="B31" s="54" t="s">
        <v>3265</v>
      </c>
      <c r="C31" s="54"/>
      <c r="D31" s="54"/>
      <c r="E31" s="54"/>
      <c r="F31" s="54"/>
      <c r="G31" s="54"/>
      <c r="H31" s="54"/>
      <c r="I31" s="54"/>
      <c r="J31" s="54"/>
      <c r="K31" s="54"/>
      <c r="L31" s="54"/>
      <c r="M31" s="54"/>
      <c r="N31" s="54"/>
      <c r="O31" s="54"/>
      <c r="P31" s="54"/>
      <c r="Q31" s="54" t="s">
        <v>3266</v>
      </c>
    </row>
    <row r="32" customFormat="false" ht="49.5" hidden="false" customHeight="true" outlineLevel="0" collapsed="false">
      <c r="A32" s="54" t="s">
        <v>3267</v>
      </c>
      <c r="B32" s="54" t="s">
        <v>3268</v>
      </c>
      <c r="C32" s="54"/>
      <c r="D32" s="54"/>
      <c r="E32" s="54"/>
      <c r="F32" s="54"/>
      <c r="G32" s="54"/>
      <c r="H32" s="54"/>
      <c r="I32" s="54"/>
      <c r="J32" s="54"/>
      <c r="K32" s="54"/>
      <c r="L32" s="54"/>
      <c r="M32" s="54"/>
      <c r="N32" s="54"/>
      <c r="O32" s="54"/>
      <c r="P32" s="54"/>
      <c r="Q32" s="54" t="s">
        <v>3269</v>
      </c>
    </row>
    <row r="33" customFormat="false" ht="49.5" hidden="false" customHeight="true" outlineLevel="0" collapsed="false">
      <c r="A33" s="54" t="s">
        <v>3270</v>
      </c>
      <c r="B33" s="54" t="s">
        <v>3271</v>
      </c>
      <c r="C33" s="54"/>
      <c r="D33" s="54"/>
      <c r="E33" s="54"/>
      <c r="F33" s="54"/>
      <c r="G33" s="54"/>
      <c r="H33" s="54"/>
      <c r="I33" s="54"/>
      <c r="J33" s="54"/>
      <c r="K33" s="54"/>
      <c r="L33" s="54"/>
      <c r="M33" s="54"/>
      <c r="N33" s="54"/>
      <c r="O33" s="54"/>
      <c r="P33" s="54"/>
      <c r="Q33" s="54" t="s">
        <v>3272</v>
      </c>
    </row>
    <row r="34" customFormat="false" ht="49.5" hidden="false" customHeight="true" outlineLevel="0" collapsed="false">
      <c r="A34" s="54" t="s">
        <v>3273</v>
      </c>
      <c r="B34" s="54" t="s">
        <v>3274</v>
      </c>
      <c r="C34" s="54"/>
      <c r="D34" s="54"/>
      <c r="E34" s="54"/>
      <c r="F34" s="54"/>
      <c r="G34" s="54"/>
      <c r="H34" s="54"/>
      <c r="I34" s="54"/>
      <c r="J34" s="54"/>
      <c r="K34" s="54"/>
      <c r="L34" s="54"/>
      <c r="M34" s="54"/>
      <c r="N34" s="54"/>
      <c r="O34" s="54"/>
      <c r="P34" s="54"/>
      <c r="Q34" s="54" t="s">
        <v>3275</v>
      </c>
    </row>
    <row r="35" customFormat="false" ht="49.5" hidden="false" customHeight="true" outlineLevel="0" collapsed="false">
      <c r="A35" s="54" t="s">
        <v>3276</v>
      </c>
      <c r="B35" s="54" t="s">
        <v>3277</v>
      </c>
      <c r="C35" s="54"/>
      <c r="D35" s="54"/>
      <c r="E35" s="54"/>
      <c r="F35" s="54"/>
      <c r="G35" s="54"/>
      <c r="H35" s="54"/>
      <c r="I35" s="54"/>
      <c r="J35" s="54"/>
      <c r="K35" s="54"/>
      <c r="L35" s="54"/>
      <c r="M35" s="54"/>
      <c r="N35" s="54"/>
      <c r="O35" s="54"/>
      <c r="P35" s="54"/>
      <c r="Q35" s="54" t="s">
        <v>3278</v>
      </c>
    </row>
    <row r="36" customFormat="false" ht="49.5" hidden="false" customHeight="true" outlineLevel="0" collapsed="false">
      <c r="A36" s="54" t="s">
        <v>3279</v>
      </c>
      <c r="B36" s="54" t="s">
        <v>3280</v>
      </c>
      <c r="C36" s="54"/>
      <c r="D36" s="54"/>
      <c r="E36" s="54"/>
      <c r="F36" s="54"/>
      <c r="G36" s="54"/>
      <c r="H36" s="54"/>
      <c r="I36" s="54"/>
      <c r="J36" s="54"/>
      <c r="K36" s="54"/>
      <c r="L36" s="54"/>
      <c r="M36" s="54"/>
      <c r="N36" s="54"/>
      <c r="O36" s="54"/>
      <c r="P36" s="54"/>
      <c r="Q36" s="54" t="s">
        <v>3281</v>
      </c>
    </row>
  </sheetData>
  <mergeCells count="10">
    <mergeCell ref="A1:G1"/>
    <mergeCell ref="A22:Q22"/>
    <mergeCell ref="A29:Q29"/>
    <mergeCell ref="B30:P30"/>
    <mergeCell ref="B31:P31"/>
    <mergeCell ref="B32:P32"/>
    <mergeCell ref="B33:P33"/>
    <mergeCell ref="B34:P34"/>
    <mergeCell ref="B35:P35"/>
    <mergeCell ref="B36:P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5134</v>
      </c>
      <c r="B1" s="47"/>
      <c r="C1" s="47"/>
      <c r="D1" s="47"/>
      <c r="E1" s="47"/>
      <c r="F1" s="47"/>
      <c r="G1" s="47"/>
    </row>
    <row r="2" customFormat="false" ht="36" hidden="false" customHeight="true" outlineLevel="0" collapsed="false">
      <c r="A2" s="48" t="s">
        <v>3789</v>
      </c>
      <c r="B2" s="48" t="s">
        <v>5005</v>
      </c>
      <c r="C2" s="48" t="s">
        <v>5135</v>
      </c>
      <c r="D2" s="48" t="s">
        <v>5007</v>
      </c>
      <c r="E2" s="48" t="s">
        <v>5008</v>
      </c>
      <c r="F2" s="48" t="s">
        <v>5009</v>
      </c>
      <c r="G2" s="48" t="s">
        <v>4</v>
      </c>
    </row>
    <row r="3" customFormat="false" ht="39.75" hidden="false" customHeight="true" outlineLevel="0" collapsed="false">
      <c r="A3" s="27"/>
      <c r="B3" s="27"/>
      <c r="C3" s="27"/>
      <c r="D3" s="27"/>
      <c r="E3" s="27"/>
      <c r="F3" s="27"/>
      <c r="G3" s="27"/>
    </row>
    <row r="4" customFormat="false" ht="48" hidden="false" customHeight="true" outlineLevel="0" collapsed="false">
      <c r="A4" s="49" t="s">
        <v>5010</v>
      </c>
      <c r="B4" s="49" t="s">
        <v>5136</v>
      </c>
      <c r="C4" s="49" t="s">
        <v>5137</v>
      </c>
      <c r="D4" s="49" t="s">
        <v>5138</v>
      </c>
      <c r="E4" s="49" t="s">
        <v>5139</v>
      </c>
      <c r="F4" s="49" t="s">
        <v>5140</v>
      </c>
      <c r="G4" s="49" t="s">
        <v>5141</v>
      </c>
    </row>
    <row r="5" customFormat="false" ht="48" hidden="false" customHeight="true" outlineLevel="0" collapsed="false">
      <c r="A5" s="49" t="s">
        <v>5010</v>
      </c>
      <c r="B5" s="49" t="s">
        <v>5142</v>
      </c>
      <c r="C5" s="49" t="s">
        <v>5143</v>
      </c>
      <c r="D5" s="49" t="s">
        <v>5144</v>
      </c>
      <c r="E5" s="49" t="s">
        <v>5145</v>
      </c>
      <c r="F5" s="49" t="s">
        <v>5146</v>
      </c>
      <c r="G5" s="49" t="s">
        <v>5147</v>
      </c>
    </row>
    <row r="6" customFormat="false" ht="48" hidden="false" customHeight="true" outlineLevel="0" collapsed="false">
      <c r="A6" s="49" t="s">
        <v>5010</v>
      </c>
      <c r="B6" s="49" t="s">
        <v>5017</v>
      </c>
      <c r="C6" s="49" t="s">
        <v>5018</v>
      </c>
      <c r="D6" s="49" t="s">
        <v>5148</v>
      </c>
      <c r="E6" s="49" t="s">
        <v>5149</v>
      </c>
      <c r="F6" s="49" t="s">
        <v>5150</v>
      </c>
      <c r="G6" s="49" t="s">
        <v>5016</v>
      </c>
    </row>
    <row r="7" customFormat="false" ht="48" hidden="false" customHeight="true" outlineLevel="0" collapsed="false">
      <c r="A7" s="49" t="s">
        <v>1230</v>
      </c>
      <c r="B7" s="49" t="s">
        <v>5151</v>
      </c>
      <c r="C7" s="49" t="s">
        <v>5152</v>
      </c>
      <c r="D7" s="49" t="s">
        <v>5153</v>
      </c>
      <c r="E7" s="49" t="s">
        <v>5154</v>
      </c>
      <c r="F7" s="49" t="s">
        <v>5155</v>
      </c>
      <c r="G7" s="49" t="s">
        <v>5156</v>
      </c>
    </row>
    <row r="8" customFormat="false" ht="48" hidden="false" customHeight="true" outlineLevel="0" collapsed="false">
      <c r="A8" s="49" t="s">
        <v>1230</v>
      </c>
      <c r="B8" s="49" t="s">
        <v>5157</v>
      </c>
      <c r="C8" s="49" t="s">
        <v>5158</v>
      </c>
      <c r="D8" s="49" t="s">
        <v>5159</v>
      </c>
      <c r="E8" s="49" t="s">
        <v>5160</v>
      </c>
      <c r="F8" s="49" t="s">
        <v>5070</v>
      </c>
      <c r="G8" s="49" t="s">
        <v>5161</v>
      </c>
    </row>
    <row r="9" customFormat="false" ht="48" hidden="false" customHeight="true" outlineLevel="0" collapsed="false">
      <c r="A9" s="49" t="s">
        <v>4192</v>
      </c>
      <c r="B9" s="49" t="s">
        <v>5078</v>
      </c>
      <c r="C9" s="49" t="s">
        <v>5162</v>
      </c>
      <c r="D9" s="49" t="s">
        <v>5163</v>
      </c>
      <c r="E9" s="49" t="s">
        <v>5164</v>
      </c>
      <c r="F9" s="49" t="s">
        <v>5165</v>
      </c>
      <c r="G9" s="49" t="s">
        <v>5064</v>
      </c>
    </row>
    <row r="10" customFormat="false" ht="48" hidden="false" customHeight="true" outlineLevel="0" collapsed="false">
      <c r="A10" s="49" t="s">
        <v>5029</v>
      </c>
      <c r="B10" s="49" t="s">
        <v>5030</v>
      </c>
      <c r="C10" s="49" t="s">
        <v>5166</v>
      </c>
      <c r="D10" s="49" t="s">
        <v>5167</v>
      </c>
      <c r="E10" s="49" t="s">
        <v>5168</v>
      </c>
      <c r="F10" s="49" t="s">
        <v>5169</v>
      </c>
      <c r="G10" s="49" t="s">
        <v>5035</v>
      </c>
    </row>
    <row r="11" customFormat="false" ht="48" hidden="false" customHeight="true" outlineLevel="0" collapsed="false">
      <c r="A11" s="49" t="s">
        <v>5065</v>
      </c>
      <c r="B11" s="49" t="s">
        <v>5170</v>
      </c>
      <c r="C11" s="49" t="s">
        <v>5171</v>
      </c>
      <c r="D11" s="49" t="s">
        <v>5172</v>
      </c>
      <c r="E11" s="49" t="s">
        <v>5173</v>
      </c>
      <c r="F11" s="49" t="s">
        <v>5174</v>
      </c>
      <c r="G11" s="49" t="s">
        <v>5175</v>
      </c>
    </row>
    <row r="12" customFormat="false" ht="48" hidden="false" customHeight="true" outlineLevel="0" collapsed="false">
      <c r="A12" s="49" t="s">
        <v>5083</v>
      </c>
      <c r="B12" s="49" t="s">
        <v>5176</v>
      </c>
      <c r="C12" s="49" t="s">
        <v>5177</v>
      </c>
      <c r="D12" s="49" t="s">
        <v>5178</v>
      </c>
      <c r="E12" s="49" t="s">
        <v>5179</v>
      </c>
      <c r="F12" s="49" t="s">
        <v>5180</v>
      </c>
      <c r="G12" s="49" t="s">
        <v>5181</v>
      </c>
    </row>
    <row r="13" customFormat="false" ht="48" hidden="false" customHeight="true" outlineLevel="0" collapsed="false">
      <c r="A13" s="49" t="s">
        <v>5083</v>
      </c>
      <c r="B13" s="49" t="s">
        <v>5182</v>
      </c>
      <c r="C13" s="49" t="s">
        <v>5183</v>
      </c>
      <c r="D13" s="49" t="s">
        <v>5184</v>
      </c>
      <c r="E13" s="49" t="s">
        <v>5185</v>
      </c>
      <c r="F13" s="49" t="s">
        <v>5186</v>
      </c>
      <c r="G13" s="49" t="s">
        <v>5175</v>
      </c>
    </row>
    <row r="14" customFormat="false" ht="48" hidden="false" customHeight="true" outlineLevel="0" collapsed="false">
      <c r="A14" s="49" t="s">
        <v>5187</v>
      </c>
      <c r="B14" s="49" t="s">
        <v>5188</v>
      </c>
      <c r="C14" s="49" t="s">
        <v>5189</v>
      </c>
      <c r="D14" s="49" t="s">
        <v>5190</v>
      </c>
      <c r="E14" s="49" t="s">
        <v>5191</v>
      </c>
      <c r="F14" s="49" t="s">
        <v>5192</v>
      </c>
      <c r="G14" s="49" t="s">
        <v>5089</v>
      </c>
    </row>
    <row r="15" customFormat="false" ht="48" hidden="false" customHeight="true" outlineLevel="0" collapsed="false">
      <c r="A15" s="49" t="s">
        <v>5193</v>
      </c>
      <c r="B15" s="49" t="s">
        <v>5194</v>
      </c>
      <c r="C15" s="49" t="s">
        <v>5195</v>
      </c>
      <c r="D15" s="49" t="s">
        <v>5196</v>
      </c>
      <c r="E15" s="49" t="s">
        <v>5197</v>
      </c>
      <c r="F15" s="49" t="s">
        <v>5198</v>
      </c>
      <c r="G15" s="49" t="s">
        <v>5199</v>
      </c>
    </row>
    <row r="16" customFormat="false" ht="48" hidden="false" customHeight="true" outlineLevel="0" collapsed="false">
      <c r="A16" s="49" t="s">
        <v>5090</v>
      </c>
      <c r="B16" s="49" t="s">
        <v>5091</v>
      </c>
      <c r="C16" s="49" t="s">
        <v>5200</v>
      </c>
      <c r="D16" s="49" t="s">
        <v>5201</v>
      </c>
      <c r="E16" s="49" t="s">
        <v>5202</v>
      </c>
      <c r="F16" s="49" t="s">
        <v>5203</v>
      </c>
      <c r="G16" s="49" t="s">
        <v>5204</v>
      </c>
    </row>
    <row r="17" customFormat="false" ht="48" hidden="false" customHeight="true" outlineLevel="0" collapsed="false">
      <c r="A17" s="49" t="s">
        <v>4803</v>
      </c>
      <c r="B17" s="49" t="s">
        <v>4992</v>
      </c>
      <c r="C17" s="49" t="s">
        <v>5205</v>
      </c>
      <c r="D17" s="49" t="s">
        <v>5206</v>
      </c>
      <c r="E17" s="49" t="s">
        <v>5207</v>
      </c>
      <c r="F17" s="49" t="s">
        <v>5208</v>
      </c>
      <c r="G17" s="49" t="s">
        <v>4997</v>
      </c>
    </row>
    <row r="18" customFormat="false" ht="48" hidden="false" customHeight="true" outlineLevel="0" collapsed="false">
      <c r="A18" s="49"/>
      <c r="B18" s="49"/>
      <c r="C18" s="49"/>
      <c r="D18" s="49"/>
      <c r="E18" s="49"/>
      <c r="F18" s="49"/>
      <c r="G18" s="49"/>
    </row>
    <row r="19" customFormat="false" ht="48" hidden="false" customHeight="true" outlineLevel="0" collapsed="false">
      <c r="A19" s="49"/>
      <c r="B19" s="49"/>
      <c r="C19" s="49"/>
      <c r="D19" s="49"/>
      <c r="E19" s="49"/>
      <c r="F19" s="49"/>
      <c r="G19" s="49"/>
    </row>
    <row r="20" customFormat="false" ht="25.5" hidden="false" customHeight="true" outlineLevel="0" collapsed="false">
      <c r="A20" s="50" t="s">
        <v>5209</v>
      </c>
      <c r="B20" s="50"/>
      <c r="C20" s="50"/>
      <c r="D20" s="50"/>
      <c r="E20" s="50"/>
      <c r="F20" s="50"/>
      <c r="G20" s="50"/>
      <c r="H20" s="50"/>
      <c r="I20" s="50"/>
      <c r="J20" s="50"/>
      <c r="K20" s="50"/>
      <c r="L20" s="50"/>
      <c r="M20" s="50"/>
      <c r="N20" s="50"/>
      <c r="O20" s="50"/>
      <c r="P20" s="50"/>
      <c r="Q20" s="50"/>
    </row>
    <row r="21" customFormat="false" ht="36" hidden="false" customHeight="true" outlineLevel="0" collapsed="false">
      <c r="A21" s="48" t="s">
        <v>5110</v>
      </c>
      <c r="B21" s="48" t="s">
        <v>36</v>
      </c>
      <c r="C21" s="48" t="s">
        <v>103</v>
      </c>
      <c r="D21" s="48" t="s">
        <v>97</v>
      </c>
      <c r="E21" s="48" t="s">
        <v>108</v>
      </c>
      <c r="F21" s="48" t="s">
        <v>5111</v>
      </c>
      <c r="G21" s="48" t="s">
        <v>172</v>
      </c>
      <c r="H21" s="48" t="s">
        <v>1263</v>
      </c>
      <c r="I21" s="48" t="s">
        <v>5112</v>
      </c>
      <c r="J21" s="48" t="s">
        <v>5113</v>
      </c>
      <c r="K21" s="48" t="s">
        <v>5114</v>
      </c>
      <c r="L21" s="48" t="s">
        <v>5115</v>
      </c>
      <c r="M21" s="48" t="s">
        <v>5116</v>
      </c>
      <c r="N21" s="48" t="s">
        <v>5117</v>
      </c>
      <c r="O21" s="48" t="s">
        <v>5118</v>
      </c>
      <c r="P21" s="48" t="s">
        <v>5210</v>
      </c>
      <c r="Q21" s="48" t="s">
        <v>4</v>
      </c>
    </row>
    <row r="22" customFormat="false" ht="42" hidden="false" customHeight="true" outlineLevel="0" collapsed="false">
      <c r="A22" s="52" t="s">
        <v>5211</v>
      </c>
      <c r="B22" s="52" t="n">
        <v>13</v>
      </c>
      <c r="C22" s="52" t="n">
        <v>5</v>
      </c>
      <c r="D22" s="52" t="n">
        <v>0</v>
      </c>
      <c r="E22" s="52" t="n">
        <v>3</v>
      </c>
      <c r="F22" s="52" t="n">
        <v>1</v>
      </c>
      <c r="G22" s="52" t="n">
        <v>0</v>
      </c>
      <c r="H22" s="52" t="n">
        <v>6</v>
      </c>
      <c r="I22" s="52" t="n">
        <v>3</v>
      </c>
      <c r="J22" s="52" t="n">
        <f aca="false">H22-I22</f>
        <v>3</v>
      </c>
      <c r="K22" s="52" t="n">
        <v>2</v>
      </c>
      <c r="L22" s="52" t="n">
        <v>3</v>
      </c>
      <c r="M22" s="52" t="s">
        <v>5121</v>
      </c>
      <c r="N22" s="52" t="s">
        <v>5122</v>
      </c>
      <c r="O22" s="52" t="s">
        <v>5123</v>
      </c>
      <c r="P22" s="53" t="n">
        <v>0.58389</v>
      </c>
      <c r="Q22" s="52" t="s">
        <v>5128</v>
      </c>
    </row>
    <row r="23" customFormat="false" ht="42" hidden="false" customHeight="true" outlineLevel="0" collapsed="false">
      <c r="A23" s="55" t="s">
        <v>5212</v>
      </c>
      <c r="B23" s="55" t="n">
        <v>14</v>
      </c>
      <c r="C23" s="55" t="n">
        <v>5</v>
      </c>
      <c r="D23" s="55" t="n">
        <v>0</v>
      </c>
      <c r="E23" s="55" t="n">
        <v>3</v>
      </c>
      <c r="F23" s="55" t="n">
        <v>1</v>
      </c>
      <c r="G23" s="55" t="n">
        <v>0</v>
      </c>
      <c r="H23" s="55" t="n">
        <v>6</v>
      </c>
      <c r="I23" s="55" t="n">
        <v>3</v>
      </c>
      <c r="J23" s="55" t="n">
        <f aca="false">H23-I23</f>
        <v>3</v>
      </c>
      <c r="K23" s="55" t="n">
        <v>2</v>
      </c>
      <c r="L23" s="55" t="n">
        <v>3</v>
      </c>
      <c r="M23" s="55" t="s">
        <v>5125</v>
      </c>
      <c r="N23" s="55" t="s">
        <v>5126</v>
      </c>
      <c r="O23" s="55" t="s">
        <v>5127</v>
      </c>
      <c r="P23" s="56" t="n">
        <v>0.64579</v>
      </c>
      <c r="Q23" s="55" t="s">
        <v>5213</v>
      </c>
    </row>
    <row r="24" customFormat="false" ht="42" hidden="false" customHeight="true" outlineLevel="0" collapsed="false">
      <c r="A24" s="57" t="s">
        <v>5129</v>
      </c>
      <c r="B24" s="57" t="n">
        <v>14</v>
      </c>
      <c r="C24" s="57" t="n">
        <v>6</v>
      </c>
      <c r="D24" s="57" t="n">
        <v>0</v>
      </c>
      <c r="E24" s="57" t="n">
        <v>3</v>
      </c>
      <c r="F24" s="57" t="n">
        <v>1</v>
      </c>
      <c r="G24" s="57" t="n">
        <v>0</v>
      </c>
      <c r="H24" s="57" t="n">
        <v>6</v>
      </c>
      <c r="I24" s="57" t="n">
        <v>3</v>
      </c>
      <c r="J24" s="57" t="n">
        <f aca="false">H24-I24</f>
        <v>3</v>
      </c>
      <c r="K24" s="57" t="n">
        <v>2</v>
      </c>
      <c r="L24" s="57" t="n">
        <v>3</v>
      </c>
      <c r="M24" s="57" t="s">
        <v>5126</v>
      </c>
      <c r="N24" s="57" t="s">
        <v>5130</v>
      </c>
      <c r="O24" s="57" t="s">
        <v>5131</v>
      </c>
      <c r="P24" s="58" t="n">
        <v>0.63666</v>
      </c>
      <c r="Q24" s="57" t="s">
        <v>5182</v>
      </c>
    </row>
    <row r="25" customFormat="false" ht="42" hidden="false" customHeight="true" outlineLevel="0" collapsed="false">
      <c r="A25" s="52"/>
      <c r="B25" s="52"/>
      <c r="C25" s="52"/>
      <c r="D25" s="52"/>
      <c r="E25" s="52"/>
      <c r="F25" s="52"/>
      <c r="G25" s="52"/>
      <c r="H25" s="52"/>
      <c r="I25" s="52"/>
      <c r="J25" s="52"/>
      <c r="K25" s="52"/>
      <c r="L25" s="52"/>
      <c r="M25" s="52"/>
      <c r="N25" s="52"/>
      <c r="O25" s="52"/>
      <c r="P25" s="53"/>
      <c r="Q25" s="52"/>
    </row>
    <row r="26" customFormat="false" ht="25.5" hidden="false" customHeight="true" outlineLevel="0" collapsed="false">
      <c r="A26" s="50" t="s">
        <v>5214</v>
      </c>
      <c r="B26" s="50"/>
      <c r="C26" s="50"/>
      <c r="D26" s="50"/>
      <c r="E26" s="50"/>
      <c r="F26" s="50"/>
      <c r="G26" s="50"/>
      <c r="H26" s="50"/>
      <c r="I26" s="50"/>
      <c r="J26" s="50"/>
      <c r="K26" s="50"/>
      <c r="L26" s="50"/>
      <c r="M26" s="50"/>
      <c r="N26" s="50"/>
      <c r="O26" s="50"/>
      <c r="P26" s="50"/>
      <c r="Q26" s="50"/>
    </row>
    <row r="27" customFormat="false" ht="36" hidden="false" customHeight="true" outlineLevel="0" collapsed="false">
      <c r="A27" s="48" t="s">
        <v>4186</v>
      </c>
      <c r="B27" s="48" t="s">
        <v>5215</v>
      </c>
      <c r="C27" s="48" t="s">
        <v>5216</v>
      </c>
      <c r="D27" s="48" t="s">
        <v>5217</v>
      </c>
      <c r="E27" s="48" t="s">
        <v>5218</v>
      </c>
      <c r="F27" s="48" t="s">
        <v>5219</v>
      </c>
      <c r="G27" s="48" t="s">
        <v>5220</v>
      </c>
    </row>
    <row r="28" customFormat="false" ht="42" hidden="false" customHeight="true" outlineLevel="0" collapsed="false">
      <c r="A28" s="49" t="s">
        <v>5221</v>
      </c>
      <c r="B28" s="49" t="s">
        <v>5222</v>
      </c>
      <c r="C28" s="49" t="s">
        <v>5223</v>
      </c>
      <c r="D28" s="49" t="s">
        <v>5224</v>
      </c>
      <c r="E28" s="49" t="s">
        <v>5225</v>
      </c>
      <c r="F28" s="49" t="n">
        <v>12</v>
      </c>
      <c r="G28" s="49" t="s">
        <v>5226</v>
      </c>
    </row>
    <row r="29" customFormat="false" ht="42" hidden="false" customHeight="true" outlineLevel="0" collapsed="false">
      <c r="A29" s="49" t="s">
        <v>5227</v>
      </c>
      <c r="B29" s="49" t="s">
        <v>5222</v>
      </c>
      <c r="C29" s="49" t="s">
        <v>5228</v>
      </c>
      <c r="D29" s="49" t="s">
        <v>5224</v>
      </c>
      <c r="E29" s="49" t="s">
        <v>5225</v>
      </c>
      <c r="F29" s="49" t="n">
        <v>36</v>
      </c>
      <c r="G29" s="49" t="s">
        <v>5229</v>
      </c>
    </row>
    <row r="30" customFormat="false" ht="42" hidden="false" customHeight="true" outlineLevel="0" collapsed="false">
      <c r="A30" s="49" t="s">
        <v>5230</v>
      </c>
      <c r="B30" s="49" t="s">
        <v>5231</v>
      </c>
      <c r="C30" s="49" t="s">
        <v>5228</v>
      </c>
      <c r="D30" s="49" t="s">
        <v>5224</v>
      </c>
      <c r="E30" s="49" t="s">
        <v>5232</v>
      </c>
      <c r="F30" s="49" t="n">
        <v>324</v>
      </c>
      <c r="G30" s="49" t="s">
        <v>5233</v>
      </c>
      <c r="Q30" s="54"/>
    </row>
    <row r="31" customFormat="false" ht="49.5" hidden="false" customHeight="true" outlineLevel="0" collapsed="false">
      <c r="A31" s="54"/>
      <c r="B31" s="54"/>
      <c r="Q31" s="54"/>
    </row>
    <row r="32" customFormat="false" ht="25.5" hidden="false" customHeight="true" outlineLevel="0" collapsed="false">
      <c r="A32" s="50" t="s">
        <v>5234</v>
      </c>
      <c r="B32" s="50"/>
      <c r="C32" s="50"/>
      <c r="D32" s="50"/>
      <c r="E32" s="50"/>
      <c r="F32" s="50"/>
      <c r="G32" s="50"/>
      <c r="H32" s="50"/>
      <c r="I32" s="50"/>
      <c r="J32" s="50"/>
      <c r="K32" s="50"/>
      <c r="L32" s="50"/>
      <c r="M32" s="50"/>
      <c r="N32" s="50"/>
      <c r="O32" s="50"/>
      <c r="P32" s="50"/>
      <c r="Q32" s="50"/>
    </row>
    <row r="33" customFormat="false" ht="51.75" hidden="false" customHeight="true" outlineLevel="0" collapsed="false">
      <c r="A33" s="54" t="s">
        <v>3282</v>
      </c>
      <c r="B33" s="54" t="s">
        <v>3283</v>
      </c>
      <c r="C33" s="54"/>
      <c r="D33" s="54"/>
      <c r="E33" s="54"/>
      <c r="F33" s="54"/>
      <c r="G33" s="54"/>
      <c r="H33" s="54"/>
      <c r="I33" s="54"/>
      <c r="J33" s="54"/>
      <c r="K33" s="54"/>
      <c r="L33" s="54"/>
      <c r="M33" s="54"/>
      <c r="N33" s="54"/>
      <c r="O33" s="54"/>
      <c r="P33" s="54"/>
      <c r="Q33" s="54" t="s">
        <v>3284</v>
      </c>
    </row>
    <row r="34" customFormat="false" ht="51.75" hidden="false" customHeight="true" outlineLevel="0" collapsed="false">
      <c r="A34" s="54" t="s">
        <v>3285</v>
      </c>
      <c r="B34" s="54" t="s">
        <v>3286</v>
      </c>
      <c r="C34" s="54"/>
      <c r="D34" s="54"/>
      <c r="E34" s="54"/>
      <c r="F34" s="54"/>
      <c r="G34" s="54"/>
      <c r="H34" s="54"/>
      <c r="I34" s="54"/>
      <c r="J34" s="54"/>
      <c r="K34" s="54"/>
      <c r="L34" s="54"/>
      <c r="M34" s="54"/>
      <c r="N34" s="54"/>
      <c r="O34" s="54"/>
      <c r="P34" s="54"/>
      <c r="Q34" s="54" t="s">
        <v>3287</v>
      </c>
    </row>
    <row r="35" customFormat="false" ht="51.75" hidden="false" customHeight="true" outlineLevel="0" collapsed="false">
      <c r="A35" s="54" t="s">
        <v>3288</v>
      </c>
      <c r="B35" s="54" t="s">
        <v>3289</v>
      </c>
      <c r="C35" s="54"/>
      <c r="D35" s="54"/>
      <c r="E35" s="54"/>
      <c r="F35" s="54"/>
      <c r="G35" s="54"/>
      <c r="H35" s="54"/>
      <c r="I35" s="54"/>
      <c r="J35" s="54"/>
      <c r="K35" s="54"/>
      <c r="L35" s="54"/>
      <c r="M35" s="54"/>
      <c r="N35" s="54"/>
      <c r="O35" s="54"/>
      <c r="P35" s="54"/>
      <c r="Q35" s="54" t="s">
        <v>3290</v>
      </c>
    </row>
    <row r="36" customFormat="false" ht="51.75" hidden="false" customHeight="true" outlineLevel="0" collapsed="false">
      <c r="A36" s="54" t="s">
        <v>3291</v>
      </c>
      <c r="B36" s="54" t="s">
        <v>3292</v>
      </c>
      <c r="C36" s="54"/>
      <c r="D36" s="54"/>
      <c r="E36" s="54"/>
      <c r="F36" s="54"/>
      <c r="G36" s="54"/>
      <c r="H36" s="54"/>
      <c r="I36" s="54"/>
      <c r="J36" s="54"/>
      <c r="K36" s="54"/>
      <c r="L36" s="54"/>
      <c r="M36" s="54"/>
      <c r="N36" s="54"/>
      <c r="O36" s="54"/>
      <c r="P36" s="54"/>
      <c r="Q36" s="54" t="s">
        <v>3293</v>
      </c>
    </row>
    <row r="37" customFormat="false" ht="51.75" hidden="false" customHeight="true" outlineLevel="0" collapsed="false">
      <c r="A37" s="54" t="s">
        <v>3294</v>
      </c>
      <c r="B37" s="54" t="s">
        <v>3295</v>
      </c>
      <c r="C37" s="54"/>
      <c r="D37" s="54"/>
      <c r="E37" s="54"/>
      <c r="F37" s="54"/>
      <c r="G37" s="54"/>
      <c r="H37" s="54"/>
      <c r="I37" s="54"/>
      <c r="J37" s="54"/>
      <c r="K37" s="54"/>
      <c r="L37" s="54"/>
      <c r="M37" s="54"/>
      <c r="N37" s="54"/>
      <c r="O37" s="54"/>
      <c r="P37" s="54"/>
      <c r="Q37" s="54" t="s">
        <v>3296</v>
      </c>
    </row>
    <row r="38" customFormat="false" ht="51.75" hidden="false" customHeight="true" outlineLevel="0" collapsed="false">
      <c r="A38" s="54" t="s">
        <v>3297</v>
      </c>
      <c r="B38" s="54" t="s">
        <v>3298</v>
      </c>
      <c r="C38" s="54"/>
      <c r="D38" s="54"/>
      <c r="E38" s="54"/>
      <c r="F38" s="54"/>
      <c r="G38" s="54"/>
      <c r="H38" s="54"/>
      <c r="I38" s="54"/>
      <c r="J38" s="54"/>
      <c r="K38" s="54"/>
      <c r="L38" s="54"/>
      <c r="M38" s="54"/>
      <c r="N38" s="54"/>
      <c r="O38" s="54"/>
      <c r="P38" s="54"/>
      <c r="Q38" s="54" t="s">
        <v>3299</v>
      </c>
    </row>
    <row r="39" customFormat="false" ht="51.75" hidden="false" customHeight="true" outlineLevel="0" collapsed="false">
      <c r="A39" s="54" t="s">
        <v>3300</v>
      </c>
      <c r="B39" s="54" t="s">
        <v>3301</v>
      </c>
      <c r="C39" s="54"/>
      <c r="D39" s="54"/>
      <c r="E39" s="54"/>
      <c r="F39" s="54"/>
      <c r="G39" s="54"/>
      <c r="H39" s="54"/>
      <c r="I39" s="54"/>
      <c r="J39" s="54"/>
      <c r="K39" s="54"/>
      <c r="L39" s="54"/>
      <c r="M39" s="54"/>
      <c r="N39" s="54"/>
      <c r="O39" s="54"/>
      <c r="P39" s="54"/>
      <c r="Q39" s="54" t="s">
        <v>3302</v>
      </c>
    </row>
    <row r="40" customFormat="false" ht="51.75" hidden="false" customHeight="true" outlineLevel="0" collapsed="false">
      <c r="A40" s="54" t="s">
        <v>3303</v>
      </c>
      <c r="B40" s="54" t="s">
        <v>3304</v>
      </c>
      <c r="C40" s="54"/>
      <c r="D40" s="54"/>
      <c r="E40" s="54"/>
      <c r="F40" s="54"/>
      <c r="G40" s="54"/>
      <c r="H40" s="54"/>
      <c r="I40" s="54"/>
      <c r="J40" s="54"/>
      <c r="K40" s="54"/>
      <c r="L40" s="54"/>
      <c r="M40" s="54"/>
      <c r="N40" s="54"/>
      <c r="O40" s="54"/>
      <c r="P40" s="54"/>
      <c r="Q40" s="54" t="s">
        <v>3305</v>
      </c>
    </row>
  </sheetData>
  <mergeCells count="12">
    <mergeCell ref="A1:G1"/>
    <mergeCell ref="A20:Q20"/>
    <mergeCell ref="A26:Q26"/>
    <mergeCell ref="A32:Q32"/>
    <mergeCell ref="B33:P33"/>
    <mergeCell ref="B34:P34"/>
    <mergeCell ref="B35:P35"/>
    <mergeCell ref="B36:P36"/>
    <mergeCell ref="B37:P37"/>
    <mergeCell ref="B38:P38"/>
    <mergeCell ref="B39:P39"/>
    <mergeCell ref="B40:P4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3" min="2" style="1" width="30"/>
    <col collapsed="false" customWidth="true" hidden="false" outlineLevel="0" max="4" min="4" style="1" width="22"/>
    <col collapsed="false" customWidth="true" hidden="false" outlineLevel="0" max="5" min="5" style="1" width="16"/>
    <col collapsed="false" customWidth="true" hidden="false" outlineLevel="0" max="6" min="6" style="1" width="24"/>
    <col collapsed="false" customWidth="true" hidden="false" outlineLevel="0" max="7" min="7" style="1" width="16"/>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3" min="12" style="1" width="46"/>
    <col collapsed="false" customWidth="true" hidden="false" outlineLevel="0" max="14" min="14" style="1" width="14"/>
    <col collapsed="false" customWidth="true" hidden="false" outlineLevel="0" max="15" min="15" style="1" width="52"/>
    <col collapsed="false" customWidth="true" hidden="false" outlineLevel="0" max="16" min="16" style="1" width="14"/>
    <col collapsed="false" customWidth="true" hidden="false" outlineLevel="0" max="17" min="17" style="1" width="36"/>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5235</v>
      </c>
      <c r="B1" s="8"/>
      <c r="C1" s="8"/>
      <c r="D1" s="8"/>
      <c r="E1" s="8"/>
      <c r="F1" s="8"/>
      <c r="G1" s="8"/>
      <c r="H1" s="8"/>
      <c r="I1" s="8"/>
      <c r="J1" s="8"/>
      <c r="K1" s="8"/>
      <c r="L1" s="8"/>
      <c r="M1" s="8"/>
      <c r="N1" s="8"/>
      <c r="O1" s="8"/>
      <c r="P1" s="8"/>
      <c r="Q1" s="8"/>
      <c r="R1" s="8"/>
      <c r="S1" s="8"/>
      <c r="T1" s="8"/>
      <c r="U1" s="8"/>
    </row>
    <row r="2" customFormat="false" ht="33.75" hidden="false" customHeight="true" outlineLevel="0" collapsed="false">
      <c r="A2" s="19" t="s">
        <v>5236</v>
      </c>
      <c r="B2" s="19"/>
      <c r="C2" s="19"/>
      <c r="D2" s="19"/>
      <c r="E2" s="19"/>
      <c r="F2" s="19"/>
      <c r="G2" s="19"/>
      <c r="H2" s="19"/>
      <c r="I2" s="19"/>
      <c r="J2" s="19"/>
      <c r="K2" s="19"/>
      <c r="L2" s="19"/>
      <c r="M2" s="19"/>
      <c r="N2" s="19"/>
      <c r="O2" s="19"/>
      <c r="P2" s="19"/>
      <c r="Q2" s="19"/>
      <c r="R2" s="19"/>
      <c r="S2" s="19"/>
      <c r="T2" s="19"/>
      <c r="U2" s="19"/>
    </row>
    <row r="4" customFormat="false" ht="33.75" hidden="false" customHeight="true" outlineLevel="0" collapsed="false">
      <c r="A4" s="10" t="s">
        <v>5237</v>
      </c>
      <c r="B4" s="10" t="s">
        <v>26</v>
      </c>
      <c r="C4" s="10" t="s">
        <v>3632</v>
      </c>
      <c r="D4" s="10" t="s">
        <v>5238</v>
      </c>
      <c r="E4" s="10" t="s">
        <v>5239</v>
      </c>
      <c r="F4" s="10" t="s">
        <v>5240</v>
      </c>
      <c r="G4" s="10" t="s">
        <v>5241</v>
      </c>
      <c r="H4" s="10" t="s">
        <v>5242</v>
      </c>
      <c r="I4" s="10" t="s">
        <v>5243</v>
      </c>
      <c r="J4" s="10" t="s">
        <v>5244</v>
      </c>
      <c r="K4" s="10" t="s">
        <v>5245</v>
      </c>
      <c r="L4" s="10" t="s">
        <v>5246</v>
      </c>
      <c r="M4" s="10" t="s">
        <v>5247</v>
      </c>
      <c r="N4" s="10" t="s">
        <v>5248</v>
      </c>
      <c r="O4" s="10" t="s">
        <v>5249</v>
      </c>
      <c r="P4" s="10" t="s">
        <v>5250</v>
      </c>
      <c r="Q4" s="10" t="s">
        <v>5251</v>
      </c>
      <c r="R4" s="10" t="s">
        <v>5252</v>
      </c>
      <c r="S4" s="10" t="s">
        <v>5253</v>
      </c>
      <c r="T4" s="10" t="s">
        <v>5254</v>
      </c>
      <c r="U4" s="10" t="s">
        <v>2155</v>
      </c>
    </row>
    <row r="5" customFormat="false" ht="72" hidden="false" customHeight="true" outlineLevel="0" collapsed="false">
      <c r="A5" s="59" t="s">
        <v>5255</v>
      </c>
      <c r="B5" s="59" t="s">
        <v>5256</v>
      </c>
      <c r="C5" s="59" t="s">
        <v>5257</v>
      </c>
      <c r="D5" s="59" t="s">
        <v>5258</v>
      </c>
      <c r="E5" s="60" t="n">
        <v>1</v>
      </c>
      <c r="F5" s="59" t="s">
        <v>1857</v>
      </c>
      <c r="G5" s="60" t="n">
        <v>1</v>
      </c>
      <c r="H5" s="59" t="s">
        <v>5259</v>
      </c>
      <c r="I5" s="60" t="n">
        <v>1</v>
      </c>
      <c r="J5" s="60" t="n">
        <v>1</v>
      </c>
      <c r="K5" s="59" t="s">
        <v>5260</v>
      </c>
      <c r="L5" s="60" t="s">
        <v>5261</v>
      </c>
      <c r="M5" s="60" t="b">
        <f aca="false">TRUE()</f>
        <v>1</v>
      </c>
      <c r="N5" s="60" t="n">
        <v>1</v>
      </c>
      <c r="O5" s="59" t="s">
        <v>5262</v>
      </c>
      <c r="P5" s="60" t="s">
        <v>5263</v>
      </c>
      <c r="Q5" s="60" t="s">
        <v>5264</v>
      </c>
      <c r="R5" s="60" t="s">
        <v>5265</v>
      </c>
      <c r="S5" s="60" t="s">
        <v>5266</v>
      </c>
      <c r="T5" s="59" t="s">
        <v>5267</v>
      </c>
      <c r="U5" s="61" t="s">
        <v>5268</v>
      </c>
    </row>
    <row r="6" customFormat="false" ht="72" hidden="false" customHeight="true" outlineLevel="0" collapsed="false">
      <c r="A6" s="28" t="s">
        <v>5269</v>
      </c>
      <c r="B6" s="28" t="s">
        <v>5270</v>
      </c>
      <c r="C6" s="28" t="s">
        <v>5271</v>
      </c>
      <c r="D6" s="28" t="s">
        <v>5258</v>
      </c>
      <c r="E6" s="29" t="n">
        <v>1</v>
      </c>
      <c r="F6" s="28" t="s">
        <v>1955</v>
      </c>
      <c r="G6" s="29" t="n">
        <v>1</v>
      </c>
      <c r="H6" s="28" t="s">
        <v>5259</v>
      </c>
      <c r="I6" s="29" t="n">
        <v>1</v>
      </c>
      <c r="J6" s="29" t="n">
        <v>1</v>
      </c>
      <c r="K6" s="28" t="s">
        <v>5260</v>
      </c>
      <c r="L6" s="29" t="s">
        <v>5261</v>
      </c>
      <c r="M6" s="29" t="b">
        <f aca="false">TRUE()</f>
        <v>1</v>
      </c>
      <c r="N6" s="29" t="n">
        <v>1</v>
      </c>
      <c r="O6" s="28" t="s">
        <v>5272</v>
      </c>
      <c r="P6" s="29" t="s">
        <v>5263</v>
      </c>
      <c r="Q6" s="29" t="s">
        <v>5273</v>
      </c>
      <c r="R6" s="29" t="s">
        <v>5274</v>
      </c>
      <c r="S6" s="29" t="s">
        <v>5266</v>
      </c>
      <c r="T6" s="28" t="s">
        <v>5267</v>
      </c>
      <c r="U6" s="62" t="s">
        <v>5275</v>
      </c>
    </row>
    <row r="7" customFormat="false" ht="72" hidden="false" customHeight="true" outlineLevel="0" collapsed="false">
      <c r="A7" s="59" t="s">
        <v>5276</v>
      </c>
      <c r="B7" s="59" t="s">
        <v>5277</v>
      </c>
      <c r="C7" s="59" t="s">
        <v>5278</v>
      </c>
      <c r="D7" s="59" t="s">
        <v>5258</v>
      </c>
      <c r="E7" s="60" t="n">
        <v>2</v>
      </c>
      <c r="F7" s="59" t="s">
        <v>1904</v>
      </c>
      <c r="G7" s="60" t="n">
        <v>2</v>
      </c>
      <c r="H7" s="59" t="s">
        <v>5279</v>
      </c>
      <c r="I7" s="60" t="n">
        <v>2</v>
      </c>
      <c r="J7" s="60" t="n">
        <v>1</v>
      </c>
      <c r="K7" s="59" t="s">
        <v>5280</v>
      </c>
      <c r="L7" s="60" t="s">
        <v>5261</v>
      </c>
      <c r="M7" s="60" t="b">
        <f aca="false">TRUE()</f>
        <v>1</v>
      </c>
      <c r="N7" s="60" t="n">
        <v>1</v>
      </c>
      <c r="O7" s="59" t="s">
        <v>5281</v>
      </c>
      <c r="P7" s="60" t="s">
        <v>1458</v>
      </c>
      <c r="Q7" s="60" t="s">
        <v>5282</v>
      </c>
      <c r="R7" s="60" t="s">
        <v>5283</v>
      </c>
      <c r="S7" s="60" t="s">
        <v>5266</v>
      </c>
      <c r="T7" s="59" t="s">
        <v>5267</v>
      </c>
      <c r="U7" s="61" t="s">
        <v>5284</v>
      </c>
    </row>
    <row r="8" customFormat="false" ht="72" hidden="false" customHeight="true" outlineLevel="0" collapsed="false">
      <c r="A8" s="28" t="s">
        <v>5285</v>
      </c>
      <c r="B8" s="28" t="s">
        <v>4009</v>
      </c>
      <c r="C8" s="28" t="s">
        <v>5286</v>
      </c>
      <c r="D8" s="28" t="s">
        <v>5258</v>
      </c>
      <c r="E8" s="29" t="n">
        <v>2</v>
      </c>
      <c r="F8" s="28" t="s">
        <v>1622</v>
      </c>
      <c r="G8" s="29" t="n">
        <v>2</v>
      </c>
      <c r="H8" s="28" t="s">
        <v>5287</v>
      </c>
      <c r="I8" s="29" t="n">
        <v>2</v>
      </c>
      <c r="J8" s="29" t="n">
        <v>2</v>
      </c>
      <c r="K8" s="28" t="s">
        <v>5288</v>
      </c>
      <c r="L8" s="29" t="s">
        <v>5289</v>
      </c>
      <c r="M8" s="29" t="b">
        <f aca="false">TRUE()</f>
        <v>1</v>
      </c>
      <c r="N8" s="29" t="n">
        <v>1</v>
      </c>
      <c r="O8" s="28" t="s">
        <v>5290</v>
      </c>
      <c r="P8" s="29" t="s">
        <v>1458</v>
      </c>
      <c r="Q8" s="29" t="s">
        <v>5291</v>
      </c>
      <c r="R8" s="29" t="s">
        <v>5292</v>
      </c>
      <c r="S8" s="29" t="s">
        <v>5266</v>
      </c>
      <c r="T8" s="28" t="s">
        <v>5267</v>
      </c>
      <c r="U8" s="62" t="s">
        <v>5293</v>
      </c>
    </row>
    <row r="9" customFormat="false" ht="72" hidden="false" customHeight="true" outlineLevel="0" collapsed="false">
      <c r="A9" s="59" t="s">
        <v>5294</v>
      </c>
      <c r="B9" s="59" t="s">
        <v>5295</v>
      </c>
      <c r="C9" s="59" t="s">
        <v>5296</v>
      </c>
      <c r="D9" s="59" t="s">
        <v>5258</v>
      </c>
      <c r="E9" s="60" t="n">
        <v>1</v>
      </c>
      <c r="F9" s="59" t="s">
        <v>1622</v>
      </c>
      <c r="G9" s="60" t="n">
        <v>1</v>
      </c>
      <c r="H9" s="59" t="s">
        <v>5297</v>
      </c>
      <c r="I9" s="60" t="n">
        <v>1</v>
      </c>
      <c r="J9" s="60" t="n">
        <v>1</v>
      </c>
      <c r="K9" s="59" t="s">
        <v>5298</v>
      </c>
      <c r="L9" s="60" t="s">
        <v>5299</v>
      </c>
      <c r="M9" s="60" t="b">
        <f aca="false">TRUE()</f>
        <v>1</v>
      </c>
      <c r="N9" s="60" t="n">
        <v>1</v>
      </c>
      <c r="O9" s="59" t="s">
        <v>5300</v>
      </c>
      <c r="P9" s="60" t="s">
        <v>2316</v>
      </c>
      <c r="Q9" s="60" t="s">
        <v>5301</v>
      </c>
      <c r="R9" s="60" t="s">
        <v>5302</v>
      </c>
      <c r="S9" s="60" t="s">
        <v>5266</v>
      </c>
      <c r="T9" s="59" t="s">
        <v>5267</v>
      </c>
      <c r="U9" s="61" t="s">
        <v>5303</v>
      </c>
    </row>
    <row r="10" customFormat="false" ht="72" hidden="false" customHeight="true" outlineLevel="0" collapsed="false">
      <c r="A10" s="28" t="s">
        <v>5304</v>
      </c>
      <c r="B10" s="28" t="s">
        <v>4015</v>
      </c>
      <c r="C10" s="28" t="s">
        <v>5305</v>
      </c>
      <c r="D10" s="28" t="s">
        <v>5258</v>
      </c>
      <c r="E10" s="29" t="n">
        <v>1</v>
      </c>
      <c r="F10" s="28" t="s">
        <v>1622</v>
      </c>
      <c r="G10" s="29" t="n">
        <v>1</v>
      </c>
      <c r="H10" s="28" t="s">
        <v>5297</v>
      </c>
      <c r="I10" s="29" t="n">
        <v>1</v>
      </c>
      <c r="J10" s="29" t="n">
        <v>1</v>
      </c>
      <c r="K10" s="28" t="s">
        <v>5306</v>
      </c>
      <c r="L10" s="29" t="s">
        <v>5307</v>
      </c>
      <c r="M10" s="29" t="b">
        <f aca="false">TRUE()</f>
        <v>1</v>
      </c>
      <c r="N10" s="29" t="n">
        <v>1</v>
      </c>
      <c r="O10" s="28" t="s">
        <v>5308</v>
      </c>
      <c r="P10" s="29" t="s">
        <v>5263</v>
      </c>
      <c r="Q10" s="29" t="s">
        <v>5309</v>
      </c>
      <c r="R10" s="29" t="s">
        <v>5310</v>
      </c>
      <c r="S10" s="29" t="s">
        <v>5266</v>
      </c>
      <c r="T10" s="28" t="s">
        <v>5267</v>
      </c>
      <c r="U10" s="62" t="s">
        <v>5311</v>
      </c>
    </row>
    <row r="11" customFormat="false" ht="72" hidden="false" customHeight="true" outlineLevel="0" collapsed="false">
      <c r="A11" s="59" t="s">
        <v>5312</v>
      </c>
      <c r="B11" s="59" t="s">
        <v>5313</v>
      </c>
      <c r="C11" s="59" t="s">
        <v>5314</v>
      </c>
      <c r="D11" s="59" t="s">
        <v>5258</v>
      </c>
      <c r="E11" s="60" t="n">
        <v>2</v>
      </c>
      <c r="F11" s="59" t="s">
        <v>1622</v>
      </c>
      <c r="G11" s="60" t="n">
        <v>2</v>
      </c>
      <c r="H11" s="59" t="s">
        <v>5259</v>
      </c>
      <c r="I11" s="60" t="n">
        <v>2</v>
      </c>
      <c r="J11" s="60" t="n">
        <v>1</v>
      </c>
      <c r="K11" s="59" t="s">
        <v>5315</v>
      </c>
      <c r="L11" s="60" t="s">
        <v>5316</v>
      </c>
      <c r="M11" s="60" t="b">
        <f aca="false">TRUE()</f>
        <v>1</v>
      </c>
      <c r="N11" s="60" t="n">
        <v>1</v>
      </c>
      <c r="O11" s="59" t="s">
        <v>5317</v>
      </c>
      <c r="P11" s="60" t="s">
        <v>1458</v>
      </c>
      <c r="Q11" s="60" t="s">
        <v>5318</v>
      </c>
      <c r="R11" s="60" t="s">
        <v>5319</v>
      </c>
      <c r="S11" s="60" t="s">
        <v>5266</v>
      </c>
      <c r="T11" s="59" t="s">
        <v>5267</v>
      </c>
      <c r="U11" s="61" t="s">
        <v>5320</v>
      </c>
    </row>
    <row r="12" customFormat="false" ht="72" hidden="false" customHeight="true" outlineLevel="0" collapsed="false">
      <c r="A12" s="28" t="s">
        <v>5321</v>
      </c>
      <c r="B12" s="28" t="s">
        <v>3963</v>
      </c>
      <c r="C12" s="28" t="s">
        <v>5322</v>
      </c>
      <c r="D12" s="28" t="s">
        <v>5258</v>
      </c>
      <c r="E12" s="29" t="n">
        <v>1</v>
      </c>
      <c r="F12" s="28" t="s">
        <v>1571</v>
      </c>
      <c r="G12" s="29" t="n">
        <v>1</v>
      </c>
      <c r="H12" s="28" t="s">
        <v>5323</v>
      </c>
      <c r="I12" s="29" t="n">
        <v>1</v>
      </c>
      <c r="J12" s="29" t="n">
        <v>1</v>
      </c>
      <c r="K12" s="28" t="s">
        <v>5324</v>
      </c>
      <c r="L12" s="29" t="s">
        <v>5307</v>
      </c>
      <c r="M12" s="29" t="b">
        <f aca="false">TRUE()</f>
        <v>1</v>
      </c>
      <c r="N12" s="29" t="n">
        <v>1</v>
      </c>
      <c r="O12" s="28" t="s">
        <v>5325</v>
      </c>
      <c r="P12" s="29" t="s">
        <v>5263</v>
      </c>
      <c r="Q12" s="29" t="s">
        <v>5326</v>
      </c>
      <c r="R12" s="29" t="s">
        <v>5327</v>
      </c>
      <c r="S12" s="29" t="s">
        <v>5266</v>
      </c>
      <c r="T12" s="28" t="s">
        <v>5267</v>
      </c>
      <c r="U12" s="62" t="s">
        <v>5328</v>
      </c>
    </row>
    <row r="13" customFormat="false" ht="72" hidden="false" customHeight="true" outlineLevel="0" collapsed="false">
      <c r="A13" s="59" t="s">
        <v>5329</v>
      </c>
      <c r="B13" s="59" t="s">
        <v>5330</v>
      </c>
      <c r="C13" s="59" t="s">
        <v>5331</v>
      </c>
      <c r="D13" s="59" t="s">
        <v>5258</v>
      </c>
      <c r="E13" s="60" t="n">
        <v>2</v>
      </c>
      <c r="F13" s="59" t="s">
        <v>1571</v>
      </c>
      <c r="G13" s="60" t="n">
        <v>2</v>
      </c>
      <c r="H13" s="59" t="s">
        <v>5332</v>
      </c>
      <c r="I13" s="60" t="n">
        <v>2</v>
      </c>
      <c r="J13" s="60" t="n">
        <v>1</v>
      </c>
      <c r="K13" s="59" t="s">
        <v>5333</v>
      </c>
      <c r="L13" s="60" t="s">
        <v>5334</v>
      </c>
      <c r="M13" s="60" t="b">
        <f aca="false">TRUE()</f>
        <v>1</v>
      </c>
      <c r="N13" s="60" t="n">
        <v>1</v>
      </c>
      <c r="O13" s="59" t="s">
        <v>5335</v>
      </c>
      <c r="P13" s="60" t="s">
        <v>1458</v>
      </c>
      <c r="Q13" s="60" t="s">
        <v>5336</v>
      </c>
      <c r="R13" s="60" t="s">
        <v>5337</v>
      </c>
      <c r="S13" s="60" t="s">
        <v>5266</v>
      </c>
      <c r="T13" s="59" t="s">
        <v>5267</v>
      </c>
      <c r="U13" s="61" t="s">
        <v>5338</v>
      </c>
    </row>
    <row r="14" customFormat="false" ht="72" hidden="false" customHeight="true" outlineLevel="0" collapsed="false">
      <c r="A14" s="28" t="s">
        <v>5339</v>
      </c>
      <c r="B14" s="28" t="s">
        <v>5340</v>
      </c>
      <c r="C14" s="28" t="s">
        <v>5341</v>
      </c>
      <c r="D14" s="28" t="s">
        <v>5258</v>
      </c>
      <c r="E14" s="29" t="n">
        <v>2</v>
      </c>
      <c r="F14" s="28" t="s">
        <v>1622</v>
      </c>
      <c r="G14" s="29" t="n">
        <v>2</v>
      </c>
      <c r="H14" s="28" t="s">
        <v>5342</v>
      </c>
      <c r="I14" s="29" t="n">
        <v>2</v>
      </c>
      <c r="J14" s="29" t="n">
        <v>1</v>
      </c>
      <c r="K14" s="28" t="s">
        <v>5343</v>
      </c>
      <c r="L14" s="29" t="s">
        <v>5344</v>
      </c>
      <c r="M14" s="29" t="b">
        <f aca="false">TRUE()</f>
        <v>1</v>
      </c>
      <c r="N14" s="29" t="n">
        <v>1</v>
      </c>
      <c r="O14" s="28" t="s">
        <v>5345</v>
      </c>
      <c r="P14" s="29" t="s">
        <v>5263</v>
      </c>
      <c r="Q14" s="29" t="s">
        <v>5346</v>
      </c>
      <c r="R14" s="29" t="s">
        <v>5347</v>
      </c>
      <c r="S14" s="29" t="s">
        <v>5266</v>
      </c>
      <c r="T14" s="28" t="s">
        <v>5267</v>
      </c>
      <c r="U14" s="62" t="s">
        <v>5348</v>
      </c>
    </row>
    <row r="15" customFormat="false" ht="72" hidden="false" customHeight="true" outlineLevel="0" collapsed="false">
      <c r="A15" s="59" t="s">
        <v>5349</v>
      </c>
      <c r="B15" s="59" t="s">
        <v>3954</v>
      </c>
      <c r="C15" s="59" t="s">
        <v>5350</v>
      </c>
      <c r="D15" s="59" t="s">
        <v>5258</v>
      </c>
      <c r="E15" s="60" t="n">
        <v>3</v>
      </c>
      <c r="F15" s="59" t="s">
        <v>1571</v>
      </c>
      <c r="G15" s="60" t="n">
        <v>3</v>
      </c>
      <c r="H15" s="59" t="s">
        <v>5351</v>
      </c>
      <c r="I15" s="60" t="n">
        <v>3</v>
      </c>
      <c r="J15" s="60" t="n">
        <v>1</v>
      </c>
      <c r="K15" s="59" t="s">
        <v>5352</v>
      </c>
      <c r="L15" s="60" t="s">
        <v>5353</v>
      </c>
      <c r="M15" s="60" t="b">
        <f aca="false">TRUE()</f>
        <v>1</v>
      </c>
      <c r="N15" s="60" t="n">
        <v>1</v>
      </c>
      <c r="O15" s="59" t="s">
        <v>5354</v>
      </c>
      <c r="P15" s="60" t="s">
        <v>1458</v>
      </c>
      <c r="Q15" s="60" t="s">
        <v>5355</v>
      </c>
      <c r="R15" s="60" t="s">
        <v>5356</v>
      </c>
      <c r="S15" s="60" t="s">
        <v>5266</v>
      </c>
      <c r="T15" s="59" t="s">
        <v>5267</v>
      </c>
      <c r="U15" s="61" t="s">
        <v>5357</v>
      </c>
    </row>
    <row r="16" customFormat="false" ht="72" hidden="false" customHeight="true" outlineLevel="0" collapsed="false">
      <c r="A16" s="28" t="s">
        <v>5358</v>
      </c>
      <c r="B16" s="28" t="s">
        <v>5359</v>
      </c>
      <c r="C16" s="28" t="s">
        <v>5360</v>
      </c>
      <c r="D16" s="28" t="s">
        <v>5258</v>
      </c>
      <c r="E16" s="29" t="n">
        <v>1</v>
      </c>
      <c r="F16" s="28" t="s">
        <v>1516</v>
      </c>
      <c r="G16" s="29" t="n">
        <v>1</v>
      </c>
      <c r="H16" s="28" t="s">
        <v>5297</v>
      </c>
      <c r="I16" s="29" t="n">
        <v>1</v>
      </c>
      <c r="J16" s="29" t="n">
        <v>1</v>
      </c>
      <c r="K16" s="28" t="s">
        <v>5361</v>
      </c>
      <c r="L16" s="29" t="s">
        <v>5362</v>
      </c>
      <c r="M16" s="29" t="b">
        <f aca="false">FALSE()</f>
        <v>0</v>
      </c>
      <c r="N16" s="29" t="n">
        <v>0</v>
      </c>
      <c r="O16" s="28" t="s">
        <v>5363</v>
      </c>
      <c r="P16" s="29" t="s">
        <v>5263</v>
      </c>
      <c r="Q16" s="29" t="s">
        <v>5364</v>
      </c>
      <c r="R16" s="29" t="s">
        <v>5365</v>
      </c>
      <c r="S16" s="29" t="s">
        <v>5266</v>
      </c>
      <c r="T16" s="28" t="s">
        <v>5267</v>
      </c>
      <c r="U16" s="62" t="s">
        <v>5366</v>
      </c>
    </row>
    <row r="17" customFormat="false" ht="72" hidden="false" customHeight="true" outlineLevel="0" collapsed="false">
      <c r="A17" s="59" t="s">
        <v>5367</v>
      </c>
      <c r="B17" s="59" t="s">
        <v>5368</v>
      </c>
      <c r="C17" s="59" t="s">
        <v>5369</v>
      </c>
      <c r="D17" s="59" t="s">
        <v>5258</v>
      </c>
      <c r="E17" s="60" t="n">
        <v>3</v>
      </c>
      <c r="F17" s="59" t="s">
        <v>1516</v>
      </c>
      <c r="G17" s="60" t="n">
        <v>3</v>
      </c>
      <c r="H17" s="59" t="s">
        <v>5351</v>
      </c>
      <c r="I17" s="60" t="n">
        <v>3</v>
      </c>
      <c r="J17" s="60" t="n">
        <v>1</v>
      </c>
      <c r="K17" s="59" t="s">
        <v>5370</v>
      </c>
      <c r="L17" s="60" t="s">
        <v>5371</v>
      </c>
      <c r="M17" s="60" t="b">
        <f aca="false">TRUE()</f>
        <v>1</v>
      </c>
      <c r="N17" s="60" t="n">
        <v>1</v>
      </c>
      <c r="O17" s="59" t="s">
        <v>5372</v>
      </c>
      <c r="P17" s="60" t="s">
        <v>1458</v>
      </c>
      <c r="Q17" s="60" t="s">
        <v>5355</v>
      </c>
      <c r="R17" s="60" t="s">
        <v>5373</v>
      </c>
      <c r="S17" s="60" t="s">
        <v>5266</v>
      </c>
      <c r="T17" s="59" t="s">
        <v>5267</v>
      </c>
      <c r="U17" s="61" t="s">
        <v>5374</v>
      </c>
    </row>
    <row r="18" customFormat="false" ht="72" hidden="false" customHeight="true" outlineLevel="0" collapsed="false">
      <c r="A18" s="28" t="s">
        <v>5375</v>
      </c>
      <c r="B18" s="28" t="s">
        <v>5376</v>
      </c>
      <c r="C18" s="28" t="s">
        <v>5377</v>
      </c>
      <c r="D18" s="28" t="s">
        <v>5258</v>
      </c>
      <c r="E18" s="29" t="n">
        <v>2</v>
      </c>
      <c r="F18" s="28" t="s">
        <v>1671</v>
      </c>
      <c r="G18" s="29" t="n">
        <v>2</v>
      </c>
      <c r="H18" s="28" t="s">
        <v>5378</v>
      </c>
      <c r="I18" s="29" t="n">
        <v>2</v>
      </c>
      <c r="J18" s="29" t="n">
        <v>1</v>
      </c>
      <c r="K18" s="28" t="s">
        <v>5379</v>
      </c>
      <c r="L18" s="29" t="s">
        <v>5380</v>
      </c>
      <c r="M18" s="29" t="b">
        <f aca="false">TRUE()</f>
        <v>1</v>
      </c>
      <c r="N18" s="29" t="n">
        <v>1</v>
      </c>
      <c r="O18" s="28" t="s">
        <v>5381</v>
      </c>
      <c r="P18" s="29" t="s">
        <v>1458</v>
      </c>
      <c r="Q18" s="29" t="s">
        <v>5382</v>
      </c>
      <c r="R18" s="29" t="s">
        <v>5383</v>
      </c>
      <c r="S18" s="29" t="s">
        <v>5266</v>
      </c>
      <c r="T18" s="28" t="s">
        <v>5267</v>
      </c>
      <c r="U18" s="62" t="s">
        <v>5384</v>
      </c>
    </row>
    <row r="19" customFormat="false" ht="72" hidden="false" customHeight="true" outlineLevel="0" collapsed="false">
      <c r="A19" s="59" t="s">
        <v>5385</v>
      </c>
      <c r="B19" s="59" t="s">
        <v>5386</v>
      </c>
      <c r="C19" s="59" t="s">
        <v>5387</v>
      </c>
      <c r="D19" s="59" t="s">
        <v>5258</v>
      </c>
      <c r="E19" s="60" t="n">
        <v>1</v>
      </c>
      <c r="F19" s="59" t="s">
        <v>1757</v>
      </c>
      <c r="G19" s="60" t="n">
        <v>1</v>
      </c>
      <c r="H19" s="59" t="s">
        <v>5323</v>
      </c>
      <c r="I19" s="60" t="n">
        <v>1</v>
      </c>
      <c r="J19" s="60" t="n">
        <v>1</v>
      </c>
      <c r="K19" s="59" t="s">
        <v>5388</v>
      </c>
      <c r="L19" s="60" t="s">
        <v>5389</v>
      </c>
      <c r="M19" s="60" t="b">
        <f aca="false">TRUE()</f>
        <v>1</v>
      </c>
      <c r="N19" s="60" t="n">
        <v>1</v>
      </c>
      <c r="O19" s="59" t="s">
        <v>5390</v>
      </c>
      <c r="P19" s="60" t="s">
        <v>5263</v>
      </c>
      <c r="Q19" s="60" t="s">
        <v>5391</v>
      </c>
      <c r="R19" s="60" t="s">
        <v>5392</v>
      </c>
      <c r="S19" s="60" t="s">
        <v>5266</v>
      </c>
      <c r="T19" s="59" t="s">
        <v>5267</v>
      </c>
      <c r="U19" s="61" t="s">
        <v>5393</v>
      </c>
    </row>
    <row r="20" customFormat="false" ht="72" hidden="false" customHeight="true" outlineLevel="0" collapsed="false">
      <c r="A20" s="28" t="s">
        <v>5394</v>
      </c>
      <c r="B20" s="28" t="s">
        <v>5395</v>
      </c>
      <c r="C20" s="28" t="s">
        <v>5396</v>
      </c>
      <c r="D20" s="28" t="s">
        <v>5258</v>
      </c>
      <c r="E20" s="29" t="n">
        <v>2</v>
      </c>
      <c r="F20" s="28" t="s">
        <v>1757</v>
      </c>
      <c r="G20" s="29" t="n">
        <v>2</v>
      </c>
      <c r="H20" s="28" t="s">
        <v>5279</v>
      </c>
      <c r="I20" s="29" t="n">
        <v>2</v>
      </c>
      <c r="J20" s="29" t="n">
        <v>1</v>
      </c>
      <c r="K20" s="28" t="s">
        <v>5397</v>
      </c>
      <c r="L20" s="29" t="s">
        <v>5398</v>
      </c>
      <c r="M20" s="29" t="b">
        <f aca="false">TRUE()</f>
        <v>1</v>
      </c>
      <c r="N20" s="29" t="n">
        <v>1</v>
      </c>
      <c r="O20" s="28" t="s">
        <v>5399</v>
      </c>
      <c r="P20" s="29" t="s">
        <v>1458</v>
      </c>
      <c r="Q20" s="29" t="s">
        <v>5400</v>
      </c>
      <c r="R20" s="29" t="s">
        <v>5401</v>
      </c>
      <c r="S20" s="29" t="s">
        <v>5266</v>
      </c>
      <c r="T20" s="28" t="s">
        <v>5267</v>
      </c>
      <c r="U20" s="62" t="s">
        <v>5402</v>
      </c>
    </row>
    <row r="21" customFormat="false" ht="72" hidden="false" customHeight="true" outlineLevel="0" collapsed="false">
      <c r="A21" s="59" t="s">
        <v>5403</v>
      </c>
      <c r="B21" s="59" t="s">
        <v>5404</v>
      </c>
      <c r="C21" s="59" t="s">
        <v>5405</v>
      </c>
      <c r="D21" s="59" t="s">
        <v>5258</v>
      </c>
      <c r="E21" s="60" t="n">
        <v>2</v>
      </c>
      <c r="F21" s="59" t="s">
        <v>1757</v>
      </c>
      <c r="G21" s="60" t="n">
        <v>2</v>
      </c>
      <c r="H21" s="59" t="s">
        <v>5406</v>
      </c>
      <c r="I21" s="60" t="n">
        <v>2</v>
      </c>
      <c r="J21" s="60" t="n">
        <v>1</v>
      </c>
      <c r="K21" s="59" t="s">
        <v>5407</v>
      </c>
      <c r="L21" s="60" t="s">
        <v>5408</v>
      </c>
      <c r="M21" s="60" t="b">
        <f aca="false">TRUE()</f>
        <v>1</v>
      </c>
      <c r="N21" s="60" t="n">
        <v>1</v>
      </c>
      <c r="O21" s="59" t="s">
        <v>5409</v>
      </c>
      <c r="P21" s="60" t="s">
        <v>1458</v>
      </c>
      <c r="Q21" s="60" t="s">
        <v>5410</v>
      </c>
      <c r="R21" s="60" t="s">
        <v>5411</v>
      </c>
      <c r="S21" s="60" t="s">
        <v>5266</v>
      </c>
      <c r="T21" s="59" t="s">
        <v>5267</v>
      </c>
      <c r="U21" s="61" t="s">
        <v>5412</v>
      </c>
    </row>
    <row r="22" customFormat="false" ht="72" hidden="false" customHeight="true" outlineLevel="0" collapsed="false">
      <c r="A22" s="28" t="s">
        <v>5413</v>
      </c>
      <c r="B22" s="28" t="s">
        <v>5414</v>
      </c>
      <c r="C22" s="28" t="s">
        <v>5415</v>
      </c>
      <c r="D22" s="28" t="s">
        <v>5258</v>
      </c>
      <c r="E22" s="29" t="n">
        <v>3</v>
      </c>
      <c r="F22" s="28" t="s">
        <v>1671</v>
      </c>
      <c r="G22" s="29" t="n">
        <v>3</v>
      </c>
      <c r="H22" s="28" t="s">
        <v>5416</v>
      </c>
      <c r="I22" s="29" t="n">
        <v>3</v>
      </c>
      <c r="J22" s="29" t="n">
        <v>2</v>
      </c>
      <c r="K22" s="28" t="s">
        <v>5417</v>
      </c>
      <c r="L22" s="29" t="s">
        <v>5418</v>
      </c>
      <c r="M22" s="29" t="b">
        <f aca="false">TRUE()</f>
        <v>1</v>
      </c>
      <c r="N22" s="29" t="n">
        <v>1</v>
      </c>
      <c r="O22" s="28" t="s">
        <v>5419</v>
      </c>
      <c r="P22" s="29" t="s">
        <v>1458</v>
      </c>
      <c r="Q22" s="29" t="s">
        <v>5420</v>
      </c>
      <c r="R22" s="29" t="s">
        <v>5421</v>
      </c>
      <c r="S22" s="29" t="s">
        <v>5266</v>
      </c>
      <c r="T22" s="28" t="s">
        <v>5267</v>
      </c>
      <c r="U22" s="62" t="s">
        <v>5422</v>
      </c>
    </row>
    <row r="23" customFormat="false" ht="72" hidden="false" customHeight="true" outlineLevel="0" collapsed="false">
      <c r="A23" s="59" t="s">
        <v>5423</v>
      </c>
      <c r="B23" s="59" t="s">
        <v>5424</v>
      </c>
      <c r="C23" s="59" t="s">
        <v>5425</v>
      </c>
      <c r="D23" s="59" t="s">
        <v>5258</v>
      </c>
      <c r="E23" s="60" t="n">
        <v>2</v>
      </c>
      <c r="F23" s="59" t="s">
        <v>1807</v>
      </c>
      <c r="G23" s="60" t="n">
        <v>2</v>
      </c>
      <c r="H23" s="59" t="s">
        <v>5287</v>
      </c>
      <c r="I23" s="60" t="n">
        <v>2</v>
      </c>
      <c r="J23" s="60" t="n">
        <v>1</v>
      </c>
      <c r="K23" s="59" t="s">
        <v>5426</v>
      </c>
      <c r="L23" s="60" t="s">
        <v>5427</v>
      </c>
      <c r="M23" s="60" t="b">
        <f aca="false">TRUE()</f>
        <v>1</v>
      </c>
      <c r="N23" s="60" t="n">
        <v>1</v>
      </c>
      <c r="O23" s="59" t="s">
        <v>5428</v>
      </c>
      <c r="P23" s="60" t="s">
        <v>1458</v>
      </c>
      <c r="Q23" s="60" t="s">
        <v>5429</v>
      </c>
      <c r="R23" s="60" t="s">
        <v>5430</v>
      </c>
      <c r="S23" s="60" t="s">
        <v>5266</v>
      </c>
      <c r="T23" s="59" t="s">
        <v>5267</v>
      </c>
      <c r="U23" s="61" t="s">
        <v>5431</v>
      </c>
    </row>
    <row r="24" customFormat="false" ht="72" hidden="false" customHeight="true" outlineLevel="0" collapsed="false">
      <c r="A24" s="28" t="s">
        <v>5432</v>
      </c>
      <c r="B24" s="28" t="s">
        <v>5433</v>
      </c>
      <c r="C24" s="28" t="s">
        <v>5434</v>
      </c>
      <c r="D24" s="28" t="s">
        <v>5258</v>
      </c>
      <c r="E24" s="29" t="n">
        <v>3</v>
      </c>
      <c r="F24" s="28" t="s">
        <v>1449</v>
      </c>
      <c r="G24" s="29" t="n">
        <v>3</v>
      </c>
      <c r="H24" s="28" t="s">
        <v>5259</v>
      </c>
      <c r="I24" s="29" t="n">
        <v>3</v>
      </c>
      <c r="J24" s="29" t="n">
        <v>2</v>
      </c>
      <c r="K24" s="28" t="s">
        <v>5435</v>
      </c>
      <c r="L24" s="29" t="s">
        <v>5436</v>
      </c>
      <c r="M24" s="29" t="b">
        <f aca="false">TRUE()</f>
        <v>1</v>
      </c>
      <c r="N24" s="29" t="n">
        <v>1</v>
      </c>
      <c r="O24" s="28" t="s">
        <v>5437</v>
      </c>
      <c r="P24" s="29" t="s">
        <v>1458</v>
      </c>
      <c r="Q24" s="29" t="s">
        <v>5438</v>
      </c>
      <c r="R24" s="29" t="s">
        <v>5439</v>
      </c>
      <c r="S24" s="29" t="s">
        <v>5266</v>
      </c>
      <c r="T24" s="28" t="s">
        <v>5267</v>
      </c>
      <c r="U24" s="62" t="s">
        <v>5440</v>
      </c>
    </row>
    <row r="25" customFormat="false" ht="72" hidden="false" customHeight="true" outlineLevel="0" collapsed="false">
      <c r="A25" s="59" t="s">
        <v>5441</v>
      </c>
      <c r="B25" s="59" t="s">
        <v>5442</v>
      </c>
      <c r="C25" s="59" t="s">
        <v>5443</v>
      </c>
      <c r="D25" s="59" t="s">
        <v>5258</v>
      </c>
      <c r="E25" s="60" t="n">
        <v>1</v>
      </c>
      <c r="F25" s="59" t="s">
        <v>1757</v>
      </c>
      <c r="G25" s="60" t="n">
        <v>1</v>
      </c>
      <c r="H25" s="59" t="s">
        <v>5259</v>
      </c>
      <c r="I25" s="60" t="n">
        <v>1</v>
      </c>
      <c r="J25" s="60" t="n">
        <v>1</v>
      </c>
      <c r="K25" s="59" t="s">
        <v>5444</v>
      </c>
      <c r="L25" s="60" t="s">
        <v>5445</v>
      </c>
      <c r="M25" s="60" t="b">
        <f aca="false">TRUE()</f>
        <v>1</v>
      </c>
      <c r="N25" s="60" t="n">
        <v>1</v>
      </c>
      <c r="O25" s="59" t="s">
        <v>5446</v>
      </c>
      <c r="P25" s="60" t="s">
        <v>5263</v>
      </c>
      <c r="Q25" s="60" t="s">
        <v>5447</v>
      </c>
      <c r="R25" s="60" t="s">
        <v>5448</v>
      </c>
      <c r="S25" s="60" t="s">
        <v>5266</v>
      </c>
      <c r="T25" s="59" t="s">
        <v>5267</v>
      </c>
      <c r="U25" s="61" t="s">
        <v>5449</v>
      </c>
    </row>
    <row r="26" customFormat="false" ht="72" hidden="false" customHeight="true" outlineLevel="0" collapsed="false">
      <c r="A26" s="28" t="s">
        <v>5450</v>
      </c>
      <c r="B26" s="28" t="s">
        <v>5451</v>
      </c>
      <c r="C26" s="28" t="s">
        <v>5452</v>
      </c>
      <c r="D26" s="28" t="s">
        <v>5258</v>
      </c>
      <c r="E26" s="29" t="n">
        <v>1</v>
      </c>
      <c r="F26" s="28" t="s">
        <v>1449</v>
      </c>
      <c r="G26" s="29" t="n">
        <v>1</v>
      </c>
      <c r="H26" s="28" t="s">
        <v>5323</v>
      </c>
      <c r="I26" s="29" t="n">
        <v>1</v>
      </c>
      <c r="J26" s="29" t="n">
        <v>1</v>
      </c>
      <c r="K26" s="28" t="s">
        <v>5453</v>
      </c>
      <c r="L26" s="29" t="s">
        <v>5454</v>
      </c>
      <c r="M26" s="29" t="b">
        <f aca="false">TRUE()</f>
        <v>1</v>
      </c>
      <c r="N26" s="29" t="n">
        <v>1</v>
      </c>
      <c r="O26" s="28" t="s">
        <v>5455</v>
      </c>
      <c r="P26" s="29" t="s">
        <v>5263</v>
      </c>
      <c r="Q26" s="29" t="s">
        <v>5456</v>
      </c>
      <c r="R26" s="29" t="s">
        <v>5457</v>
      </c>
      <c r="S26" s="29" t="s">
        <v>5266</v>
      </c>
      <c r="T26" s="28" t="s">
        <v>5267</v>
      </c>
      <c r="U26" s="62" t="s">
        <v>5458</v>
      </c>
    </row>
    <row r="27" customFormat="false" ht="72" hidden="false" customHeight="true" outlineLevel="0" collapsed="false">
      <c r="A27" s="59" t="s">
        <v>5459</v>
      </c>
      <c r="B27" s="59" t="s">
        <v>5460</v>
      </c>
      <c r="C27" s="59" t="s">
        <v>5461</v>
      </c>
      <c r="D27" s="59" t="s">
        <v>5258</v>
      </c>
      <c r="E27" s="60" t="n">
        <v>2</v>
      </c>
      <c r="F27" s="59" t="s">
        <v>1449</v>
      </c>
      <c r="G27" s="60" t="n">
        <v>2</v>
      </c>
      <c r="H27" s="59" t="s">
        <v>5279</v>
      </c>
      <c r="I27" s="60" t="n">
        <v>2</v>
      </c>
      <c r="J27" s="60" t="n">
        <v>2</v>
      </c>
      <c r="K27" s="59" t="s">
        <v>5462</v>
      </c>
      <c r="L27" s="60" t="s">
        <v>5463</v>
      </c>
      <c r="M27" s="60" t="b">
        <f aca="false">TRUE()</f>
        <v>1</v>
      </c>
      <c r="N27" s="60" t="n">
        <v>1</v>
      </c>
      <c r="O27" s="59" t="s">
        <v>5464</v>
      </c>
      <c r="P27" s="60" t="s">
        <v>1458</v>
      </c>
      <c r="Q27" s="60" t="s">
        <v>5465</v>
      </c>
      <c r="R27" s="60" t="s">
        <v>5466</v>
      </c>
      <c r="S27" s="60" t="s">
        <v>5266</v>
      </c>
      <c r="T27" s="59" t="s">
        <v>5267</v>
      </c>
      <c r="U27" s="61" t="s">
        <v>5467</v>
      </c>
    </row>
    <row r="28" customFormat="false" ht="72" hidden="false" customHeight="true" outlineLevel="0" collapsed="false">
      <c r="A28" s="28" t="s">
        <v>5468</v>
      </c>
      <c r="B28" s="28" t="s">
        <v>5469</v>
      </c>
      <c r="C28" s="28" t="s">
        <v>5470</v>
      </c>
      <c r="D28" s="28" t="s">
        <v>5258</v>
      </c>
      <c r="E28" s="29" t="n">
        <v>1</v>
      </c>
      <c r="F28" s="28" t="s">
        <v>1449</v>
      </c>
      <c r="G28" s="29" t="n">
        <v>1</v>
      </c>
      <c r="H28" s="28" t="s">
        <v>699</v>
      </c>
      <c r="I28" s="29" t="n">
        <v>1</v>
      </c>
      <c r="J28" s="29" t="n">
        <v>1</v>
      </c>
      <c r="K28" s="28" t="s">
        <v>5471</v>
      </c>
      <c r="L28" s="29" t="s">
        <v>5472</v>
      </c>
      <c r="M28" s="29" t="b">
        <f aca="false">TRUE()</f>
        <v>1</v>
      </c>
      <c r="N28" s="29" t="n">
        <v>1</v>
      </c>
      <c r="O28" s="28" t="s">
        <v>5473</v>
      </c>
      <c r="P28" s="29" t="s">
        <v>2316</v>
      </c>
      <c r="Q28" s="29" t="s">
        <v>5474</v>
      </c>
      <c r="R28" s="29" t="s">
        <v>5475</v>
      </c>
      <c r="S28" s="29" t="s">
        <v>5266</v>
      </c>
      <c r="T28" s="28" t="s">
        <v>5267</v>
      </c>
      <c r="U28" s="62" t="s">
        <v>5476</v>
      </c>
    </row>
    <row r="29" customFormat="false" ht="72" hidden="false" customHeight="true" outlineLevel="0" collapsed="false">
      <c r="A29" s="59" t="s">
        <v>5477</v>
      </c>
      <c r="B29" s="59" t="s">
        <v>5478</v>
      </c>
      <c r="C29" s="59" t="s">
        <v>5479</v>
      </c>
      <c r="D29" s="59" t="s">
        <v>5258</v>
      </c>
      <c r="E29" s="60" t="n">
        <v>1</v>
      </c>
      <c r="F29" s="59" t="s">
        <v>1857</v>
      </c>
      <c r="G29" s="60" t="n">
        <v>1</v>
      </c>
      <c r="H29" s="59" t="s">
        <v>5297</v>
      </c>
      <c r="I29" s="60" t="n">
        <v>1</v>
      </c>
      <c r="J29" s="60" t="n">
        <v>1</v>
      </c>
      <c r="K29" s="59" t="s">
        <v>5480</v>
      </c>
      <c r="L29" s="60" t="s">
        <v>5481</v>
      </c>
      <c r="M29" s="60" t="b">
        <f aca="false">TRUE()</f>
        <v>1</v>
      </c>
      <c r="N29" s="60" t="n">
        <v>1</v>
      </c>
      <c r="O29" s="59" t="s">
        <v>5482</v>
      </c>
      <c r="P29" s="60" t="s">
        <v>5263</v>
      </c>
      <c r="Q29" s="60" t="s">
        <v>5483</v>
      </c>
      <c r="R29" s="60" t="s">
        <v>5484</v>
      </c>
      <c r="S29" s="60" t="s">
        <v>5266</v>
      </c>
      <c r="T29" s="59" t="s">
        <v>5267</v>
      </c>
      <c r="U29" s="61" t="s">
        <v>5485</v>
      </c>
    </row>
    <row r="30" customFormat="false" ht="72" hidden="false" customHeight="true" outlineLevel="0" collapsed="false">
      <c r="A30" s="28" t="s">
        <v>5486</v>
      </c>
      <c r="B30" s="28" t="s">
        <v>5487</v>
      </c>
      <c r="C30" s="28" t="s">
        <v>5488</v>
      </c>
      <c r="D30" s="28" t="s">
        <v>5258</v>
      </c>
      <c r="E30" s="29" t="n">
        <v>1</v>
      </c>
      <c r="F30" s="28" t="s">
        <v>1955</v>
      </c>
      <c r="G30" s="29" t="n">
        <v>1</v>
      </c>
      <c r="H30" s="28" t="s">
        <v>5297</v>
      </c>
      <c r="I30" s="29" t="n">
        <v>1</v>
      </c>
      <c r="J30" s="29" t="n">
        <v>1</v>
      </c>
      <c r="K30" s="28" t="s">
        <v>5480</v>
      </c>
      <c r="L30" s="29" t="s">
        <v>5489</v>
      </c>
      <c r="M30" s="29" t="b">
        <f aca="false">TRUE()</f>
        <v>1</v>
      </c>
      <c r="N30" s="29" t="n">
        <v>1</v>
      </c>
      <c r="O30" s="28" t="s">
        <v>5490</v>
      </c>
      <c r="P30" s="29" t="s">
        <v>5263</v>
      </c>
      <c r="Q30" s="29" t="s">
        <v>5483</v>
      </c>
      <c r="R30" s="29" t="s">
        <v>5491</v>
      </c>
      <c r="S30" s="29" t="s">
        <v>5266</v>
      </c>
      <c r="T30" s="28" t="s">
        <v>5267</v>
      </c>
      <c r="U30" s="62" t="s">
        <v>5492</v>
      </c>
    </row>
    <row r="31" customFormat="false" ht="72" hidden="false" customHeight="true" outlineLevel="0" collapsed="false">
      <c r="A31" s="59" t="s">
        <v>5493</v>
      </c>
      <c r="B31" s="59" t="s">
        <v>5494</v>
      </c>
      <c r="C31" s="59" t="s">
        <v>5495</v>
      </c>
      <c r="D31" s="59" t="s">
        <v>5258</v>
      </c>
      <c r="E31" s="60" t="n">
        <v>2</v>
      </c>
      <c r="F31" s="59" t="s">
        <v>1757</v>
      </c>
      <c r="G31" s="60" t="n">
        <v>2</v>
      </c>
      <c r="H31" s="59" t="s">
        <v>5378</v>
      </c>
      <c r="I31" s="60" t="n">
        <v>2</v>
      </c>
      <c r="J31" s="60" t="n">
        <v>1</v>
      </c>
      <c r="K31" s="59" t="s">
        <v>5496</v>
      </c>
      <c r="L31" s="60" t="s">
        <v>5497</v>
      </c>
      <c r="M31" s="60" t="b">
        <f aca="false">TRUE()</f>
        <v>1</v>
      </c>
      <c r="N31" s="60" t="n">
        <v>1</v>
      </c>
      <c r="O31" s="59" t="s">
        <v>5498</v>
      </c>
      <c r="P31" s="60" t="s">
        <v>1458</v>
      </c>
      <c r="Q31" s="60" t="s">
        <v>5499</v>
      </c>
      <c r="R31" s="60" t="s">
        <v>5500</v>
      </c>
      <c r="S31" s="60" t="s">
        <v>5266</v>
      </c>
      <c r="T31" s="59" t="s">
        <v>5267</v>
      </c>
      <c r="U31" s="61" t="s">
        <v>5501</v>
      </c>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mergeCells count="2">
    <mergeCell ref="A1:U1"/>
    <mergeCell ref="A2:U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5502</v>
      </c>
      <c r="B1" s="47"/>
      <c r="C1" s="47"/>
      <c r="D1" s="47"/>
      <c r="E1" s="47"/>
      <c r="F1" s="47"/>
      <c r="G1" s="47"/>
    </row>
    <row r="2" customFormat="false" ht="36" hidden="false" customHeight="true" outlineLevel="0" collapsed="false">
      <c r="A2" s="48" t="s">
        <v>3789</v>
      </c>
      <c r="B2" s="48" t="s">
        <v>5005</v>
      </c>
      <c r="C2" s="48" t="s">
        <v>5503</v>
      </c>
      <c r="D2" s="48" t="s">
        <v>5504</v>
      </c>
      <c r="E2" s="48" t="s">
        <v>5008</v>
      </c>
      <c r="F2" s="48" t="s">
        <v>5009</v>
      </c>
      <c r="G2" s="48" t="s">
        <v>4</v>
      </c>
    </row>
    <row r="3" customFormat="false" ht="39.75" hidden="false" customHeight="true" outlineLevel="0" collapsed="false">
      <c r="A3" s="27"/>
      <c r="B3" s="27"/>
      <c r="C3" s="27"/>
      <c r="D3" s="27"/>
      <c r="E3" s="27"/>
      <c r="F3" s="27"/>
      <c r="G3" s="27"/>
    </row>
    <row r="4" customFormat="false" ht="48" hidden="false" customHeight="true" outlineLevel="0" collapsed="false">
      <c r="A4" s="49" t="s">
        <v>5505</v>
      </c>
      <c r="B4" s="49" t="s">
        <v>5506</v>
      </c>
      <c r="C4" s="49" t="s">
        <v>5507</v>
      </c>
      <c r="D4" s="49" t="s">
        <v>5508</v>
      </c>
      <c r="E4" s="49" t="s">
        <v>5509</v>
      </c>
      <c r="F4" s="49" t="s">
        <v>5510</v>
      </c>
      <c r="G4" s="49" t="s">
        <v>5511</v>
      </c>
    </row>
    <row r="5" customFormat="false" ht="48" hidden="false" customHeight="true" outlineLevel="0" collapsed="false">
      <c r="A5" s="49" t="s">
        <v>5505</v>
      </c>
      <c r="B5" s="49" t="s">
        <v>5512</v>
      </c>
      <c r="C5" s="49" t="s">
        <v>5513</v>
      </c>
      <c r="D5" s="49" t="s">
        <v>5514</v>
      </c>
      <c r="E5" s="49" t="s">
        <v>5515</v>
      </c>
      <c r="F5" s="49" t="s">
        <v>5510</v>
      </c>
      <c r="G5" s="49" t="s">
        <v>5511</v>
      </c>
    </row>
    <row r="6" customFormat="false" ht="48" hidden="false" customHeight="true" outlineLevel="0" collapsed="false">
      <c r="A6" s="49" t="s">
        <v>5505</v>
      </c>
      <c r="B6" s="49" t="s">
        <v>5516</v>
      </c>
      <c r="C6" s="49" t="s">
        <v>5517</v>
      </c>
      <c r="D6" s="49" t="s">
        <v>5518</v>
      </c>
      <c r="E6" s="49" t="s">
        <v>5519</v>
      </c>
      <c r="F6" s="49" t="s">
        <v>5520</v>
      </c>
      <c r="G6" s="49" t="s">
        <v>5511</v>
      </c>
    </row>
    <row r="7" customFormat="false" ht="48" hidden="false" customHeight="true" outlineLevel="0" collapsed="false">
      <c r="A7" s="49" t="s">
        <v>5521</v>
      </c>
      <c r="B7" s="49" t="s">
        <v>5522</v>
      </c>
      <c r="C7" s="49" t="s">
        <v>5523</v>
      </c>
      <c r="D7" s="49" t="s">
        <v>5524</v>
      </c>
      <c r="E7" s="49" t="s">
        <v>5525</v>
      </c>
      <c r="F7" s="49" t="s">
        <v>5526</v>
      </c>
      <c r="G7" s="49" t="s">
        <v>5527</v>
      </c>
    </row>
    <row r="8" customFormat="false" ht="48" hidden="false" customHeight="true" outlineLevel="0" collapsed="false">
      <c r="A8" s="49" t="s">
        <v>5528</v>
      </c>
      <c r="B8" s="49" t="s">
        <v>5529</v>
      </c>
      <c r="C8" s="49" t="s">
        <v>5530</v>
      </c>
      <c r="D8" s="49" t="s">
        <v>5531</v>
      </c>
      <c r="E8" s="49" t="s">
        <v>5532</v>
      </c>
      <c r="F8" s="49" t="s">
        <v>5533</v>
      </c>
      <c r="G8" s="49" t="s">
        <v>5028</v>
      </c>
    </row>
    <row r="9" customFormat="false" ht="48" hidden="false" customHeight="true" outlineLevel="0" collapsed="false">
      <c r="A9" s="49" t="s">
        <v>5534</v>
      </c>
      <c r="B9" s="49" t="s">
        <v>5535</v>
      </c>
      <c r="C9" s="49" t="s">
        <v>5536</v>
      </c>
      <c r="D9" s="49" t="s">
        <v>5537</v>
      </c>
      <c r="E9" s="49" t="s">
        <v>5538</v>
      </c>
      <c r="F9" s="49" t="s">
        <v>5539</v>
      </c>
      <c r="G9" s="49" t="s">
        <v>5540</v>
      </c>
    </row>
    <row r="10" customFormat="false" ht="48" hidden="false" customHeight="true" outlineLevel="0" collapsed="false">
      <c r="A10" s="49" t="s">
        <v>5541</v>
      </c>
      <c r="B10" s="49" t="s">
        <v>5542</v>
      </c>
      <c r="C10" s="49" t="s">
        <v>5543</v>
      </c>
      <c r="D10" s="49" t="s">
        <v>5544</v>
      </c>
      <c r="E10" s="49" t="s">
        <v>5545</v>
      </c>
      <c r="F10" s="49" t="s">
        <v>5546</v>
      </c>
      <c r="G10" s="49" t="s">
        <v>5016</v>
      </c>
    </row>
    <row r="11" customFormat="false" ht="48" hidden="false" customHeight="true" outlineLevel="0" collapsed="false">
      <c r="A11" s="49" t="s">
        <v>5547</v>
      </c>
      <c r="B11" s="49" t="s">
        <v>5548</v>
      </c>
      <c r="C11" s="49" t="s">
        <v>5549</v>
      </c>
      <c r="D11" s="49" t="s">
        <v>5550</v>
      </c>
      <c r="E11" s="49" t="s">
        <v>5551</v>
      </c>
      <c r="F11" s="49" t="s">
        <v>5552</v>
      </c>
      <c r="G11" s="49" t="s">
        <v>5527</v>
      </c>
    </row>
    <row r="12" customFormat="false" ht="48" hidden="false" customHeight="true" outlineLevel="0" collapsed="false">
      <c r="A12" s="49" t="s">
        <v>4937</v>
      </c>
      <c r="B12" s="49" t="s">
        <v>5553</v>
      </c>
      <c r="C12" s="49" t="s">
        <v>5554</v>
      </c>
      <c r="D12" s="49" t="s">
        <v>5555</v>
      </c>
      <c r="E12" s="49" t="s">
        <v>5556</v>
      </c>
      <c r="F12" s="49" t="s">
        <v>5254</v>
      </c>
      <c r="G12" s="49" t="s">
        <v>5557</v>
      </c>
    </row>
    <row r="13" customFormat="false" ht="48" hidden="false" customHeight="true" outlineLevel="0" collapsed="false">
      <c r="A13" s="49" t="s">
        <v>4937</v>
      </c>
      <c r="B13" s="49" t="s">
        <v>5558</v>
      </c>
      <c r="C13" s="49" t="s">
        <v>5559</v>
      </c>
      <c r="D13" s="49" t="s">
        <v>5560</v>
      </c>
      <c r="E13" s="49" t="s">
        <v>5561</v>
      </c>
      <c r="F13" s="49" t="s">
        <v>5526</v>
      </c>
      <c r="G13" s="49" t="s">
        <v>5527</v>
      </c>
    </row>
    <row r="14" customFormat="false" ht="48" hidden="false" customHeight="true" outlineLevel="0" collapsed="false">
      <c r="A14" s="49" t="s">
        <v>5562</v>
      </c>
      <c r="B14" s="49" t="s">
        <v>5563</v>
      </c>
      <c r="C14" s="49" t="s">
        <v>5564</v>
      </c>
      <c r="D14" s="49" t="s">
        <v>5565</v>
      </c>
      <c r="E14" s="49" t="s">
        <v>5566</v>
      </c>
      <c r="F14" s="49" t="s">
        <v>5533</v>
      </c>
      <c r="G14" s="49" t="s">
        <v>5567</v>
      </c>
    </row>
    <row r="15" customFormat="false" ht="48" hidden="false" customHeight="true" outlineLevel="0" collapsed="false">
      <c r="A15" s="49" t="s">
        <v>5562</v>
      </c>
      <c r="B15" s="49" t="s">
        <v>5568</v>
      </c>
      <c r="C15" s="49" t="s">
        <v>5569</v>
      </c>
      <c r="D15" s="49" t="s">
        <v>5570</v>
      </c>
      <c r="E15" s="49" t="s">
        <v>5571</v>
      </c>
      <c r="F15" s="49" t="s">
        <v>5520</v>
      </c>
      <c r="G15" s="49" t="s">
        <v>5527</v>
      </c>
    </row>
    <row r="16" customFormat="false" ht="48" hidden="false" customHeight="true" outlineLevel="0" collapsed="false">
      <c r="A16" s="49"/>
      <c r="B16" s="49"/>
      <c r="C16" s="49"/>
      <c r="D16" s="49"/>
      <c r="E16" s="49"/>
      <c r="F16" s="49"/>
      <c r="G16" s="49"/>
    </row>
    <row r="17" customFormat="false" ht="48" hidden="false" customHeight="true" outlineLevel="0" collapsed="false">
      <c r="A17" s="49"/>
      <c r="B17" s="49"/>
      <c r="C17" s="49"/>
      <c r="D17" s="49"/>
      <c r="E17" s="49"/>
      <c r="F17" s="49"/>
      <c r="G17" s="49"/>
    </row>
    <row r="18" customFormat="false" ht="48" hidden="false" customHeight="true" outlineLevel="0" collapsed="false">
      <c r="A18" s="49"/>
      <c r="B18" s="49"/>
      <c r="C18" s="49"/>
      <c r="D18" s="49"/>
      <c r="E18" s="49"/>
      <c r="F18" s="49"/>
      <c r="G18" s="49"/>
    </row>
    <row r="19" customFormat="false" ht="48" hidden="false" customHeight="true" outlineLevel="0" collapsed="false">
      <c r="A19" s="49"/>
      <c r="B19" s="49"/>
      <c r="C19" s="49"/>
      <c r="D19" s="49"/>
      <c r="E19" s="49"/>
      <c r="F19" s="49"/>
      <c r="G19" s="49"/>
    </row>
    <row r="20" customFormat="false" ht="25.5" hidden="false" customHeight="true" outlineLevel="0" collapsed="false">
      <c r="A20" s="50" t="s">
        <v>5572</v>
      </c>
      <c r="B20" s="50"/>
      <c r="C20" s="50"/>
      <c r="D20" s="50"/>
      <c r="E20" s="50"/>
      <c r="F20" s="50"/>
      <c r="G20" s="50"/>
      <c r="H20" s="50"/>
      <c r="I20" s="50"/>
      <c r="J20" s="50"/>
      <c r="K20" s="50"/>
      <c r="L20" s="50"/>
      <c r="M20" s="50"/>
      <c r="N20" s="50"/>
      <c r="O20" s="50"/>
      <c r="P20" s="50"/>
      <c r="Q20" s="50"/>
    </row>
    <row r="21" customFormat="false" ht="36" hidden="false" customHeight="true" outlineLevel="0" collapsed="false">
      <c r="A21" s="48" t="s">
        <v>5573</v>
      </c>
      <c r="B21" s="48" t="s">
        <v>5574</v>
      </c>
      <c r="C21" s="48" t="s">
        <v>5575</v>
      </c>
      <c r="D21" s="48" t="s">
        <v>5576</v>
      </c>
      <c r="E21" s="48" t="s">
        <v>5577</v>
      </c>
      <c r="F21" s="48" t="s">
        <v>5578</v>
      </c>
      <c r="G21" s="48" t="s">
        <v>4</v>
      </c>
      <c r="H21" s="48"/>
      <c r="I21" s="48"/>
      <c r="J21" s="48"/>
      <c r="K21" s="48"/>
      <c r="L21" s="48"/>
      <c r="M21" s="48"/>
      <c r="N21" s="48"/>
      <c r="O21" s="48"/>
      <c r="P21" s="48"/>
      <c r="Q21" s="48"/>
    </row>
    <row r="22" customFormat="false" ht="42" hidden="false" customHeight="true" outlineLevel="0" collapsed="false">
      <c r="A22" s="52" t="s">
        <v>5579</v>
      </c>
      <c r="B22" s="52" t="s">
        <v>5580</v>
      </c>
      <c r="C22" s="52" t="s">
        <v>5581</v>
      </c>
      <c r="D22" s="52" t="s">
        <v>5582</v>
      </c>
      <c r="E22" s="52" t="s">
        <v>5583</v>
      </c>
      <c r="F22" s="52" t="s">
        <v>5584</v>
      </c>
      <c r="G22" s="52" t="s">
        <v>5089</v>
      </c>
      <c r="H22" s="52"/>
      <c r="I22" s="52"/>
      <c r="J22" s="52"/>
      <c r="K22" s="52"/>
      <c r="L22" s="52"/>
      <c r="M22" s="52"/>
      <c r="N22" s="52"/>
      <c r="O22" s="52"/>
      <c r="P22" s="53"/>
      <c r="Q22" s="52"/>
    </row>
    <row r="23" customFormat="false" ht="42" hidden="false" customHeight="true" outlineLevel="0" collapsed="false">
      <c r="A23" s="55" t="s">
        <v>5585</v>
      </c>
      <c r="B23" s="55" t="s">
        <v>5586</v>
      </c>
      <c r="C23" s="55" t="s">
        <v>5587</v>
      </c>
      <c r="D23" s="55" t="s">
        <v>5588</v>
      </c>
      <c r="E23" s="55" t="s">
        <v>5589</v>
      </c>
      <c r="F23" s="55" t="s">
        <v>5590</v>
      </c>
      <c r="G23" s="55" t="s">
        <v>5591</v>
      </c>
      <c r="H23" s="55"/>
      <c r="I23" s="55"/>
      <c r="J23" s="55"/>
      <c r="K23" s="55"/>
      <c r="L23" s="55"/>
      <c r="M23" s="55"/>
      <c r="N23" s="55"/>
      <c r="O23" s="55"/>
      <c r="P23" s="56"/>
      <c r="Q23" s="55"/>
    </row>
    <row r="24" customFormat="false" ht="42" hidden="false" customHeight="true" outlineLevel="0" collapsed="false">
      <c r="A24" s="57" t="s">
        <v>5592</v>
      </c>
      <c r="B24" s="57" t="s">
        <v>5593</v>
      </c>
      <c r="C24" s="57" t="s">
        <v>5587</v>
      </c>
      <c r="D24" s="57" t="s">
        <v>5594</v>
      </c>
      <c r="E24" s="57" t="s">
        <v>5595</v>
      </c>
      <c r="F24" s="57" t="s">
        <v>5590</v>
      </c>
      <c r="G24" s="57" t="s">
        <v>5591</v>
      </c>
      <c r="H24" s="57"/>
      <c r="I24" s="57"/>
      <c r="J24" s="57"/>
      <c r="K24" s="57"/>
      <c r="L24" s="57"/>
      <c r="M24" s="57"/>
      <c r="N24" s="57"/>
      <c r="O24" s="57"/>
      <c r="P24" s="58"/>
      <c r="Q24" s="57"/>
    </row>
    <row r="25" customFormat="false" ht="42" hidden="false" customHeight="true" outlineLevel="0" collapsed="false">
      <c r="A25" s="52" t="s">
        <v>5596</v>
      </c>
      <c r="B25" s="52" t="s">
        <v>5597</v>
      </c>
      <c r="C25" s="52" t="s">
        <v>5587</v>
      </c>
      <c r="D25" s="52" t="s">
        <v>5598</v>
      </c>
      <c r="E25" s="52" t="s">
        <v>5599</v>
      </c>
      <c r="F25" s="52" t="s">
        <v>5590</v>
      </c>
      <c r="G25" s="52" t="s">
        <v>5591</v>
      </c>
      <c r="H25" s="52"/>
      <c r="I25" s="52"/>
      <c r="J25" s="52"/>
      <c r="K25" s="52"/>
      <c r="L25" s="52"/>
      <c r="M25" s="52"/>
      <c r="N25" s="52"/>
      <c r="O25" s="52"/>
      <c r="P25" s="53"/>
      <c r="Q25" s="52"/>
    </row>
    <row r="26" customFormat="false" ht="25.5" hidden="false" customHeight="true" outlineLevel="0" collapsed="false">
      <c r="A26" s="50" t="s">
        <v>5600</v>
      </c>
      <c r="B26" s="50"/>
      <c r="C26" s="50"/>
      <c r="D26" s="50"/>
      <c r="E26" s="50"/>
      <c r="F26" s="50"/>
      <c r="G26" s="50"/>
      <c r="H26" s="50"/>
      <c r="I26" s="50"/>
      <c r="J26" s="50"/>
      <c r="K26" s="50"/>
      <c r="L26" s="50"/>
      <c r="M26" s="50"/>
      <c r="N26" s="50"/>
      <c r="O26" s="50"/>
      <c r="P26" s="50"/>
      <c r="Q26" s="50"/>
    </row>
    <row r="27" customFormat="false" ht="36" hidden="false" customHeight="true" outlineLevel="0" collapsed="false">
      <c r="A27" s="48" t="s">
        <v>5601</v>
      </c>
      <c r="B27" s="48" t="s">
        <v>5602</v>
      </c>
      <c r="C27" s="48" t="s">
        <v>5603</v>
      </c>
      <c r="D27" s="48" t="s">
        <v>5604</v>
      </c>
      <c r="E27" s="48" t="s">
        <v>5605</v>
      </c>
      <c r="F27" s="48" t="s">
        <v>5590</v>
      </c>
      <c r="G27" s="48" t="s">
        <v>5591</v>
      </c>
    </row>
    <row r="28" customFormat="false" ht="42" hidden="false" customHeight="true" outlineLevel="0" collapsed="false">
      <c r="A28" s="49" t="s">
        <v>5606</v>
      </c>
      <c r="B28" s="49" t="s">
        <v>5607</v>
      </c>
      <c r="C28" s="49" t="s">
        <v>5608</v>
      </c>
      <c r="D28" s="49" t="s">
        <v>5609</v>
      </c>
      <c r="E28" s="49" t="s">
        <v>5610</v>
      </c>
      <c r="F28" s="49" t="s">
        <v>5611</v>
      </c>
      <c r="G28" s="49" t="s">
        <v>5612</v>
      </c>
    </row>
    <row r="29" customFormat="false" ht="42" hidden="false" customHeight="true" outlineLevel="0" collapsed="false">
      <c r="A29" s="49"/>
      <c r="B29" s="49"/>
      <c r="C29" s="49"/>
      <c r="D29" s="49"/>
      <c r="E29" s="49"/>
      <c r="F29" s="49"/>
      <c r="G29" s="49"/>
    </row>
    <row r="30" customFormat="false" ht="42" hidden="false" customHeight="true" outlineLevel="0" collapsed="false">
      <c r="A30" s="49" t="s">
        <v>5613</v>
      </c>
      <c r="B30" s="49"/>
      <c r="C30" s="49"/>
      <c r="D30" s="49"/>
      <c r="E30" s="49"/>
      <c r="F30" s="49"/>
      <c r="G30" s="49"/>
      <c r="Q30" s="54"/>
    </row>
    <row r="31" customFormat="false" ht="51.75" hidden="false" customHeight="true" outlineLevel="0" collapsed="false">
      <c r="A31" s="54" t="s">
        <v>3306</v>
      </c>
      <c r="B31" s="54" t="s">
        <v>3307</v>
      </c>
      <c r="C31" s="54"/>
      <c r="D31" s="54"/>
      <c r="E31" s="54"/>
      <c r="F31" s="54"/>
      <c r="G31" s="54"/>
      <c r="H31" s="54"/>
      <c r="I31" s="54"/>
      <c r="J31" s="54"/>
      <c r="K31" s="54"/>
      <c r="L31" s="54"/>
      <c r="M31" s="54"/>
      <c r="N31" s="54"/>
      <c r="O31" s="54"/>
      <c r="P31" s="54"/>
      <c r="Q31" s="54" t="s">
        <v>5614</v>
      </c>
    </row>
    <row r="32" customFormat="false" ht="51.75" hidden="false" customHeight="true" outlineLevel="0" collapsed="false">
      <c r="A32" s="54" t="s">
        <v>3309</v>
      </c>
      <c r="B32" s="54" t="s">
        <v>3310</v>
      </c>
      <c r="C32" s="54"/>
      <c r="D32" s="54"/>
      <c r="E32" s="54"/>
      <c r="F32" s="54"/>
      <c r="G32" s="54"/>
      <c r="H32" s="54"/>
      <c r="I32" s="54"/>
      <c r="J32" s="54"/>
      <c r="K32" s="54"/>
      <c r="L32" s="54"/>
      <c r="M32" s="54"/>
      <c r="N32" s="54"/>
      <c r="O32" s="54"/>
      <c r="P32" s="54"/>
      <c r="Q32" s="54" t="s">
        <v>5614</v>
      </c>
    </row>
    <row r="33" customFormat="false" ht="51.75" hidden="false" customHeight="true" outlineLevel="0" collapsed="false">
      <c r="A33" s="54" t="s">
        <v>3311</v>
      </c>
      <c r="B33" s="54" t="s">
        <v>3312</v>
      </c>
      <c r="C33" s="54"/>
      <c r="D33" s="54"/>
      <c r="E33" s="54"/>
      <c r="F33" s="54"/>
      <c r="G33" s="54"/>
      <c r="H33" s="54"/>
      <c r="I33" s="54"/>
      <c r="J33" s="54"/>
      <c r="K33" s="54"/>
      <c r="L33" s="54"/>
      <c r="M33" s="54"/>
      <c r="N33" s="54"/>
      <c r="O33" s="54"/>
      <c r="P33" s="54"/>
      <c r="Q33" s="54" t="s">
        <v>5614</v>
      </c>
    </row>
    <row r="34" customFormat="false" ht="51.75" hidden="false" customHeight="true" outlineLevel="0" collapsed="false">
      <c r="A34" s="54" t="s">
        <v>3313</v>
      </c>
      <c r="B34" s="54" t="s">
        <v>3314</v>
      </c>
      <c r="C34" s="54"/>
      <c r="D34" s="54"/>
      <c r="E34" s="54"/>
      <c r="F34" s="54"/>
      <c r="G34" s="54"/>
      <c r="H34" s="54"/>
      <c r="I34" s="54"/>
      <c r="J34" s="54"/>
      <c r="K34" s="54"/>
      <c r="L34" s="54"/>
      <c r="M34" s="54"/>
      <c r="N34" s="54"/>
      <c r="O34" s="54"/>
      <c r="P34" s="54"/>
      <c r="Q34" s="54" t="s">
        <v>5614</v>
      </c>
    </row>
    <row r="35" customFormat="false" ht="51.75" hidden="false" customHeight="true" outlineLevel="0" collapsed="false">
      <c r="A35" s="54" t="s">
        <v>3315</v>
      </c>
      <c r="B35" s="54" t="s">
        <v>3316</v>
      </c>
      <c r="C35" s="54"/>
      <c r="D35" s="54"/>
      <c r="E35" s="54"/>
      <c r="F35" s="54"/>
      <c r="G35" s="54"/>
      <c r="H35" s="54"/>
      <c r="I35" s="54"/>
      <c r="J35" s="54"/>
      <c r="K35" s="54"/>
      <c r="L35" s="54"/>
      <c r="M35" s="54"/>
      <c r="N35" s="54"/>
      <c r="O35" s="54"/>
      <c r="P35" s="54"/>
      <c r="Q35" s="54" t="s">
        <v>5614</v>
      </c>
    </row>
    <row r="36" customFormat="false" ht="51.75" hidden="false" customHeight="true" outlineLevel="0" collapsed="false">
      <c r="A36" s="54" t="s">
        <v>3317</v>
      </c>
      <c r="B36" s="54" t="s">
        <v>3318</v>
      </c>
      <c r="C36" s="54"/>
      <c r="D36" s="54"/>
      <c r="E36" s="54"/>
      <c r="F36" s="54"/>
      <c r="G36" s="54"/>
      <c r="H36" s="54"/>
      <c r="I36" s="54"/>
      <c r="J36" s="54"/>
      <c r="K36" s="54"/>
      <c r="L36" s="54"/>
      <c r="M36" s="54"/>
      <c r="N36" s="54"/>
      <c r="O36" s="54"/>
      <c r="P36" s="54"/>
      <c r="Q36" s="54" t="s">
        <v>5614</v>
      </c>
    </row>
    <row r="37" customFormat="false" ht="51.75" hidden="false" customHeight="true" outlineLevel="0" collapsed="false">
      <c r="A37" s="54" t="s">
        <v>3319</v>
      </c>
      <c r="B37" s="54" t="s">
        <v>3320</v>
      </c>
      <c r="C37" s="54"/>
      <c r="D37" s="54"/>
      <c r="E37" s="54"/>
      <c r="F37" s="54"/>
      <c r="G37" s="54"/>
      <c r="H37" s="54"/>
      <c r="I37" s="54"/>
      <c r="J37" s="54"/>
      <c r="K37" s="54"/>
      <c r="L37" s="54"/>
      <c r="M37" s="54"/>
      <c r="N37" s="54"/>
      <c r="O37" s="54"/>
      <c r="P37" s="54"/>
      <c r="Q37" s="54" t="s">
        <v>5614</v>
      </c>
    </row>
    <row r="38" customFormat="false" ht="51.75" hidden="false" customHeight="true" outlineLevel="0" collapsed="false">
      <c r="A38" s="54" t="s">
        <v>3321</v>
      </c>
      <c r="B38" s="54" t="s">
        <v>3322</v>
      </c>
      <c r="C38" s="54"/>
      <c r="D38" s="54"/>
      <c r="E38" s="54"/>
      <c r="F38" s="54"/>
      <c r="G38" s="54"/>
      <c r="H38" s="54"/>
      <c r="I38" s="54"/>
      <c r="J38" s="54"/>
      <c r="K38" s="54"/>
      <c r="L38" s="54"/>
      <c r="M38" s="54"/>
      <c r="N38" s="54"/>
      <c r="O38" s="54"/>
      <c r="P38" s="54"/>
      <c r="Q38" s="54" t="s">
        <v>5614</v>
      </c>
    </row>
    <row r="39" customFormat="false" ht="51.75" hidden="false" customHeight="true" outlineLevel="0" collapsed="false">
      <c r="A39" s="54" t="s">
        <v>3323</v>
      </c>
      <c r="B39" s="54" t="s">
        <v>3324</v>
      </c>
      <c r="C39" s="54"/>
      <c r="D39" s="54"/>
      <c r="E39" s="54"/>
      <c r="F39" s="54"/>
      <c r="G39" s="54"/>
      <c r="H39" s="54"/>
      <c r="I39" s="54"/>
      <c r="J39" s="54"/>
      <c r="K39" s="54"/>
      <c r="L39" s="54"/>
      <c r="M39" s="54"/>
      <c r="N39" s="54"/>
      <c r="O39" s="54"/>
      <c r="P39" s="54"/>
      <c r="Q39" s="54" t="s">
        <v>5614</v>
      </c>
    </row>
    <row r="40" customFormat="false" ht="51.75" hidden="false" customHeight="true" outlineLevel="0" collapsed="false">
      <c r="A40" s="54" t="s">
        <v>3325</v>
      </c>
      <c r="B40" s="54" t="s">
        <v>3326</v>
      </c>
      <c r="C40" s="54"/>
      <c r="D40" s="54"/>
      <c r="E40" s="54"/>
      <c r="F40" s="54"/>
      <c r="G40" s="54"/>
      <c r="H40" s="54"/>
      <c r="I40" s="54"/>
      <c r="J40" s="54"/>
      <c r="K40" s="54"/>
      <c r="L40" s="54"/>
      <c r="M40" s="54"/>
      <c r="N40" s="54"/>
      <c r="O40" s="54"/>
      <c r="P40" s="54"/>
      <c r="Q40" s="54" t="s">
        <v>5614</v>
      </c>
    </row>
    <row r="41" customFormat="false" ht="51.75" hidden="false" customHeight="true" outlineLevel="0" collapsed="false">
      <c r="A41" s="54" t="s">
        <v>3327</v>
      </c>
      <c r="B41" s="54" t="s">
        <v>3328</v>
      </c>
      <c r="C41" s="54"/>
      <c r="D41" s="54"/>
      <c r="E41" s="54"/>
      <c r="F41" s="54"/>
      <c r="G41" s="54"/>
      <c r="H41" s="54"/>
      <c r="I41" s="54"/>
      <c r="J41" s="54"/>
      <c r="K41" s="54"/>
      <c r="L41" s="54"/>
      <c r="M41" s="54"/>
      <c r="N41" s="54"/>
      <c r="O41" s="54"/>
      <c r="P41" s="54"/>
      <c r="Q41" s="54" t="s">
        <v>5614</v>
      </c>
    </row>
    <row r="42" customFormat="false" ht="51.75" hidden="false" customHeight="true" outlineLevel="0" collapsed="false">
      <c r="A42" s="54" t="s">
        <v>3329</v>
      </c>
      <c r="B42" s="54" t="s">
        <v>3330</v>
      </c>
      <c r="C42" s="54"/>
      <c r="D42" s="54"/>
      <c r="E42" s="54"/>
      <c r="F42" s="54"/>
      <c r="G42" s="54"/>
      <c r="H42" s="54"/>
      <c r="I42" s="54"/>
      <c r="J42" s="54"/>
      <c r="K42" s="54"/>
      <c r="L42" s="54"/>
      <c r="M42" s="54"/>
      <c r="N42" s="54"/>
      <c r="O42" s="54"/>
      <c r="P42" s="54"/>
      <c r="Q42" s="54" t="s">
        <v>5614</v>
      </c>
    </row>
  </sheetData>
  <mergeCells count="15">
    <mergeCell ref="A1:G1"/>
    <mergeCell ref="A20:Q20"/>
    <mergeCell ref="A26:Q26"/>
    <mergeCell ref="B31:P31"/>
    <mergeCell ref="B32:P32"/>
    <mergeCell ref="B33:P33"/>
    <mergeCell ref="B34:P34"/>
    <mergeCell ref="B35:P35"/>
    <mergeCell ref="B36:P36"/>
    <mergeCell ref="B37:P37"/>
    <mergeCell ref="B38:P38"/>
    <mergeCell ref="B39:P39"/>
    <mergeCell ref="B40:P40"/>
    <mergeCell ref="B41:P41"/>
    <mergeCell ref="B42:P4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20"/>
    <col collapsed="false" customWidth="true" hidden="false" outlineLevel="0" max="4" min="4" style="1" width="18"/>
    <col collapsed="false" customWidth="true" hidden="false" outlineLevel="0" max="6" min="5" style="1" width="15"/>
    <col collapsed="false" customWidth="true" hidden="false" outlineLevel="0" max="7" min="7" style="1" width="10"/>
    <col collapsed="false" customWidth="true" hidden="false" outlineLevel="0" max="8" min="8" style="1" width="11"/>
    <col collapsed="false" customWidth="true" hidden="false" outlineLevel="0" max="9" min="9" style="1" width="12"/>
    <col collapsed="false" customWidth="true" hidden="false" outlineLevel="0" max="10" min="10" style="1" width="10"/>
    <col collapsed="false" customWidth="true" hidden="false" outlineLevel="0" max="11" min="11" style="1" width="9"/>
    <col collapsed="false" customWidth="true" hidden="false" outlineLevel="0" max="12" min="12" style="1" width="16"/>
    <col collapsed="false" customWidth="true" hidden="false" outlineLevel="0" max="14" min="13" style="1" width="27"/>
    <col collapsed="false" customWidth="true" hidden="false" outlineLevel="0" max="15" min="15" style="1" width="28"/>
    <col collapsed="false" customWidth="true" hidden="false" outlineLevel="0" max="16" min="16" style="1" width="15"/>
    <col collapsed="false" customWidth="true" hidden="false" outlineLevel="0" max="17" min="17" style="1" width="16"/>
    <col collapsed="false" customWidth="true" hidden="false" outlineLevel="0" max="18" min="18" style="1" width="12"/>
    <col collapsed="false" customWidth="true" hidden="false" outlineLevel="0" max="19" min="19" style="1" width="16"/>
  </cols>
  <sheetData>
    <row r="1" customFormat="false" ht="24" hidden="false" customHeight="true" outlineLevel="0" collapsed="false">
      <c r="A1" s="63" t="s">
        <v>5615</v>
      </c>
      <c r="B1" s="63"/>
      <c r="C1" s="63"/>
      <c r="D1" s="63"/>
      <c r="E1" s="63"/>
      <c r="F1" s="63"/>
      <c r="G1" s="63"/>
      <c r="H1" s="63"/>
      <c r="I1" s="63"/>
      <c r="J1" s="63"/>
      <c r="K1" s="63"/>
      <c r="L1" s="63"/>
      <c r="M1" s="63"/>
      <c r="N1" s="63"/>
      <c r="O1" s="63"/>
      <c r="P1" s="63"/>
      <c r="Q1" s="63"/>
      <c r="R1" s="63"/>
      <c r="S1" s="63"/>
    </row>
    <row r="2" customFormat="false" ht="15" hidden="false" customHeight="true" outlineLevel="0" collapsed="false">
      <c r="A2" s="64" t="s">
        <v>5616</v>
      </c>
      <c r="B2" s="64"/>
      <c r="C2" s="64"/>
      <c r="D2" s="64"/>
      <c r="E2" s="64"/>
      <c r="F2" s="64"/>
      <c r="G2" s="64"/>
      <c r="H2" s="64"/>
      <c r="I2" s="64"/>
      <c r="J2" s="64"/>
      <c r="K2" s="64"/>
      <c r="L2" s="64"/>
      <c r="M2" s="64"/>
      <c r="N2" s="64"/>
      <c r="O2" s="64"/>
      <c r="P2" s="64"/>
      <c r="Q2" s="64"/>
      <c r="R2" s="64"/>
      <c r="S2" s="64"/>
    </row>
    <row r="3" customFormat="false" ht="37.5" hidden="false" customHeight="true" outlineLevel="0" collapsed="false">
      <c r="A3" s="65" t="s">
        <v>5617</v>
      </c>
      <c r="B3" s="65" t="s">
        <v>5618</v>
      </c>
      <c r="C3" s="65" t="s">
        <v>3794</v>
      </c>
      <c r="D3" s="65" t="s">
        <v>5619</v>
      </c>
      <c r="E3" s="65" t="s">
        <v>5620</v>
      </c>
      <c r="F3" s="65" t="s">
        <v>5621</v>
      </c>
      <c r="G3" s="65" t="s">
        <v>1263</v>
      </c>
      <c r="H3" s="65" t="s">
        <v>5112</v>
      </c>
      <c r="I3" s="65" t="s">
        <v>5622</v>
      </c>
      <c r="J3" s="65" t="s">
        <v>5623</v>
      </c>
      <c r="K3" s="65" t="s">
        <v>514</v>
      </c>
      <c r="L3" s="65" t="s">
        <v>5624</v>
      </c>
      <c r="M3" s="65" t="s">
        <v>5625</v>
      </c>
      <c r="N3" s="65" t="s">
        <v>5626</v>
      </c>
      <c r="O3" s="65" t="s">
        <v>5627</v>
      </c>
      <c r="P3" s="65" t="s">
        <v>5628</v>
      </c>
      <c r="Q3" s="65" t="s">
        <v>5629</v>
      </c>
      <c r="R3" s="65" t="s">
        <v>5630</v>
      </c>
      <c r="S3" s="65" t="s">
        <v>5631</v>
      </c>
    </row>
    <row r="4" customFormat="false" ht="37.5" hidden="false" customHeight="true" outlineLevel="0" collapsed="false">
      <c r="A4" s="66" t="s">
        <v>5632</v>
      </c>
      <c r="B4" s="66" t="s">
        <v>5633</v>
      </c>
      <c r="C4" s="67" t="s">
        <v>5634</v>
      </c>
      <c r="D4" s="67" t="s">
        <v>3862</v>
      </c>
      <c r="E4" s="67" t="s">
        <v>5635</v>
      </c>
      <c r="F4" s="67" t="s">
        <v>5636</v>
      </c>
      <c r="G4" s="67" t="n">
        <v>5</v>
      </c>
      <c r="H4" s="67" t="n">
        <v>2</v>
      </c>
      <c r="I4" s="67" t="n">
        <f aca="false">G4-H4</f>
        <v>3</v>
      </c>
      <c r="J4" s="67" t="n">
        <v>10</v>
      </c>
      <c r="K4" s="67" t="n">
        <v>45</v>
      </c>
      <c r="L4" s="67" t="s">
        <v>5637</v>
      </c>
      <c r="M4" s="67" t="s">
        <v>5638</v>
      </c>
      <c r="N4" s="67" t="s">
        <v>5639</v>
      </c>
      <c r="O4" s="67" t="s">
        <v>5640</v>
      </c>
      <c r="P4" s="67" t="n">
        <v>72</v>
      </c>
      <c r="Q4" s="67" t="n">
        <f aca="false">IF(OR(A4="tl2-attr-null-control",A4="tl2-attr-add-propulsion",A4="tl2-attr-remove-propulsion",A4="tl2-identity-preserving-refinement",LEFT(A4,11)="tl2-refine-"),36,0)</f>
        <v>36</v>
      </c>
      <c r="R4" s="67" t="n">
        <f aca="false">IF(OR(A4="tl2-identity-preserving-refinement",LEFT(A4,11)="tl2-refine-"),36,0)</f>
        <v>0</v>
      </c>
      <c r="S4" s="67" t="s">
        <v>5641</v>
      </c>
    </row>
    <row r="5" customFormat="false" ht="37.5" hidden="false" customHeight="true" outlineLevel="0" collapsed="false">
      <c r="A5" s="66" t="s">
        <v>5642</v>
      </c>
      <c r="B5" s="66" t="s">
        <v>5643</v>
      </c>
      <c r="C5" s="67" t="s">
        <v>5644</v>
      </c>
      <c r="D5" s="67" t="s">
        <v>5645</v>
      </c>
      <c r="E5" s="67" t="s">
        <v>5646</v>
      </c>
      <c r="F5" s="67" t="s">
        <v>5636</v>
      </c>
      <c r="G5" s="67" t="n">
        <v>5</v>
      </c>
      <c r="H5" s="67" t="n">
        <v>2</v>
      </c>
      <c r="I5" s="67" t="n">
        <f aca="false">G5-H5</f>
        <v>3</v>
      </c>
      <c r="J5" s="67" t="n">
        <v>10</v>
      </c>
      <c r="K5" s="67" t="n">
        <v>45</v>
      </c>
      <c r="L5" s="67" t="s">
        <v>5637</v>
      </c>
      <c r="M5" s="67" t="s">
        <v>5638</v>
      </c>
      <c r="N5" s="67" t="s">
        <v>5639</v>
      </c>
      <c r="O5" s="67" t="s">
        <v>5640</v>
      </c>
      <c r="P5" s="67" t="n">
        <v>72</v>
      </c>
      <c r="Q5" s="67" t="n">
        <f aca="false">IF(OR(A5="tl2-attr-null-control",A5="tl2-attr-add-propulsion",A5="tl2-attr-remove-propulsion",A5="tl2-identity-preserving-refinement",LEFT(A5,11)="tl2-refine-"),36,0)</f>
        <v>0</v>
      </c>
      <c r="R5" s="67" t="n">
        <f aca="false">IF(OR(A5="tl2-identity-preserving-refinement",LEFT(A5,11)="tl2-refine-"),36,0)</f>
        <v>0</v>
      </c>
      <c r="S5" s="67" t="s">
        <v>5641</v>
      </c>
    </row>
    <row r="6" customFormat="false" ht="37.5" hidden="false" customHeight="true" outlineLevel="0" collapsed="false">
      <c r="A6" s="68" t="s">
        <v>5647</v>
      </c>
      <c r="B6" s="68" t="s">
        <v>5648</v>
      </c>
      <c r="C6" s="69" t="s">
        <v>5649</v>
      </c>
      <c r="D6" s="69" t="s">
        <v>5645</v>
      </c>
      <c r="E6" s="69" t="s">
        <v>5635</v>
      </c>
      <c r="F6" s="69" t="s">
        <v>5650</v>
      </c>
      <c r="G6" s="69" t="n">
        <v>6</v>
      </c>
      <c r="H6" s="69" t="n">
        <v>3</v>
      </c>
      <c r="I6" s="69" t="n">
        <f aca="false">G6-H6</f>
        <v>3</v>
      </c>
      <c r="J6" s="69" t="n">
        <v>15</v>
      </c>
      <c r="K6" s="69" t="n">
        <v>48</v>
      </c>
      <c r="L6" s="69" t="s">
        <v>5651</v>
      </c>
      <c r="M6" s="69" t="s">
        <v>5652</v>
      </c>
      <c r="N6" s="69" t="s">
        <v>5653</v>
      </c>
      <c r="O6" s="69" t="s">
        <v>5654</v>
      </c>
      <c r="P6" s="69" t="n">
        <v>72</v>
      </c>
      <c r="Q6" s="69" t="n">
        <f aca="false">IF(OR(A6="tl2-attr-null-control",A6="tl2-attr-add-propulsion",A6="tl2-attr-remove-propulsion",A6="tl2-identity-preserving-refinement",LEFT(A6,11)="tl2-refine-"),36,0)</f>
        <v>0</v>
      </c>
      <c r="R6" s="69" t="n">
        <f aca="false">IF(OR(A6="tl2-identity-preserving-refinement",LEFT(A6,11)="tl2-refine-"),36,0)</f>
        <v>0</v>
      </c>
      <c r="S6" s="69" t="s">
        <v>5641</v>
      </c>
    </row>
    <row r="7" customFormat="false" ht="37.5" hidden="false" customHeight="true" outlineLevel="0" collapsed="false">
      <c r="A7" s="66" t="s">
        <v>5655</v>
      </c>
      <c r="B7" s="66" t="s">
        <v>5656</v>
      </c>
      <c r="C7" s="67" t="s">
        <v>5644</v>
      </c>
      <c r="D7" s="67" t="s">
        <v>1571</v>
      </c>
      <c r="E7" s="67" t="s">
        <v>5635</v>
      </c>
      <c r="F7" s="67" t="s">
        <v>5650</v>
      </c>
      <c r="G7" s="67" t="n">
        <v>5</v>
      </c>
      <c r="H7" s="67" t="n">
        <v>2</v>
      </c>
      <c r="I7" s="67" t="n">
        <f aca="false">G7-H7</f>
        <v>3</v>
      </c>
      <c r="J7" s="67" t="n">
        <v>10</v>
      </c>
      <c r="K7" s="67" t="n">
        <v>45</v>
      </c>
      <c r="L7" s="67" t="s">
        <v>5637</v>
      </c>
      <c r="M7" s="67" t="s">
        <v>5638</v>
      </c>
      <c r="N7" s="67" t="s">
        <v>5639</v>
      </c>
      <c r="O7" s="67" t="s">
        <v>5640</v>
      </c>
      <c r="P7" s="67" t="n">
        <v>72</v>
      </c>
      <c r="Q7" s="67" t="n">
        <f aca="false">IF(OR(A7="tl2-attr-null-control",A7="tl2-attr-add-propulsion",A7="tl2-attr-remove-propulsion",A7="tl2-identity-preserving-refinement",LEFT(A7,11)="tl2-refine-"),36,0)</f>
        <v>0</v>
      </c>
      <c r="R7" s="67" t="n">
        <f aca="false">IF(OR(A7="tl2-identity-preserving-refinement",LEFT(A7,11)="tl2-refine-"),36,0)</f>
        <v>0</v>
      </c>
      <c r="S7" s="67" t="s">
        <v>5641</v>
      </c>
    </row>
    <row r="8" customFormat="false" ht="37.5" hidden="false" customHeight="true" outlineLevel="0" collapsed="false">
      <c r="A8" s="68" t="s">
        <v>5657</v>
      </c>
      <c r="B8" s="68" t="s">
        <v>5658</v>
      </c>
      <c r="C8" s="69" t="s">
        <v>5649</v>
      </c>
      <c r="D8" s="69" t="s">
        <v>1571</v>
      </c>
      <c r="E8" s="69" t="s">
        <v>5646</v>
      </c>
      <c r="F8" s="69" t="s">
        <v>5636</v>
      </c>
      <c r="G8" s="69" t="n">
        <v>6</v>
      </c>
      <c r="H8" s="69" t="n">
        <v>3</v>
      </c>
      <c r="I8" s="69" t="n">
        <f aca="false">G8-H8</f>
        <v>3</v>
      </c>
      <c r="J8" s="69" t="n">
        <v>15</v>
      </c>
      <c r="K8" s="69" t="n">
        <v>48</v>
      </c>
      <c r="L8" s="69" t="s">
        <v>5651</v>
      </c>
      <c r="M8" s="69" t="s">
        <v>5652</v>
      </c>
      <c r="N8" s="69" t="s">
        <v>5653</v>
      </c>
      <c r="O8" s="69" t="s">
        <v>5654</v>
      </c>
      <c r="P8" s="69" t="n">
        <v>72</v>
      </c>
      <c r="Q8" s="69" t="n">
        <f aca="false">IF(OR(A8="tl2-attr-null-control",A8="tl2-attr-add-propulsion",A8="tl2-attr-remove-propulsion",A8="tl2-identity-preserving-refinement",LEFT(A8,11)="tl2-refine-"),36,0)</f>
        <v>0</v>
      </c>
      <c r="R8" s="69" t="n">
        <f aca="false">IF(OR(A8="tl2-identity-preserving-refinement",LEFT(A8,11)="tl2-refine-"),36,0)</f>
        <v>0</v>
      </c>
      <c r="S8" s="69" t="s">
        <v>5641</v>
      </c>
    </row>
    <row r="9" customFormat="false" ht="37.5" hidden="false" customHeight="true" outlineLevel="0" collapsed="false">
      <c r="A9" s="66" t="s">
        <v>5659</v>
      </c>
      <c r="B9" s="66" t="s">
        <v>5660</v>
      </c>
      <c r="C9" s="67" t="s">
        <v>5644</v>
      </c>
      <c r="D9" s="67" t="s">
        <v>5661</v>
      </c>
      <c r="E9" s="67" t="s">
        <v>5635</v>
      </c>
      <c r="F9" s="67" t="s">
        <v>5636</v>
      </c>
      <c r="G9" s="67" t="n">
        <v>5</v>
      </c>
      <c r="H9" s="67" t="n">
        <v>2</v>
      </c>
      <c r="I9" s="67" t="n">
        <f aca="false">G9-H9</f>
        <v>3</v>
      </c>
      <c r="J9" s="67" t="n">
        <v>15</v>
      </c>
      <c r="K9" s="67" t="n">
        <v>48</v>
      </c>
      <c r="L9" s="67" t="s">
        <v>5637</v>
      </c>
      <c r="M9" s="67" t="s">
        <v>5638</v>
      </c>
      <c r="N9" s="67" t="s">
        <v>5639</v>
      </c>
      <c r="O9" s="67" t="s">
        <v>5640</v>
      </c>
      <c r="P9" s="67" t="n">
        <v>72</v>
      </c>
      <c r="Q9" s="67" t="n">
        <f aca="false">IF(OR(A9="tl2-attr-null-control",A9="tl2-attr-add-propulsion",A9="tl2-attr-remove-propulsion",A9="tl2-identity-preserving-refinement",LEFT(A9,11)="tl2-refine-"),36,0)</f>
        <v>0</v>
      </c>
      <c r="R9" s="67" t="n">
        <f aca="false">IF(OR(A9="tl2-identity-preserving-refinement",LEFT(A9,11)="tl2-refine-"),36,0)</f>
        <v>0</v>
      </c>
      <c r="S9" s="67" t="s">
        <v>5641</v>
      </c>
    </row>
    <row r="10" customFormat="false" ht="37.5" hidden="false" customHeight="true" outlineLevel="0" collapsed="false">
      <c r="A10" s="68" t="s">
        <v>5662</v>
      </c>
      <c r="B10" s="68" t="s">
        <v>5663</v>
      </c>
      <c r="C10" s="69" t="s">
        <v>5649</v>
      </c>
      <c r="D10" s="69" t="s">
        <v>5661</v>
      </c>
      <c r="E10" s="69" t="s">
        <v>5646</v>
      </c>
      <c r="F10" s="69" t="s">
        <v>5650</v>
      </c>
      <c r="G10" s="69" t="n">
        <v>6</v>
      </c>
      <c r="H10" s="69" t="n">
        <v>3</v>
      </c>
      <c r="I10" s="69" t="n">
        <f aca="false">G10-H10</f>
        <v>3</v>
      </c>
      <c r="J10" s="69" t="n">
        <v>10</v>
      </c>
      <c r="K10" s="69" t="n">
        <v>45</v>
      </c>
      <c r="L10" s="69" t="s">
        <v>5651</v>
      </c>
      <c r="M10" s="69" t="s">
        <v>5652</v>
      </c>
      <c r="N10" s="69" t="s">
        <v>5653</v>
      </c>
      <c r="O10" s="69" t="s">
        <v>5654</v>
      </c>
      <c r="P10" s="69" t="n">
        <v>72</v>
      </c>
      <c r="Q10" s="69" t="n">
        <f aca="false">IF(OR(A10="tl2-attr-null-control",A10="tl2-attr-add-propulsion",A10="tl2-attr-remove-propulsion",A10="tl2-identity-preserving-refinement",LEFT(A10,11)="tl2-refine-"),36,0)</f>
        <v>0</v>
      </c>
      <c r="R10" s="69" t="n">
        <f aca="false">IF(OR(A10="tl2-identity-preserving-refinement",LEFT(A10,11)="tl2-refine-"),36,0)</f>
        <v>0</v>
      </c>
      <c r="S10" s="69" t="s">
        <v>5641</v>
      </c>
    </row>
    <row r="11" customFormat="false" ht="37.5" hidden="false" customHeight="true" outlineLevel="0" collapsed="false">
      <c r="A11" s="66" t="s">
        <v>5664</v>
      </c>
      <c r="B11" s="66" t="s">
        <v>5665</v>
      </c>
      <c r="C11" s="67" t="s">
        <v>5644</v>
      </c>
      <c r="D11" s="67" t="s">
        <v>1671</v>
      </c>
      <c r="E11" s="67" t="s">
        <v>5635</v>
      </c>
      <c r="F11" s="67" t="s">
        <v>5636</v>
      </c>
      <c r="G11" s="67" t="n">
        <v>5</v>
      </c>
      <c r="H11" s="67" t="n">
        <v>2</v>
      </c>
      <c r="I11" s="67" t="n">
        <f aca="false">G11-H11</f>
        <v>3</v>
      </c>
      <c r="J11" s="67" t="n">
        <v>10</v>
      </c>
      <c r="K11" s="67" t="n">
        <v>45</v>
      </c>
      <c r="L11" s="67" t="s">
        <v>5651</v>
      </c>
      <c r="M11" s="67" t="s">
        <v>5638</v>
      </c>
      <c r="N11" s="67" t="s">
        <v>5639</v>
      </c>
      <c r="O11" s="67" t="s">
        <v>5640</v>
      </c>
      <c r="P11" s="67" t="n">
        <v>72</v>
      </c>
      <c r="Q11" s="67" t="n">
        <f aca="false">IF(OR(A11="tl2-attr-null-control",A11="tl2-attr-add-propulsion",A11="tl2-attr-remove-propulsion",A11="tl2-identity-preserving-refinement",LEFT(A11,11)="tl2-refine-"),36,0)</f>
        <v>36</v>
      </c>
      <c r="R11" s="67" t="n">
        <f aca="false">IF(OR(A11="tl2-identity-preserving-refinement",LEFT(A11,11)="tl2-refine-"),36,0)</f>
        <v>0</v>
      </c>
      <c r="S11" s="67" t="s">
        <v>5641</v>
      </c>
    </row>
    <row r="12" customFormat="false" ht="37.5" hidden="false" customHeight="true" outlineLevel="0" collapsed="false">
      <c r="A12" s="68" t="s">
        <v>5666</v>
      </c>
      <c r="B12" s="68" t="s">
        <v>5667</v>
      </c>
      <c r="C12" s="69" t="s">
        <v>5649</v>
      </c>
      <c r="D12" s="69" t="s">
        <v>1671</v>
      </c>
      <c r="E12" s="69" t="s">
        <v>5646</v>
      </c>
      <c r="F12" s="69" t="s">
        <v>5650</v>
      </c>
      <c r="G12" s="69" t="n">
        <v>6</v>
      </c>
      <c r="H12" s="69" t="n">
        <v>3</v>
      </c>
      <c r="I12" s="69" t="n">
        <f aca="false">G12-H12</f>
        <v>3</v>
      </c>
      <c r="J12" s="69" t="n">
        <v>15</v>
      </c>
      <c r="K12" s="69" t="n">
        <v>48</v>
      </c>
      <c r="L12" s="69" t="s">
        <v>5637</v>
      </c>
      <c r="M12" s="69" t="s">
        <v>5652</v>
      </c>
      <c r="N12" s="69" t="s">
        <v>5653</v>
      </c>
      <c r="O12" s="69" t="s">
        <v>5654</v>
      </c>
      <c r="P12" s="69" t="n">
        <v>72</v>
      </c>
      <c r="Q12" s="69" t="n">
        <f aca="false">IF(OR(A12="tl2-attr-null-control",A12="tl2-attr-add-propulsion",A12="tl2-attr-remove-propulsion",A12="tl2-identity-preserving-refinement",LEFT(A12,11)="tl2-refine-"),36,0)</f>
        <v>36</v>
      </c>
      <c r="R12" s="69" t="n">
        <f aca="false">IF(OR(A12="tl2-identity-preserving-refinement",LEFT(A12,11)="tl2-refine-"),36,0)</f>
        <v>0</v>
      </c>
      <c r="S12" s="69" t="s">
        <v>5641</v>
      </c>
    </row>
    <row r="13" customFormat="false" ht="37.5" hidden="false" customHeight="true" outlineLevel="0" collapsed="false">
      <c r="A13" s="66" t="s">
        <v>5668</v>
      </c>
      <c r="B13" s="66" t="s">
        <v>5669</v>
      </c>
      <c r="C13" s="67" t="s">
        <v>5644</v>
      </c>
      <c r="D13" s="67" t="s">
        <v>5670</v>
      </c>
      <c r="E13" s="67" t="s">
        <v>5635</v>
      </c>
      <c r="F13" s="67" t="s">
        <v>5636</v>
      </c>
      <c r="G13" s="67" t="n">
        <v>5</v>
      </c>
      <c r="H13" s="67" t="n">
        <v>2</v>
      </c>
      <c r="I13" s="67" t="n">
        <f aca="false">G13-H13</f>
        <v>3</v>
      </c>
      <c r="J13" s="67" t="n">
        <v>10</v>
      </c>
      <c r="K13" s="67" t="n">
        <v>45</v>
      </c>
      <c r="L13" s="67" t="s">
        <v>5637</v>
      </c>
      <c r="M13" s="67" t="s">
        <v>5652</v>
      </c>
      <c r="N13" s="67" t="s">
        <v>5653</v>
      </c>
      <c r="O13" s="67" t="s">
        <v>5640</v>
      </c>
      <c r="P13" s="67" t="n">
        <v>72</v>
      </c>
      <c r="Q13" s="67" t="n">
        <f aca="false">IF(OR(A13="tl2-attr-null-control",A13="tl2-attr-add-propulsion",A13="tl2-attr-remove-propulsion",A13="tl2-identity-preserving-refinement",LEFT(A13,11)="tl2-refine-"),36,0)</f>
        <v>0</v>
      </c>
      <c r="R13" s="67" t="n">
        <f aca="false">IF(OR(A13="tl2-identity-preserving-refinement",LEFT(A13,11)="tl2-refine-"),36,0)</f>
        <v>0</v>
      </c>
      <c r="S13" s="67" t="s">
        <v>5641</v>
      </c>
    </row>
    <row r="14" customFormat="false" ht="37.5" hidden="false" customHeight="true" outlineLevel="0" collapsed="false">
      <c r="A14" s="68" t="s">
        <v>5671</v>
      </c>
      <c r="B14" s="68" t="s">
        <v>5672</v>
      </c>
      <c r="C14" s="69" t="s">
        <v>5649</v>
      </c>
      <c r="D14" s="69" t="s">
        <v>5670</v>
      </c>
      <c r="E14" s="69" t="s">
        <v>5646</v>
      </c>
      <c r="F14" s="69" t="s">
        <v>5650</v>
      </c>
      <c r="G14" s="69" t="n">
        <v>6</v>
      </c>
      <c r="H14" s="69" t="n">
        <v>3</v>
      </c>
      <c r="I14" s="69" t="n">
        <f aca="false">G14-H14</f>
        <v>3</v>
      </c>
      <c r="J14" s="69" t="n">
        <v>15</v>
      </c>
      <c r="K14" s="69" t="n">
        <v>48</v>
      </c>
      <c r="L14" s="69" t="s">
        <v>5651</v>
      </c>
      <c r="M14" s="69" t="s">
        <v>5638</v>
      </c>
      <c r="N14" s="69" t="s">
        <v>5639</v>
      </c>
      <c r="O14" s="69" t="s">
        <v>5654</v>
      </c>
      <c r="P14" s="69" t="n">
        <v>72</v>
      </c>
      <c r="Q14" s="69" t="n">
        <f aca="false">IF(OR(A14="tl2-attr-null-control",A14="tl2-attr-add-propulsion",A14="tl2-attr-remove-propulsion",A14="tl2-identity-preserving-refinement",LEFT(A14,11)="tl2-refine-"),36,0)</f>
        <v>0</v>
      </c>
      <c r="R14" s="69" t="n">
        <f aca="false">IF(OR(A14="tl2-identity-preserving-refinement",LEFT(A14,11)="tl2-refine-"),36,0)</f>
        <v>0</v>
      </c>
      <c r="S14" s="69" t="s">
        <v>5641</v>
      </c>
    </row>
    <row r="15" customFormat="false" ht="37.5" hidden="false" customHeight="true" outlineLevel="0" collapsed="false">
      <c r="A15" s="66" t="s">
        <v>5673</v>
      </c>
      <c r="B15" s="66" t="s">
        <v>5674</v>
      </c>
      <c r="C15" s="67" t="s">
        <v>5644</v>
      </c>
      <c r="D15" s="67" t="s">
        <v>5675</v>
      </c>
      <c r="E15" s="67" t="s">
        <v>5635</v>
      </c>
      <c r="F15" s="67" t="s">
        <v>5636</v>
      </c>
      <c r="G15" s="67" t="n">
        <v>5</v>
      </c>
      <c r="H15" s="67" t="n">
        <v>2</v>
      </c>
      <c r="I15" s="67" t="n">
        <f aca="false">G15-H15</f>
        <v>3</v>
      </c>
      <c r="J15" s="67" t="n">
        <v>10</v>
      </c>
      <c r="K15" s="67" t="n">
        <v>45</v>
      </c>
      <c r="L15" s="67" t="s">
        <v>5637</v>
      </c>
      <c r="M15" s="67" t="s">
        <v>5638</v>
      </c>
      <c r="N15" s="67" t="s">
        <v>5639</v>
      </c>
      <c r="O15" s="67" t="s">
        <v>5654</v>
      </c>
      <c r="P15" s="67" t="n">
        <v>72</v>
      </c>
      <c r="Q15" s="67" t="n">
        <f aca="false">IF(OR(A15="tl2-attr-null-control",A15="tl2-attr-add-propulsion",A15="tl2-attr-remove-propulsion",A15="tl2-identity-preserving-refinement",LEFT(A15,11)="tl2-refine-"),36,0)</f>
        <v>0</v>
      </c>
      <c r="R15" s="67" t="n">
        <f aca="false">IF(OR(A15="tl2-identity-preserving-refinement",LEFT(A15,11)="tl2-refine-"),36,0)</f>
        <v>0</v>
      </c>
      <c r="S15" s="67" t="s">
        <v>5641</v>
      </c>
    </row>
    <row r="16" customFormat="false" ht="37.5" hidden="false" customHeight="true" outlineLevel="0" collapsed="false">
      <c r="A16" s="68" t="s">
        <v>5676</v>
      </c>
      <c r="B16" s="68" t="s">
        <v>5677</v>
      </c>
      <c r="C16" s="69" t="s">
        <v>5649</v>
      </c>
      <c r="D16" s="69" t="s">
        <v>5675</v>
      </c>
      <c r="E16" s="69" t="s">
        <v>5646</v>
      </c>
      <c r="F16" s="69" t="s">
        <v>5650</v>
      </c>
      <c r="G16" s="69" t="n">
        <v>6</v>
      </c>
      <c r="H16" s="69" t="n">
        <v>3</v>
      </c>
      <c r="I16" s="69" t="n">
        <f aca="false">G16-H16</f>
        <v>3</v>
      </c>
      <c r="J16" s="69" t="n">
        <v>15</v>
      </c>
      <c r="K16" s="69" t="n">
        <v>48</v>
      </c>
      <c r="L16" s="69" t="s">
        <v>5651</v>
      </c>
      <c r="M16" s="69" t="s">
        <v>5652</v>
      </c>
      <c r="N16" s="69" t="s">
        <v>5653</v>
      </c>
      <c r="O16" s="69" t="s">
        <v>5640</v>
      </c>
      <c r="P16" s="69" t="n">
        <v>72</v>
      </c>
      <c r="Q16" s="69" t="n">
        <f aca="false">IF(OR(A16="tl2-attr-null-control",A16="tl2-attr-add-propulsion",A16="tl2-attr-remove-propulsion",A16="tl2-identity-preserving-refinement",LEFT(A16,11)="tl2-refine-"),36,0)</f>
        <v>0</v>
      </c>
      <c r="R16" s="69" t="n">
        <f aca="false">IF(OR(A16="tl2-identity-preserving-refinement",LEFT(A16,11)="tl2-refine-"),36,0)</f>
        <v>0</v>
      </c>
      <c r="S16" s="69" t="s">
        <v>5641</v>
      </c>
    </row>
    <row r="17" customFormat="false" ht="37.5" hidden="false" customHeight="true" outlineLevel="0" collapsed="false">
      <c r="A17" s="66" t="s">
        <v>5678</v>
      </c>
      <c r="B17" s="66" t="s">
        <v>5679</v>
      </c>
      <c r="C17" s="67" t="s">
        <v>5644</v>
      </c>
      <c r="D17" s="67" t="s">
        <v>5680</v>
      </c>
      <c r="E17" s="67" t="s">
        <v>5635</v>
      </c>
      <c r="F17" s="67" t="s">
        <v>5636</v>
      </c>
      <c r="G17" s="67" t="n">
        <v>6</v>
      </c>
      <c r="H17" s="67" t="n">
        <v>3</v>
      </c>
      <c r="I17" s="67" t="n">
        <f aca="false">G17-H17</f>
        <v>3</v>
      </c>
      <c r="J17" s="67" t="n">
        <v>10</v>
      </c>
      <c r="K17" s="67" t="n">
        <v>45</v>
      </c>
      <c r="L17" s="67" t="s">
        <v>5637</v>
      </c>
      <c r="M17" s="67" t="s">
        <v>5638</v>
      </c>
      <c r="N17" s="67" t="s">
        <v>5639</v>
      </c>
      <c r="O17" s="67" t="s">
        <v>5640</v>
      </c>
      <c r="P17" s="67" t="n">
        <v>72</v>
      </c>
      <c r="Q17" s="67" t="n">
        <f aca="false">IF(OR(A17="tl2-attr-null-control",A17="tl2-attr-add-propulsion",A17="tl2-attr-remove-propulsion",A17="tl2-identity-preserving-refinement",LEFT(A17,11)="tl2-refine-"),36,0)</f>
        <v>0</v>
      </c>
      <c r="R17" s="67" t="n">
        <f aca="false">IF(OR(A17="tl2-identity-preserving-refinement",LEFT(A17,11)="tl2-refine-"),36,0)</f>
        <v>0</v>
      </c>
      <c r="S17" s="67" t="s">
        <v>5641</v>
      </c>
    </row>
    <row r="18" customFormat="false" ht="37.5" hidden="false" customHeight="true" outlineLevel="0" collapsed="false">
      <c r="A18" s="68" t="s">
        <v>5681</v>
      </c>
      <c r="B18" s="68" t="s">
        <v>5682</v>
      </c>
      <c r="C18" s="69" t="s">
        <v>5649</v>
      </c>
      <c r="D18" s="69" t="s">
        <v>5680</v>
      </c>
      <c r="E18" s="69" t="s">
        <v>5646</v>
      </c>
      <c r="F18" s="69" t="s">
        <v>5650</v>
      </c>
      <c r="G18" s="69" t="n">
        <v>5</v>
      </c>
      <c r="H18" s="69" t="n">
        <v>2</v>
      </c>
      <c r="I18" s="69" t="n">
        <f aca="false">G18-H18</f>
        <v>3</v>
      </c>
      <c r="J18" s="69" t="n">
        <v>15</v>
      </c>
      <c r="K18" s="69" t="n">
        <v>48</v>
      </c>
      <c r="L18" s="69" t="s">
        <v>5651</v>
      </c>
      <c r="M18" s="69" t="s">
        <v>5652</v>
      </c>
      <c r="N18" s="69" t="s">
        <v>5653</v>
      </c>
      <c r="O18" s="69" t="s">
        <v>5654</v>
      </c>
      <c r="P18" s="69" t="n">
        <v>72</v>
      </c>
      <c r="Q18" s="69" t="n">
        <f aca="false">IF(OR(A18="tl2-attr-null-control",A18="tl2-attr-add-propulsion",A18="tl2-attr-remove-propulsion",A18="tl2-identity-preserving-refinement",LEFT(A18,11)="tl2-refine-"),36,0)</f>
        <v>0</v>
      </c>
      <c r="R18" s="69" t="n">
        <f aca="false">IF(OR(A18="tl2-identity-preserving-refinement",LEFT(A18,11)="tl2-refine-"),36,0)</f>
        <v>0</v>
      </c>
      <c r="S18" s="69" t="s">
        <v>5641</v>
      </c>
    </row>
    <row r="19" customFormat="false" ht="37.5" hidden="false" customHeight="true" outlineLevel="0" collapsed="false">
      <c r="A19" s="70" t="s">
        <v>5683</v>
      </c>
      <c r="B19" s="70" t="s">
        <v>5180</v>
      </c>
      <c r="C19" s="71" t="s">
        <v>5684</v>
      </c>
      <c r="D19" s="71" t="s">
        <v>3862</v>
      </c>
      <c r="E19" s="71" t="s">
        <v>5646</v>
      </c>
      <c r="F19" s="71" t="s">
        <v>5650</v>
      </c>
      <c r="G19" s="71" t="n">
        <v>6</v>
      </c>
      <c r="H19" s="71" t="n">
        <v>3</v>
      </c>
      <c r="I19" s="71" t="n">
        <f aca="false">G19-H19</f>
        <v>3</v>
      </c>
      <c r="J19" s="71" t="n">
        <v>15</v>
      </c>
      <c r="K19" s="71" t="n">
        <v>48</v>
      </c>
      <c r="L19" s="71" t="s">
        <v>5651</v>
      </c>
      <c r="M19" s="71" t="s">
        <v>5652</v>
      </c>
      <c r="N19" s="71" t="s">
        <v>5653</v>
      </c>
      <c r="O19" s="71" t="s">
        <v>5654</v>
      </c>
      <c r="P19" s="71" t="n">
        <v>72</v>
      </c>
      <c r="Q19" s="71" t="n">
        <f aca="false">IF(OR(A19="tl2-attr-null-control",A19="tl2-attr-add-propulsion",A19="tl2-attr-remove-propulsion",A19="tl2-identity-preserving-refinement",LEFT(A19,11)="tl2-refine-"),36,0)</f>
        <v>36</v>
      </c>
      <c r="R19" s="71" t="n">
        <f aca="false">IF(OR(A19="tl2-identity-preserving-refinement",LEFT(A19,11)="tl2-refine-"),36,0)</f>
        <v>36</v>
      </c>
      <c r="S19" s="71" t="s">
        <v>5641</v>
      </c>
    </row>
    <row r="20" customFormat="false" ht="37.5" hidden="false" customHeight="true" outlineLevel="0" collapsed="false">
      <c r="A20" s="66" t="s">
        <v>5685</v>
      </c>
      <c r="B20" s="66" t="s">
        <v>5686</v>
      </c>
      <c r="C20" s="67" t="s">
        <v>5687</v>
      </c>
      <c r="D20" s="67" t="s">
        <v>3862</v>
      </c>
      <c r="E20" s="67" t="s">
        <v>5646</v>
      </c>
      <c r="F20" s="67" t="s">
        <v>5650</v>
      </c>
      <c r="G20" s="67" t="n">
        <v>6</v>
      </c>
      <c r="H20" s="67" t="n">
        <v>3</v>
      </c>
      <c r="I20" s="67" t="n">
        <f aca="false">G20-H20</f>
        <v>3</v>
      </c>
      <c r="J20" s="67" t="n">
        <v>12</v>
      </c>
      <c r="K20" s="67" t="n">
        <v>46</v>
      </c>
      <c r="L20" s="67" t="s">
        <v>5651</v>
      </c>
      <c r="M20" s="67" t="s">
        <v>5652</v>
      </c>
      <c r="N20" s="67" t="s">
        <v>5653</v>
      </c>
      <c r="O20" s="67" t="s">
        <v>5654</v>
      </c>
      <c r="P20" s="67" t="n">
        <v>72</v>
      </c>
      <c r="Q20" s="67" t="n">
        <f aca="false">IF(OR(A20="tl2-attr-null-control",A20="tl2-attr-add-propulsion",A20="tl2-attr-remove-propulsion",A20="tl2-identity-preserving-refinement",LEFT(A20,11)="tl2-refine-"),36,0)</f>
        <v>36</v>
      </c>
      <c r="R20" s="67" t="n">
        <f aca="false">IF(OR(A20="tl2-identity-preserving-refinement",LEFT(A20,11)="tl2-refine-"),36,0)</f>
        <v>36</v>
      </c>
      <c r="S20" s="67" t="s">
        <v>5641</v>
      </c>
    </row>
    <row r="21" customFormat="false" ht="37.5" hidden="false" customHeight="true" outlineLevel="0" collapsed="false">
      <c r="A21" s="66" t="s">
        <v>5688</v>
      </c>
      <c r="B21" s="66" t="s">
        <v>5689</v>
      </c>
      <c r="C21" s="67" t="s">
        <v>5687</v>
      </c>
      <c r="D21" s="67" t="s">
        <v>3862</v>
      </c>
      <c r="E21" s="67" t="s">
        <v>5646</v>
      </c>
      <c r="F21" s="67" t="s">
        <v>5636</v>
      </c>
      <c r="G21" s="67" t="n">
        <v>6</v>
      </c>
      <c r="H21" s="67" t="n">
        <v>3</v>
      </c>
      <c r="I21" s="67" t="n">
        <f aca="false">G21-H21</f>
        <v>3</v>
      </c>
      <c r="J21" s="67" t="n">
        <v>12</v>
      </c>
      <c r="K21" s="67" t="n">
        <v>46</v>
      </c>
      <c r="L21" s="67" t="s">
        <v>5651</v>
      </c>
      <c r="M21" s="67" t="s">
        <v>5652</v>
      </c>
      <c r="N21" s="67" t="s">
        <v>5653</v>
      </c>
      <c r="O21" s="67" t="s">
        <v>5654</v>
      </c>
      <c r="P21" s="67" t="n">
        <v>72</v>
      </c>
      <c r="Q21" s="67" t="n">
        <f aca="false">IF(OR(A21="tl2-attr-null-control",A21="tl2-attr-add-propulsion",A21="tl2-attr-remove-propulsion",A21="tl2-identity-preserving-refinement",LEFT(A21,11)="tl2-refine-"),36,0)</f>
        <v>36</v>
      </c>
      <c r="R21" s="67" t="n">
        <f aca="false">IF(OR(A21="tl2-identity-preserving-refinement",LEFT(A21,11)="tl2-refine-"),36,0)</f>
        <v>36</v>
      </c>
      <c r="S21" s="67" t="s">
        <v>5641</v>
      </c>
    </row>
    <row r="22" customFormat="false" ht="37.5" hidden="false" customHeight="true" outlineLevel="0" collapsed="false">
      <c r="A22" s="66" t="s">
        <v>5690</v>
      </c>
      <c r="B22" s="66" t="s">
        <v>5691</v>
      </c>
      <c r="C22" s="67" t="s">
        <v>5687</v>
      </c>
      <c r="D22" s="67" t="s">
        <v>3862</v>
      </c>
      <c r="E22" s="67" t="s">
        <v>5635</v>
      </c>
      <c r="F22" s="67" t="s">
        <v>5650</v>
      </c>
      <c r="G22" s="67" t="n">
        <v>6</v>
      </c>
      <c r="H22" s="67" t="n">
        <v>3</v>
      </c>
      <c r="I22" s="67" t="n">
        <f aca="false">G22-H22</f>
        <v>3</v>
      </c>
      <c r="J22" s="67" t="n">
        <v>12</v>
      </c>
      <c r="K22" s="67" t="n">
        <v>46</v>
      </c>
      <c r="L22" s="67" t="s">
        <v>5651</v>
      </c>
      <c r="M22" s="67" t="s">
        <v>5652</v>
      </c>
      <c r="N22" s="67" t="s">
        <v>5653</v>
      </c>
      <c r="O22" s="67" t="s">
        <v>5654</v>
      </c>
      <c r="P22" s="67" t="n">
        <v>72</v>
      </c>
      <c r="Q22" s="67" t="n">
        <f aca="false">IF(OR(A22="tl2-attr-null-control",A22="tl2-attr-add-propulsion",A22="tl2-attr-remove-propulsion",A22="tl2-identity-preserving-refinement",LEFT(A22,11)="tl2-refine-"),36,0)</f>
        <v>36</v>
      </c>
      <c r="R22" s="67" t="n">
        <f aca="false">IF(OR(A22="tl2-identity-preserving-refinement",LEFT(A22,11)="tl2-refine-"),36,0)</f>
        <v>36</v>
      </c>
      <c r="S22" s="67" t="s">
        <v>5641</v>
      </c>
    </row>
  </sheetData>
  <mergeCells count="2">
    <mergeCell ref="A1:S1"/>
    <mergeCell ref="A2:S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28"/>
    <col collapsed="false" customWidth="true" hidden="false" outlineLevel="0" max="4" min="4" style="1" width="26"/>
    <col collapsed="false" customWidth="true" hidden="false" outlineLevel="0" max="5" min="5" style="1" width="38"/>
    <col collapsed="false" customWidth="true" hidden="false" outlineLevel="0" max="6" min="6" style="1" width="34"/>
    <col collapsed="false" customWidth="true" hidden="false" outlineLevel="0" max="7" min="7" style="1" width="22"/>
  </cols>
  <sheetData>
    <row r="1" customFormat="false" ht="24" hidden="false" customHeight="true" outlineLevel="0" collapsed="false">
      <c r="A1" s="72" t="s">
        <v>5692</v>
      </c>
      <c r="B1" s="72"/>
      <c r="C1" s="72"/>
      <c r="D1" s="72"/>
      <c r="E1" s="72"/>
      <c r="F1" s="72"/>
      <c r="G1" s="72"/>
    </row>
    <row r="3" customFormat="false" ht="15" hidden="false" customHeight="true" outlineLevel="0" collapsed="false">
      <c r="A3" s="65" t="s">
        <v>3789</v>
      </c>
      <c r="B3" s="65" t="s">
        <v>5693</v>
      </c>
      <c r="C3" s="65" t="s">
        <v>5694</v>
      </c>
      <c r="D3" s="65" t="s">
        <v>5007</v>
      </c>
      <c r="E3" s="65" t="s">
        <v>5009</v>
      </c>
      <c r="F3" s="65" t="s">
        <v>5695</v>
      </c>
      <c r="G3" s="65" t="s">
        <v>4</v>
      </c>
    </row>
    <row r="4" customFormat="false" ht="39.75" hidden="false" customHeight="true" outlineLevel="0" collapsed="false">
      <c r="A4" s="52" t="s">
        <v>4606</v>
      </c>
      <c r="B4" s="52" t="s">
        <v>5696</v>
      </c>
      <c r="C4" s="52" t="s">
        <v>5697</v>
      </c>
      <c r="D4" s="52" t="s">
        <v>5698</v>
      </c>
      <c r="E4" s="52" t="s">
        <v>5699</v>
      </c>
      <c r="F4" s="52" t="s">
        <v>5700</v>
      </c>
      <c r="G4" s="52" t="s">
        <v>5701</v>
      </c>
    </row>
    <row r="5" customFormat="false" ht="39.75" hidden="false" customHeight="true" outlineLevel="0" collapsed="false">
      <c r="A5" s="55" t="s">
        <v>5702</v>
      </c>
      <c r="B5" s="55" t="s">
        <v>5703</v>
      </c>
      <c r="C5" s="55" t="s">
        <v>5704</v>
      </c>
      <c r="D5" s="55" t="s">
        <v>5705</v>
      </c>
      <c r="E5" s="55" t="s">
        <v>5706</v>
      </c>
      <c r="F5" s="55" t="s">
        <v>5707</v>
      </c>
      <c r="G5" s="55" t="s">
        <v>5708</v>
      </c>
    </row>
    <row r="6" customFormat="false" ht="39.75" hidden="false" customHeight="true" outlineLevel="0" collapsed="false">
      <c r="A6" s="57" t="s">
        <v>3907</v>
      </c>
      <c r="B6" s="57" t="s">
        <v>5709</v>
      </c>
      <c r="C6" s="57" t="s">
        <v>5710</v>
      </c>
      <c r="D6" s="57" t="s">
        <v>5711</v>
      </c>
      <c r="E6" s="57" t="s">
        <v>5712</v>
      </c>
      <c r="F6" s="57" t="s">
        <v>5713</v>
      </c>
      <c r="G6" s="57" t="s">
        <v>4190</v>
      </c>
    </row>
    <row r="7" customFormat="false" ht="39.75" hidden="false" customHeight="true" outlineLevel="0" collapsed="false">
      <c r="A7" s="52" t="s">
        <v>5714</v>
      </c>
      <c r="B7" s="52" t="s">
        <v>5715</v>
      </c>
      <c r="C7" s="52" t="s">
        <v>5716</v>
      </c>
      <c r="D7" s="52" t="s">
        <v>5717</v>
      </c>
      <c r="E7" s="52" t="s">
        <v>5718</v>
      </c>
      <c r="F7" s="52" t="s">
        <v>5719</v>
      </c>
      <c r="G7" s="52" t="s">
        <v>5708</v>
      </c>
    </row>
    <row r="8" customFormat="false" ht="39.75" hidden="false" customHeight="true" outlineLevel="0" collapsed="false">
      <c r="A8" s="55" t="s">
        <v>5714</v>
      </c>
      <c r="B8" s="55" t="s">
        <v>5720</v>
      </c>
      <c r="C8" s="55" t="s">
        <v>5721</v>
      </c>
      <c r="D8" s="55" t="s">
        <v>5722</v>
      </c>
      <c r="E8" s="55" t="s">
        <v>5723</v>
      </c>
      <c r="F8" s="55" t="s">
        <v>5724</v>
      </c>
      <c r="G8" s="55" t="s">
        <v>5708</v>
      </c>
    </row>
    <row r="9" customFormat="false" ht="39.75" hidden="false" customHeight="true" outlineLevel="0" collapsed="false">
      <c r="A9" s="57" t="s">
        <v>5714</v>
      </c>
      <c r="B9" s="57" t="s">
        <v>5725</v>
      </c>
      <c r="C9" s="57" t="s">
        <v>5726</v>
      </c>
      <c r="D9" s="57" t="s">
        <v>5727</v>
      </c>
      <c r="E9" s="57" t="s">
        <v>5728</v>
      </c>
      <c r="F9" s="57" t="s">
        <v>5729</v>
      </c>
      <c r="G9" s="57" t="s">
        <v>5708</v>
      </c>
    </row>
    <row r="10" customFormat="false" ht="39.75" hidden="false" customHeight="true" outlineLevel="0" collapsed="false">
      <c r="A10" s="52" t="s">
        <v>5730</v>
      </c>
      <c r="B10" s="52" t="s">
        <v>5731</v>
      </c>
      <c r="C10" s="52" t="s">
        <v>5732</v>
      </c>
      <c r="D10" s="52" t="s">
        <v>5733</v>
      </c>
      <c r="E10" s="52" t="s">
        <v>5728</v>
      </c>
      <c r="F10" s="52" t="s">
        <v>5734</v>
      </c>
      <c r="G10" s="52" t="s">
        <v>5089</v>
      </c>
    </row>
    <row r="11" customFormat="false" ht="39.75" hidden="false" customHeight="true" outlineLevel="0" collapsed="false">
      <c r="A11" s="55" t="s">
        <v>5730</v>
      </c>
      <c r="B11" s="55" t="s">
        <v>5735</v>
      </c>
      <c r="C11" s="55" t="s">
        <v>5736</v>
      </c>
      <c r="D11" s="55" t="s">
        <v>5737</v>
      </c>
      <c r="E11" s="55" t="s">
        <v>5728</v>
      </c>
      <c r="F11" s="55" t="s">
        <v>5738</v>
      </c>
      <c r="G11" s="55" t="s">
        <v>5089</v>
      </c>
    </row>
    <row r="12" customFormat="false" ht="39.75" hidden="false" customHeight="true" outlineLevel="0" collapsed="false">
      <c r="A12" s="57" t="s">
        <v>5730</v>
      </c>
      <c r="B12" s="57" t="s">
        <v>5739</v>
      </c>
      <c r="C12" s="57" t="s">
        <v>5740</v>
      </c>
      <c r="D12" s="57" t="s">
        <v>5741</v>
      </c>
      <c r="E12" s="57" t="s">
        <v>5728</v>
      </c>
      <c r="F12" s="57" t="s">
        <v>5742</v>
      </c>
      <c r="G12" s="57" t="s">
        <v>5089</v>
      </c>
    </row>
    <row r="13" customFormat="false" ht="39.75" hidden="false" customHeight="true" outlineLevel="0" collapsed="false">
      <c r="A13" s="52" t="s">
        <v>5743</v>
      </c>
      <c r="B13" s="52" t="s">
        <v>5744</v>
      </c>
      <c r="C13" s="52" t="s">
        <v>5745</v>
      </c>
      <c r="D13" s="52" t="s">
        <v>5746</v>
      </c>
      <c r="E13" s="52" t="s">
        <v>5747</v>
      </c>
      <c r="F13" s="52" t="s">
        <v>5748</v>
      </c>
      <c r="G13" s="52" t="s">
        <v>5749</v>
      </c>
    </row>
    <row r="14" customFormat="false" ht="39.75" hidden="false" customHeight="true" outlineLevel="0" collapsed="false">
      <c r="A14" s="55" t="s">
        <v>1230</v>
      </c>
      <c r="B14" s="55" t="s">
        <v>5750</v>
      </c>
      <c r="C14" s="55" t="s">
        <v>5751</v>
      </c>
      <c r="D14" s="55" t="s">
        <v>5752</v>
      </c>
      <c r="E14" s="55" t="s">
        <v>5723</v>
      </c>
      <c r="F14" s="55" t="s">
        <v>5753</v>
      </c>
      <c r="G14" s="55" t="s">
        <v>5754</v>
      </c>
    </row>
    <row r="15" customFormat="false" ht="39.75" hidden="false" customHeight="true" outlineLevel="0" collapsed="false">
      <c r="A15" s="57" t="s">
        <v>5562</v>
      </c>
      <c r="B15" s="57" t="s">
        <v>5029</v>
      </c>
      <c r="C15" s="57" t="s">
        <v>5755</v>
      </c>
      <c r="D15" s="57" t="s">
        <v>5756</v>
      </c>
      <c r="E15" s="57" t="s">
        <v>5208</v>
      </c>
      <c r="F15" s="57" t="s">
        <v>5757</v>
      </c>
      <c r="G15" s="57" t="s">
        <v>4426</v>
      </c>
    </row>
    <row r="18" customFormat="false" ht="15.75" hidden="false" customHeight="true" outlineLevel="0" collapsed="false">
      <c r="A18" s="73" t="s">
        <v>5758</v>
      </c>
      <c r="B18" s="73"/>
      <c r="C18" s="73"/>
      <c r="D18" s="73"/>
      <c r="E18" s="73"/>
      <c r="F18" s="73"/>
      <c r="G18" s="73"/>
    </row>
    <row r="19" customFormat="false" ht="15" hidden="false" customHeight="true" outlineLevel="0" collapsed="false">
      <c r="A19" s="65" t="s">
        <v>4186</v>
      </c>
      <c r="B19" s="65" t="s">
        <v>5215</v>
      </c>
      <c r="C19" s="65" t="s">
        <v>5759</v>
      </c>
      <c r="D19" s="65" t="s">
        <v>5760</v>
      </c>
      <c r="E19" s="65" t="s">
        <v>5218</v>
      </c>
      <c r="F19" s="65" t="s">
        <v>5761</v>
      </c>
      <c r="G19" s="65" t="s">
        <v>5762</v>
      </c>
    </row>
    <row r="20" customFormat="false" ht="33.75" hidden="false" customHeight="true" outlineLevel="0" collapsed="false">
      <c r="A20" s="66" t="s">
        <v>5763</v>
      </c>
      <c r="B20" s="67" t="n">
        <v>19</v>
      </c>
      <c r="C20" s="67" t="n">
        <v>9</v>
      </c>
      <c r="D20" s="67" t="n">
        <v>4</v>
      </c>
      <c r="E20" s="67" t="n">
        <v>2</v>
      </c>
      <c r="F20" s="67" t="n">
        <f aca="false">B20*C20*D20*E20</f>
        <v>1368</v>
      </c>
      <c r="G20" s="66" t="s">
        <v>5764</v>
      </c>
    </row>
    <row r="21" customFormat="false" ht="33.75" hidden="false" customHeight="true" outlineLevel="0" collapsed="false">
      <c r="A21" s="68" t="s">
        <v>5720</v>
      </c>
      <c r="B21" s="69" t="n">
        <v>7</v>
      </c>
      <c r="C21" s="69" t="n">
        <v>9</v>
      </c>
      <c r="D21" s="69" t="n">
        <v>2</v>
      </c>
      <c r="E21" s="69" t="n">
        <v>2</v>
      </c>
      <c r="F21" s="69" t="n">
        <f aca="false">B21*C21*D21*E21</f>
        <v>252</v>
      </c>
      <c r="G21" s="68" t="s">
        <v>5765</v>
      </c>
    </row>
    <row r="22" customFormat="false" ht="33.75" hidden="false" customHeight="true" outlineLevel="0" collapsed="false">
      <c r="A22" s="68" t="s">
        <v>5630</v>
      </c>
      <c r="B22" s="69" t="n">
        <v>4</v>
      </c>
      <c r="C22" s="69" t="n">
        <v>9</v>
      </c>
      <c r="D22" s="69" t="n">
        <v>4</v>
      </c>
      <c r="E22" s="69" t="n">
        <v>1</v>
      </c>
      <c r="F22" s="69" t="n">
        <f aca="false">B22*C22*D22*E22</f>
        <v>144</v>
      </c>
      <c r="G22" s="68" t="s">
        <v>5766</v>
      </c>
    </row>
    <row r="23" customFormat="false" ht="33.75" hidden="false" customHeight="true" outlineLevel="0" collapsed="false">
      <c r="A23" s="66" t="s">
        <v>5767</v>
      </c>
      <c r="B23" s="67"/>
      <c r="C23" s="67"/>
      <c r="D23" s="67"/>
      <c r="E23" s="67"/>
      <c r="F23" s="67" t="n">
        <f aca="false">SUM(F20:F22)</f>
        <v>1764</v>
      </c>
      <c r="G23" s="66" t="s">
        <v>5768</v>
      </c>
    </row>
    <row r="24" customFormat="false" ht="33.75" hidden="false" customHeight="true" outlineLevel="0" collapsed="false">
      <c r="A24" s="68" t="s">
        <v>5769</v>
      </c>
      <c r="B24" s="69"/>
      <c r="C24" s="69"/>
      <c r="D24" s="69"/>
      <c r="E24" s="69"/>
      <c r="F24" s="69" t="n">
        <v>1350</v>
      </c>
      <c r="G24" s="68" t="s">
        <v>5770</v>
      </c>
    </row>
    <row r="25" customFormat="false" ht="33.75" hidden="false" customHeight="true" outlineLevel="0" collapsed="false">
      <c r="A25" s="66" t="s">
        <v>5771</v>
      </c>
      <c r="B25" s="67"/>
      <c r="C25" s="67"/>
      <c r="D25" s="67"/>
      <c r="E25" s="67"/>
      <c r="F25" s="67" t="n">
        <f aca="false">F23+F24</f>
        <v>3114</v>
      </c>
      <c r="G25" s="66" t="s">
        <v>5772</v>
      </c>
    </row>
    <row r="28" customFormat="false" ht="15.75" hidden="false" customHeight="true" outlineLevel="0" collapsed="false">
      <c r="A28" s="73" t="s">
        <v>5773</v>
      </c>
      <c r="B28" s="73"/>
      <c r="C28" s="73"/>
      <c r="D28" s="73"/>
      <c r="E28" s="73"/>
      <c r="F28" s="73"/>
      <c r="G28" s="73"/>
    </row>
    <row r="29" customFormat="false" ht="15" hidden="false" customHeight="true" outlineLevel="0" collapsed="false">
      <c r="A29" s="65" t="s">
        <v>5774</v>
      </c>
      <c r="B29" s="65" t="s">
        <v>5775</v>
      </c>
      <c r="C29" s="65" t="s">
        <v>108</v>
      </c>
      <c r="D29" s="65" t="s">
        <v>5776</v>
      </c>
      <c r="E29" s="65" t="s">
        <v>5777</v>
      </c>
      <c r="F29" s="65" t="s">
        <v>5778</v>
      </c>
      <c r="G29" s="65" t="s">
        <v>5220</v>
      </c>
    </row>
    <row r="30" customFormat="false" ht="37.5" hidden="false" customHeight="true" outlineLevel="0" collapsed="false">
      <c r="A30" s="52" t="s">
        <v>5779</v>
      </c>
      <c r="B30" s="52" t="s">
        <v>5780</v>
      </c>
      <c r="C30" s="52" t="s">
        <v>1470</v>
      </c>
      <c r="D30" s="52" t="s">
        <v>5781</v>
      </c>
      <c r="E30" s="52" t="s">
        <v>5782</v>
      </c>
      <c r="F30" s="52" t="s">
        <v>5783</v>
      </c>
      <c r="G30" s="52" t="s">
        <v>5784</v>
      </c>
    </row>
    <row r="31" customFormat="false" ht="37.5" hidden="false" customHeight="true" outlineLevel="0" collapsed="false">
      <c r="A31" s="55" t="s">
        <v>5731</v>
      </c>
      <c r="B31" s="55" t="s">
        <v>5780</v>
      </c>
      <c r="C31" s="55" t="s">
        <v>1470</v>
      </c>
      <c r="D31" s="55" t="s">
        <v>5785</v>
      </c>
      <c r="E31" s="55" t="s">
        <v>5786</v>
      </c>
      <c r="F31" s="55" t="s">
        <v>5783</v>
      </c>
      <c r="G31" s="55" t="s">
        <v>5787</v>
      </c>
    </row>
    <row r="32" customFormat="false" ht="37.5" hidden="false" customHeight="true" outlineLevel="0" collapsed="false">
      <c r="A32" s="57" t="s">
        <v>5788</v>
      </c>
      <c r="B32" s="57" t="s">
        <v>5780</v>
      </c>
      <c r="C32" s="57" t="s">
        <v>1466</v>
      </c>
      <c r="D32" s="57" t="s">
        <v>5785</v>
      </c>
      <c r="E32" s="57" t="s">
        <v>5786</v>
      </c>
      <c r="F32" s="57" t="s">
        <v>5783</v>
      </c>
      <c r="G32" s="57" t="s">
        <v>5789</v>
      </c>
    </row>
    <row r="33" customFormat="false" ht="37.5" hidden="false" customHeight="true" outlineLevel="0" collapsed="false">
      <c r="A33" s="57" t="s">
        <v>5790</v>
      </c>
      <c r="B33" s="57" t="s">
        <v>5791</v>
      </c>
      <c r="C33" s="57" t="s">
        <v>1470</v>
      </c>
      <c r="D33" s="57" t="s">
        <v>5785</v>
      </c>
      <c r="E33" s="57" t="s">
        <v>5786</v>
      </c>
      <c r="F33" s="57" t="s">
        <v>5783</v>
      </c>
      <c r="G33" s="57" t="s">
        <v>5742</v>
      </c>
    </row>
    <row r="36" customFormat="false" ht="15.75" hidden="false" customHeight="true" outlineLevel="0" collapsed="false">
      <c r="A36" s="73" t="s">
        <v>5792</v>
      </c>
      <c r="B36" s="73"/>
      <c r="C36" s="73"/>
      <c r="D36" s="73"/>
      <c r="E36" s="73"/>
      <c r="F36" s="73"/>
      <c r="G36" s="73"/>
    </row>
    <row r="37" customFormat="false" ht="33.75" hidden="false" customHeight="true" outlineLevel="0" collapsed="false">
      <c r="A37" s="54" t="s">
        <v>5793</v>
      </c>
      <c r="B37" s="54" t="s">
        <v>5794</v>
      </c>
      <c r="C37" s="54"/>
      <c r="D37" s="54"/>
      <c r="E37" s="54"/>
      <c r="F37" s="54"/>
      <c r="G37" s="54" t="s">
        <v>5795</v>
      </c>
    </row>
    <row r="38" customFormat="false" ht="33.75" hidden="false" customHeight="true" outlineLevel="0" collapsed="false">
      <c r="A38" s="54" t="s">
        <v>5796</v>
      </c>
      <c r="B38" s="54" t="s">
        <v>5797</v>
      </c>
      <c r="C38" s="54"/>
      <c r="D38" s="54"/>
      <c r="E38" s="54"/>
      <c r="F38" s="54"/>
      <c r="G38" s="54" t="s">
        <v>5795</v>
      </c>
    </row>
    <row r="39" customFormat="false" ht="33.75" hidden="false" customHeight="true" outlineLevel="0" collapsed="false">
      <c r="A39" s="54" t="s">
        <v>5798</v>
      </c>
      <c r="B39" s="54" t="s">
        <v>5799</v>
      </c>
      <c r="C39" s="54"/>
      <c r="D39" s="54"/>
      <c r="E39" s="54"/>
      <c r="F39" s="54"/>
      <c r="G39" s="54" t="s">
        <v>5795</v>
      </c>
    </row>
    <row r="40" customFormat="false" ht="33.75" hidden="false" customHeight="true" outlineLevel="0" collapsed="false">
      <c r="A40" s="54" t="s">
        <v>5800</v>
      </c>
      <c r="B40" s="54" t="s">
        <v>5801</v>
      </c>
      <c r="C40" s="54"/>
      <c r="D40" s="54"/>
      <c r="E40" s="54"/>
      <c r="F40" s="54"/>
      <c r="G40" s="54" t="s">
        <v>5795</v>
      </c>
    </row>
    <row r="41" customFormat="false" ht="33.75" hidden="false" customHeight="true" outlineLevel="0" collapsed="false">
      <c r="A41" s="54" t="s">
        <v>5802</v>
      </c>
      <c r="B41" s="54" t="s">
        <v>5803</v>
      </c>
      <c r="C41" s="54"/>
      <c r="D41" s="54"/>
      <c r="E41" s="54"/>
      <c r="F41" s="54"/>
      <c r="G41" s="54" t="s">
        <v>5795</v>
      </c>
    </row>
    <row r="42" customFormat="false" ht="33.75" hidden="false" customHeight="true" outlineLevel="0" collapsed="false">
      <c r="A42" s="54" t="s">
        <v>5804</v>
      </c>
      <c r="B42" s="54" t="s">
        <v>5805</v>
      </c>
      <c r="C42" s="54"/>
      <c r="D42" s="54"/>
      <c r="E42" s="54"/>
      <c r="F42" s="54"/>
      <c r="G42" s="54" t="s">
        <v>5795</v>
      </c>
    </row>
    <row r="43" customFormat="false" ht="33.75" hidden="false" customHeight="true" outlineLevel="0" collapsed="false">
      <c r="A43" s="54" t="s">
        <v>5806</v>
      </c>
      <c r="B43" s="54" t="s">
        <v>5807</v>
      </c>
      <c r="C43" s="54"/>
      <c r="D43" s="54"/>
      <c r="E43" s="54"/>
      <c r="F43" s="54"/>
      <c r="G43" s="54" t="s">
        <v>5795</v>
      </c>
    </row>
    <row r="44" customFormat="false" ht="33.75" hidden="false" customHeight="true" outlineLevel="0" collapsed="false">
      <c r="A44" s="54" t="s">
        <v>5808</v>
      </c>
      <c r="B44" s="54" t="s">
        <v>5809</v>
      </c>
      <c r="C44" s="54"/>
      <c r="D44" s="54"/>
      <c r="E44" s="54"/>
      <c r="F44" s="54"/>
      <c r="G44" s="54" t="s">
        <v>5795</v>
      </c>
    </row>
    <row r="45" customFormat="false" ht="33.75" hidden="false" customHeight="true" outlineLevel="0" collapsed="false">
      <c r="A45" s="54" t="s">
        <v>5810</v>
      </c>
      <c r="B45" s="54" t="s">
        <v>5811</v>
      </c>
      <c r="C45" s="54"/>
      <c r="D45" s="54"/>
      <c r="E45" s="54"/>
      <c r="F45" s="54"/>
      <c r="G45" s="54" t="s">
        <v>5795</v>
      </c>
    </row>
  </sheetData>
  <mergeCells count="13">
    <mergeCell ref="A1:G1"/>
    <mergeCell ref="A18:G18"/>
    <mergeCell ref="A28:G28"/>
    <mergeCell ref="A36:G36"/>
    <mergeCell ref="B37:F37"/>
    <mergeCell ref="B38:F38"/>
    <mergeCell ref="B39:F39"/>
    <mergeCell ref="B40:F40"/>
    <mergeCell ref="B41:F41"/>
    <mergeCell ref="B42:F42"/>
    <mergeCell ref="B43:F43"/>
    <mergeCell ref="B44:F44"/>
    <mergeCell ref="B45:F4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31"/>
    <col collapsed="false" customWidth="true" hidden="false" outlineLevel="0" max="2" min="2" style="30" width="29"/>
    <col collapsed="false" customWidth="true" hidden="false" outlineLevel="0" max="3" min="3" style="30" width="20"/>
    <col collapsed="false" customWidth="true" hidden="false" outlineLevel="0" max="4" min="4" style="30" width="13"/>
    <col collapsed="false" customWidth="true" hidden="false" outlineLevel="0" max="6" min="5" style="30" width="10"/>
    <col collapsed="false" customWidth="true" hidden="false" outlineLevel="0" max="7" min="7" style="30" width="11"/>
    <col collapsed="false" customWidth="true" hidden="false" outlineLevel="0" max="8" min="8" style="30" width="12"/>
    <col collapsed="false" customWidth="true" hidden="false" outlineLevel="0" max="9" min="9" style="30" width="15"/>
    <col collapsed="false" customWidth="true" hidden="false" outlineLevel="0" max="10" min="10" style="30" width="17"/>
    <col collapsed="false" customWidth="true" hidden="false" outlineLevel="0" max="12" min="11" style="30" width="27"/>
    <col collapsed="false" customWidth="true" hidden="false" outlineLevel="0" max="13" min="13" style="30" width="28"/>
    <col collapsed="false" customWidth="true" hidden="false" outlineLevel="0" max="17" min="14" style="30" width="14"/>
    <col collapsed="false" customWidth="true" hidden="false" outlineLevel="0" max="18" min="18" style="30" width="11"/>
    <col collapsed="false" customWidth="true" hidden="false" outlineLevel="0" max="19" min="19" style="30" width="16"/>
    <col collapsed="false" customWidth="true" hidden="false" outlineLevel="0" max="20" min="20" style="30" width="52"/>
  </cols>
  <sheetData>
    <row r="1" customFormat="false" ht="24" hidden="false" customHeight="true" outlineLevel="0" collapsed="false">
      <c r="A1" s="63" t="s">
        <v>5812</v>
      </c>
      <c r="B1" s="63"/>
      <c r="C1" s="63"/>
      <c r="D1" s="63"/>
      <c r="E1" s="63"/>
      <c r="F1" s="63"/>
      <c r="G1" s="63"/>
      <c r="H1" s="63"/>
      <c r="I1" s="63"/>
      <c r="J1" s="63"/>
      <c r="K1" s="63"/>
      <c r="L1" s="63"/>
      <c r="M1" s="63"/>
      <c r="N1" s="63"/>
      <c r="O1" s="63"/>
      <c r="P1" s="63"/>
      <c r="Q1" s="63"/>
      <c r="R1" s="63"/>
      <c r="S1" s="63"/>
      <c r="T1" s="63"/>
    </row>
    <row r="2" customFormat="false" ht="15" hidden="false" customHeight="true" outlineLevel="0" collapsed="false">
      <c r="A2" s="64" t="s">
        <v>5813</v>
      </c>
      <c r="B2" s="64"/>
      <c r="C2" s="64"/>
      <c r="D2" s="64"/>
      <c r="E2" s="64"/>
      <c r="F2" s="64"/>
      <c r="G2" s="64"/>
      <c r="H2" s="64"/>
      <c r="I2" s="64"/>
      <c r="J2" s="64"/>
      <c r="K2" s="64"/>
      <c r="L2" s="64"/>
      <c r="M2" s="64"/>
      <c r="N2" s="64"/>
      <c r="O2" s="64"/>
      <c r="P2" s="64"/>
      <c r="Q2" s="64"/>
      <c r="R2" s="64"/>
      <c r="S2" s="64"/>
      <c r="T2" s="64"/>
    </row>
    <row r="3" customFormat="false" ht="42" hidden="false" customHeight="true" outlineLevel="0" collapsed="false">
      <c r="A3" s="65" t="s">
        <v>5617</v>
      </c>
      <c r="B3" s="65" t="s">
        <v>5618</v>
      </c>
      <c r="C3" s="65" t="s">
        <v>3794</v>
      </c>
      <c r="D3" s="65" t="s">
        <v>5775</v>
      </c>
      <c r="E3" s="65" t="s">
        <v>108</v>
      </c>
      <c r="F3" s="65" t="s">
        <v>1263</v>
      </c>
      <c r="G3" s="65" t="s">
        <v>5112</v>
      </c>
      <c r="H3" s="65" t="s">
        <v>5622</v>
      </c>
      <c r="I3" s="65" t="s">
        <v>5776</v>
      </c>
      <c r="J3" s="65" t="s">
        <v>5624</v>
      </c>
      <c r="K3" s="65" t="s">
        <v>5625</v>
      </c>
      <c r="L3" s="65" t="s">
        <v>5626</v>
      </c>
      <c r="M3" s="65" t="s">
        <v>5627</v>
      </c>
      <c r="N3" s="65" t="s">
        <v>5628</v>
      </c>
      <c r="O3" s="65" t="s">
        <v>5814</v>
      </c>
      <c r="P3" s="65" t="s">
        <v>5815</v>
      </c>
      <c r="Q3" s="65" t="s">
        <v>5816</v>
      </c>
      <c r="R3" s="65" t="s">
        <v>5630</v>
      </c>
      <c r="S3" s="65" t="s">
        <v>5631</v>
      </c>
      <c r="T3" s="65" t="s">
        <v>5817</v>
      </c>
    </row>
    <row r="4" customFormat="false" ht="48" hidden="false" customHeight="true" outlineLevel="0" collapsed="false">
      <c r="A4" s="66" t="s">
        <v>5818</v>
      </c>
      <c r="B4" s="66" t="s">
        <v>5633</v>
      </c>
      <c r="C4" s="67" t="s">
        <v>5634</v>
      </c>
      <c r="D4" s="67" t="s">
        <v>5791</v>
      </c>
      <c r="E4" s="67" t="n">
        <v>2</v>
      </c>
      <c r="F4" s="67" t="n">
        <v>5</v>
      </c>
      <c r="G4" s="67" t="n">
        <v>2</v>
      </c>
      <c r="H4" s="67" t="n">
        <f aca="false">F4-G4</f>
        <v>3</v>
      </c>
      <c r="I4" s="67" t="s">
        <v>5819</v>
      </c>
      <c r="J4" s="67" t="s">
        <v>5637</v>
      </c>
      <c r="K4" s="67" t="s">
        <v>5638</v>
      </c>
      <c r="L4" s="67" t="s">
        <v>5639</v>
      </c>
      <c r="M4" s="67" t="s">
        <v>5640</v>
      </c>
      <c r="N4" s="67" t="n">
        <v>72</v>
      </c>
      <c r="O4" s="67" t="n">
        <v>18</v>
      </c>
      <c r="P4" s="67" t="n">
        <v>9</v>
      </c>
      <c r="Q4" s="67" t="n">
        <v>9</v>
      </c>
      <c r="R4" s="67" t="n">
        <v>0</v>
      </c>
      <c r="S4" s="67" t="s">
        <v>5641</v>
      </c>
      <c r="T4" s="66" t="s">
        <v>5820</v>
      </c>
    </row>
    <row r="5" customFormat="false" ht="48" hidden="false" customHeight="true" outlineLevel="0" collapsed="false">
      <c r="A5" s="70" t="s">
        <v>5821</v>
      </c>
      <c r="B5" s="70" t="s">
        <v>5822</v>
      </c>
      <c r="C5" s="71" t="s">
        <v>5823</v>
      </c>
      <c r="D5" s="71" t="s">
        <v>5780</v>
      </c>
      <c r="E5" s="71" t="n">
        <v>3</v>
      </c>
      <c r="F5" s="71" t="n">
        <v>6</v>
      </c>
      <c r="G5" s="71" t="n">
        <v>3</v>
      </c>
      <c r="H5" s="71" t="n">
        <f aca="false">F5-G5</f>
        <v>3</v>
      </c>
      <c r="I5" s="71" t="s">
        <v>5781</v>
      </c>
      <c r="J5" s="71" t="s">
        <v>5651</v>
      </c>
      <c r="K5" s="71" t="s">
        <v>5652</v>
      </c>
      <c r="L5" s="71" t="s">
        <v>5653</v>
      </c>
      <c r="M5" s="71" t="s">
        <v>5654</v>
      </c>
      <c r="N5" s="71" t="n">
        <v>72</v>
      </c>
      <c r="O5" s="71" t="n">
        <v>18</v>
      </c>
      <c r="P5" s="71" t="n">
        <v>9</v>
      </c>
      <c r="Q5" s="71" t="n">
        <v>9</v>
      </c>
      <c r="R5" s="71" t="n">
        <v>36</v>
      </c>
      <c r="S5" s="71" t="s">
        <v>5641</v>
      </c>
      <c r="T5" s="70" t="s">
        <v>5824</v>
      </c>
    </row>
    <row r="6" customFormat="false" ht="48" hidden="false" customHeight="true" outlineLevel="0" collapsed="false">
      <c r="A6" s="70" t="s">
        <v>5825</v>
      </c>
      <c r="B6" s="70" t="s">
        <v>5826</v>
      </c>
      <c r="C6" s="71" t="s">
        <v>5823</v>
      </c>
      <c r="D6" s="71" t="s">
        <v>5780</v>
      </c>
      <c r="E6" s="71" t="n">
        <v>2</v>
      </c>
      <c r="F6" s="71" t="n">
        <v>6</v>
      </c>
      <c r="G6" s="71" t="n">
        <v>3</v>
      </c>
      <c r="H6" s="71" t="n">
        <f aca="false">F6-G6</f>
        <v>3</v>
      </c>
      <c r="I6" s="71" t="s">
        <v>5785</v>
      </c>
      <c r="J6" s="71" t="s">
        <v>5651</v>
      </c>
      <c r="K6" s="71" t="s">
        <v>5652</v>
      </c>
      <c r="L6" s="71" t="s">
        <v>5653</v>
      </c>
      <c r="M6" s="71" t="s">
        <v>5654</v>
      </c>
      <c r="N6" s="71" t="n">
        <v>72</v>
      </c>
      <c r="O6" s="71" t="n">
        <v>18</v>
      </c>
      <c r="P6" s="71" t="n">
        <v>9</v>
      </c>
      <c r="Q6" s="71" t="n">
        <v>9</v>
      </c>
      <c r="R6" s="71" t="n">
        <v>0</v>
      </c>
      <c r="S6" s="71" t="s">
        <v>5641</v>
      </c>
      <c r="T6" s="70" t="s">
        <v>5827</v>
      </c>
    </row>
    <row r="7" customFormat="false" ht="48" hidden="false" customHeight="true" outlineLevel="0" collapsed="false">
      <c r="A7" s="70" t="s">
        <v>5828</v>
      </c>
      <c r="B7" s="70" t="s">
        <v>5829</v>
      </c>
      <c r="C7" s="71" t="s">
        <v>5823</v>
      </c>
      <c r="D7" s="71" t="s">
        <v>5791</v>
      </c>
      <c r="E7" s="71" t="n">
        <v>3</v>
      </c>
      <c r="F7" s="71" t="n">
        <v>6</v>
      </c>
      <c r="G7" s="71" t="n">
        <v>3</v>
      </c>
      <c r="H7" s="71" t="n">
        <f aca="false">F7-G7</f>
        <v>3</v>
      </c>
      <c r="I7" s="71" t="s">
        <v>5785</v>
      </c>
      <c r="J7" s="71" t="s">
        <v>5651</v>
      </c>
      <c r="K7" s="71" t="s">
        <v>5652</v>
      </c>
      <c r="L7" s="71" t="s">
        <v>5653</v>
      </c>
      <c r="M7" s="71" t="s">
        <v>5654</v>
      </c>
      <c r="N7" s="71" t="n">
        <v>72</v>
      </c>
      <c r="O7" s="71" t="n">
        <v>18</v>
      </c>
      <c r="P7" s="71" t="n">
        <v>9</v>
      </c>
      <c r="Q7" s="71" t="n">
        <v>9</v>
      </c>
      <c r="R7" s="71" t="n">
        <v>0</v>
      </c>
      <c r="S7" s="71" t="s">
        <v>5641</v>
      </c>
      <c r="T7" s="70" t="s">
        <v>5830</v>
      </c>
    </row>
    <row r="8" customFormat="false" ht="48" hidden="false" customHeight="true" outlineLevel="0" collapsed="false">
      <c r="A8" s="66" t="s">
        <v>5831</v>
      </c>
      <c r="B8" s="66" t="s">
        <v>5832</v>
      </c>
      <c r="C8" s="67" t="s">
        <v>5833</v>
      </c>
      <c r="D8" s="67" t="s">
        <v>5791</v>
      </c>
      <c r="E8" s="67" t="n">
        <v>2</v>
      </c>
      <c r="F8" s="67" t="n">
        <v>6</v>
      </c>
      <c r="G8" s="67" t="n">
        <v>3</v>
      </c>
      <c r="H8" s="67" t="n">
        <f aca="false">F8-G8</f>
        <v>3</v>
      </c>
      <c r="I8" s="67" t="s">
        <v>5785</v>
      </c>
      <c r="J8" s="67" t="s">
        <v>5651</v>
      </c>
      <c r="K8" s="67" t="s">
        <v>5652</v>
      </c>
      <c r="L8" s="67" t="s">
        <v>5653</v>
      </c>
      <c r="M8" s="67" t="s">
        <v>5654</v>
      </c>
      <c r="N8" s="67" t="n">
        <v>72</v>
      </c>
      <c r="O8" s="67" t="n">
        <v>18</v>
      </c>
      <c r="P8" s="67" t="n">
        <v>9</v>
      </c>
      <c r="Q8" s="67" t="n">
        <v>9</v>
      </c>
      <c r="R8" s="67" t="n">
        <v>36</v>
      </c>
      <c r="S8" s="67" t="s">
        <v>5641</v>
      </c>
      <c r="T8" s="66" t="s">
        <v>5834</v>
      </c>
    </row>
    <row r="9" customFormat="false" ht="48" hidden="false" customHeight="true" outlineLevel="0" collapsed="false">
      <c r="A9" s="66" t="s">
        <v>5835</v>
      </c>
      <c r="B9" s="66" t="s">
        <v>5836</v>
      </c>
      <c r="C9" s="67" t="s">
        <v>5833</v>
      </c>
      <c r="D9" s="67" t="s">
        <v>5837</v>
      </c>
      <c r="E9" s="67" t="n">
        <v>2</v>
      </c>
      <c r="F9" s="67" t="n">
        <v>6</v>
      </c>
      <c r="G9" s="67" t="n">
        <v>3</v>
      </c>
      <c r="H9" s="67" t="n">
        <f aca="false">F9-G9</f>
        <v>3</v>
      </c>
      <c r="I9" s="67" t="s">
        <v>5785</v>
      </c>
      <c r="J9" s="67" t="s">
        <v>5651</v>
      </c>
      <c r="K9" s="67" t="s">
        <v>5652</v>
      </c>
      <c r="L9" s="67" t="s">
        <v>5653</v>
      </c>
      <c r="M9" s="67" t="s">
        <v>5654</v>
      </c>
      <c r="N9" s="67" t="n">
        <v>72</v>
      </c>
      <c r="O9" s="67" t="n">
        <v>18</v>
      </c>
      <c r="P9" s="67" t="n">
        <v>9</v>
      </c>
      <c r="Q9" s="67" t="n">
        <v>9</v>
      </c>
      <c r="R9" s="67" t="n">
        <v>36</v>
      </c>
      <c r="S9" s="67" t="s">
        <v>5641</v>
      </c>
      <c r="T9" s="66" t="s">
        <v>5838</v>
      </c>
    </row>
    <row r="10" customFormat="false" ht="48" hidden="false" customHeight="true" outlineLevel="0" collapsed="false">
      <c r="A10" s="66" t="s">
        <v>5839</v>
      </c>
      <c r="B10" s="66" t="s">
        <v>5840</v>
      </c>
      <c r="C10" s="67" t="s">
        <v>5833</v>
      </c>
      <c r="D10" s="67" t="s">
        <v>5841</v>
      </c>
      <c r="E10" s="67" t="n">
        <v>2</v>
      </c>
      <c r="F10" s="67" t="n">
        <v>6</v>
      </c>
      <c r="G10" s="67" t="n">
        <v>3</v>
      </c>
      <c r="H10" s="67" t="n">
        <f aca="false">F10-G10</f>
        <v>3</v>
      </c>
      <c r="I10" s="67" t="s">
        <v>5785</v>
      </c>
      <c r="J10" s="67" t="s">
        <v>5651</v>
      </c>
      <c r="K10" s="67" t="s">
        <v>5652</v>
      </c>
      <c r="L10" s="67" t="s">
        <v>5653</v>
      </c>
      <c r="M10" s="67" t="s">
        <v>5654</v>
      </c>
      <c r="N10" s="67" t="n">
        <v>72</v>
      </c>
      <c r="O10" s="67" t="n">
        <v>18</v>
      </c>
      <c r="P10" s="67" t="n">
        <v>9</v>
      </c>
      <c r="Q10" s="67" t="n">
        <v>9</v>
      </c>
      <c r="R10" s="67" t="n">
        <v>36</v>
      </c>
      <c r="S10" s="67" t="s">
        <v>5641</v>
      </c>
      <c r="T10" s="66" t="s">
        <v>5842</v>
      </c>
    </row>
    <row r="11" customFormat="false" ht="48" hidden="false" customHeight="true" outlineLevel="0" collapsed="false">
      <c r="A11" s="66" t="s">
        <v>5843</v>
      </c>
      <c r="B11" s="66" t="s">
        <v>5844</v>
      </c>
      <c r="C11" s="67" t="s">
        <v>5833</v>
      </c>
      <c r="D11" s="67" t="s">
        <v>5837</v>
      </c>
      <c r="E11" s="67" t="n">
        <v>2</v>
      </c>
      <c r="F11" s="67" t="n">
        <v>6</v>
      </c>
      <c r="G11" s="67" t="n">
        <v>3</v>
      </c>
      <c r="H11" s="67" t="n">
        <f aca="false">F11-G11</f>
        <v>3</v>
      </c>
      <c r="I11" s="67" t="s">
        <v>5785</v>
      </c>
      <c r="J11" s="67" t="s">
        <v>5651</v>
      </c>
      <c r="K11" s="67" t="s">
        <v>5845</v>
      </c>
      <c r="L11" s="67" t="s">
        <v>5846</v>
      </c>
      <c r="M11" s="67" t="s">
        <v>5654</v>
      </c>
      <c r="N11" s="67" t="n">
        <v>72</v>
      </c>
      <c r="O11" s="67" t="n">
        <v>18</v>
      </c>
      <c r="P11" s="67" t="n">
        <v>9</v>
      </c>
      <c r="Q11" s="67" t="n">
        <v>9</v>
      </c>
      <c r="R11" s="67" t="n">
        <v>36</v>
      </c>
      <c r="S11" s="67" t="s">
        <v>5641</v>
      </c>
      <c r="T11" s="66" t="s">
        <v>5847</v>
      </c>
    </row>
    <row r="12" customFormat="false" ht="48" hidden="false" customHeight="true" outlineLevel="0" collapsed="false">
      <c r="A12" s="66" t="s">
        <v>5848</v>
      </c>
      <c r="B12" s="66" t="s">
        <v>5849</v>
      </c>
      <c r="C12" s="67" t="s">
        <v>5833</v>
      </c>
      <c r="D12" s="67" t="s">
        <v>5841</v>
      </c>
      <c r="E12" s="67" t="n">
        <v>2</v>
      </c>
      <c r="F12" s="67" t="n">
        <v>6</v>
      </c>
      <c r="G12" s="67" t="n">
        <v>3</v>
      </c>
      <c r="H12" s="67" t="n">
        <f aca="false">F12-G12</f>
        <v>3</v>
      </c>
      <c r="I12" s="67" t="s">
        <v>5785</v>
      </c>
      <c r="J12" s="67" t="s">
        <v>5651</v>
      </c>
      <c r="K12" s="67" t="s">
        <v>5845</v>
      </c>
      <c r="L12" s="67" t="s">
        <v>5846</v>
      </c>
      <c r="M12" s="67" t="s">
        <v>5654</v>
      </c>
      <c r="N12" s="67" t="n">
        <v>72</v>
      </c>
      <c r="O12" s="67" t="n">
        <v>18</v>
      </c>
      <c r="P12" s="67" t="n">
        <v>9</v>
      </c>
      <c r="Q12" s="67" t="n">
        <v>9</v>
      </c>
      <c r="R12" s="67" t="n">
        <v>36</v>
      </c>
      <c r="S12" s="67" t="s">
        <v>5641</v>
      </c>
      <c r="T12" s="66" t="s">
        <v>5850</v>
      </c>
    </row>
  </sheetData>
  <mergeCells count="2">
    <mergeCell ref="A1:T1"/>
    <mergeCell ref="A2:T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19"/>
    <col collapsed="false" customWidth="true" hidden="false" outlineLevel="0" max="2" min="2" style="30" width="34"/>
    <col collapsed="false" customWidth="true" hidden="false" outlineLevel="0" max="3" min="3" style="30" width="29"/>
    <col collapsed="false" customWidth="true" hidden="false" outlineLevel="0" max="4" min="4" style="30" width="28"/>
    <col collapsed="false" customWidth="true" hidden="false" outlineLevel="0" max="5" min="5" style="30" width="38"/>
    <col collapsed="false" customWidth="true" hidden="false" outlineLevel="0" max="6" min="6" style="30" width="35"/>
    <col collapsed="false" customWidth="true" hidden="false" outlineLevel="0" max="7" min="7" style="30" width="24"/>
  </cols>
  <sheetData>
    <row r="1" customFormat="false" ht="24" hidden="false" customHeight="true" outlineLevel="0" collapsed="false">
      <c r="A1" s="72" t="s">
        <v>5851</v>
      </c>
      <c r="B1" s="72"/>
      <c r="C1" s="72"/>
      <c r="D1" s="72"/>
      <c r="E1" s="72"/>
      <c r="F1" s="72"/>
      <c r="G1" s="72"/>
    </row>
    <row r="3" customFormat="false" ht="15" hidden="false" customHeight="true" outlineLevel="0" collapsed="false">
      <c r="A3" s="65" t="s">
        <v>3789</v>
      </c>
      <c r="B3" s="65" t="s">
        <v>5693</v>
      </c>
      <c r="C3" s="65" t="s">
        <v>5694</v>
      </c>
      <c r="D3" s="65" t="s">
        <v>5007</v>
      </c>
      <c r="E3" s="65" t="s">
        <v>5009</v>
      </c>
      <c r="F3" s="65" t="s">
        <v>5695</v>
      </c>
      <c r="G3" s="65" t="s">
        <v>4</v>
      </c>
    </row>
    <row r="4" customFormat="false" ht="42" hidden="false" customHeight="true" outlineLevel="0" collapsed="false">
      <c r="A4" s="52" t="s">
        <v>5852</v>
      </c>
      <c r="B4" s="52" t="s">
        <v>5853</v>
      </c>
      <c r="C4" s="52" t="s">
        <v>5854</v>
      </c>
      <c r="D4" s="52" t="s">
        <v>5855</v>
      </c>
      <c r="E4" s="52" t="s">
        <v>5856</v>
      </c>
      <c r="F4" s="52" t="s">
        <v>5857</v>
      </c>
      <c r="G4" s="52" t="s">
        <v>4426</v>
      </c>
    </row>
    <row r="5" customFormat="false" ht="42" hidden="false" customHeight="true" outlineLevel="0" collapsed="false">
      <c r="A5" s="55" t="s">
        <v>1230</v>
      </c>
      <c r="B5" s="55" t="s">
        <v>5858</v>
      </c>
      <c r="C5" s="55" t="s">
        <v>5859</v>
      </c>
      <c r="D5" s="55" t="s">
        <v>5860</v>
      </c>
      <c r="E5" s="55" t="s">
        <v>5861</v>
      </c>
      <c r="F5" s="55" t="s">
        <v>5862</v>
      </c>
      <c r="G5" s="55" t="s">
        <v>5863</v>
      </c>
    </row>
    <row r="6" customFormat="false" ht="42" hidden="false" customHeight="true" outlineLevel="0" collapsed="false">
      <c r="A6" s="57" t="s">
        <v>94</v>
      </c>
      <c r="B6" s="57" t="s">
        <v>5864</v>
      </c>
      <c r="C6" s="57" t="s">
        <v>5865</v>
      </c>
      <c r="D6" s="57" t="s">
        <v>5866</v>
      </c>
      <c r="E6" s="57" t="s">
        <v>5867</v>
      </c>
      <c r="F6" s="57" t="s">
        <v>5868</v>
      </c>
      <c r="G6" s="57" t="s">
        <v>5089</v>
      </c>
    </row>
    <row r="7" customFormat="false" ht="42" hidden="false" customHeight="true" outlineLevel="0" collapsed="false">
      <c r="A7" s="52" t="s">
        <v>94</v>
      </c>
      <c r="B7" s="52" t="s">
        <v>5869</v>
      </c>
      <c r="C7" s="52" t="s">
        <v>5870</v>
      </c>
      <c r="D7" s="52" t="s">
        <v>5871</v>
      </c>
      <c r="E7" s="52" t="s">
        <v>5867</v>
      </c>
      <c r="F7" s="52" t="s">
        <v>5872</v>
      </c>
      <c r="G7" s="52" t="s">
        <v>5089</v>
      </c>
    </row>
    <row r="8" customFormat="false" ht="42" hidden="false" customHeight="true" outlineLevel="0" collapsed="false">
      <c r="A8" s="55" t="s">
        <v>94</v>
      </c>
      <c r="B8" s="55" t="s">
        <v>5873</v>
      </c>
      <c r="C8" s="55" t="s">
        <v>5874</v>
      </c>
      <c r="D8" s="55" t="s">
        <v>5871</v>
      </c>
      <c r="E8" s="55" t="s">
        <v>5867</v>
      </c>
      <c r="F8" s="55" t="s">
        <v>5875</v>
      </c>
      <c r="G8" s="55" t="s">
        <v>5089</v>
      </c>
    </row>
    <row r="9" customFormat="false" ht="42" hidden="false" customHeight="true" outlineLevel="0" collapsed="false">
      <c r="A9" s="57" t="s">
        <v>1265</v>
      </c>
      <c r="B9" s="57" t="s">
        <v>5876</v>
      </c>
      <c r="C9" s="57" t="s">
        <v>5877</v>
      </c>
      <c r="D9" s="57" t="s">
        <v>5878</v>
      </c>
      <c r="E9" s="57" t="s">
        <v>5879</v>
      </c>
      <c r="F9" s="57" t="s">
        <v>5880</v>
      </c>
      <c r="G9" s="57" t="s">
        <v>5089</v>
      </c>
    </row>
    <row r="10" customFormat="false" ht="42" hidden="false" customHeight="true" outlineLevel="0" collapsed="false">
      <c r="A10" s="52" t="s">
        <v>5881</v>
      </c>
      <c r="B10" s="52" t="s">
        <v>5882</v>
      </c>
      <c r="C10" s="52" t="s">
        <v>5883</v>
      </c>
      <c r="D10" s="52" t="s">
        <v>5884</v>
      </c>
      <c r="E10" s="52" t="s">
        <v>5867</v>
      </c>
      <c r="F10" s="52" t="s">
        <v>5885</v>
      </c>
      <c r="G10" s="52" t="s">
        <v>5028</v>
      </c>
    </row>
    <row r="11" customFormat="false" ht="42" hidden="false" customHeight="true" outlineLevel="0" collapsed="false">
      <c r="A11" s="55" t="s">
        <v>4718</v>
      </c>
      <c r="B11" s="55" t="s">
        <v>5886</v>
      </c>
      <c r="C11" s="55" t="s">
        <v>5887</v>
      </c>
      <c r="D11" s="55" t="s">
        <v>5888</v>
      </c>
      <c r="E11" s="55" t="s">
        <v>5889</v>
      </c>
      <c r="F11" s="55" t="s">
        <v>5890</v>
      </c>
      <c r="G11" s="55" t="s">
        <v>5028</v>
      </c>
    </row>
    <row r="12" customFormat="false" ht="42" hidden="false" customHeight="true" outlineLevel="0" collapsed="false">
      <c r="A12" s="57" t="s">
        <v>5891</v>
      </c>
      <c r="B12" s="57" t="s">
        <v>5892</v>
      </c>
      <c r="C12" s="57" t="s">
        <v>5893</v>
      </c>
      <c r="D12" s="57" t="s">
        <v>5894</v>
      </c>
      <c r="E12" s="57" t="s">
        <v>5895</v>
      </c>
      <c r="F12" s="57" t="s">
        <v>5896</v>
      </c>
      <c r="G12" s="57" t="s">
        <v>4949</v>
      </c>
    </row>
    <row r="13" customFormat="false" ht="42" hidden="false" customHeight="true" outlineLevel="0" collapsed="false">
      <c r="A13" s="52" t="s">
        <v>5010</v>
      </c>
      <c r="B13" s="52" t="s">
        <v>5897</v>
      </c>
      <c r="C13" s="52" t="s">
        <v>5898</v>
      </c>
      <c r="D13" s="52" t="s">
        <v>5899</v>
      </c>
      <c r="E13" s="52" t="s">
        <v>5879</v>
      </c>
      <c r="F13" s="52" t="s">
        <v>5900</v>
      </c>
      <c r="G13" s="52" t="s">
        <v>4949</v>
      </c>
    </row>
    <row r="14" customFormat="false" ht="42" hidden="false" customHeight="true" outlineLevel="0" collapsed="false">
      <c r="A14" s="55" t="s">
        <v>5631</v>
      </c>
      <c r="B14" s="55" t="s">
        <v>5901</v>
      </c>
      <c r="C14" s="55" t="s">
        <v>5902</v>
      </c>
      <c r="D14" s="55" t="s">
        <v>5903</v>
      </c>
      <c r="E14" s="55" t="s">
        <v>5904</v>
      </c>
      <c r="F14" s="55" t="s">
        <v>5905</v>
      </c>
      <c r="G14" s="55" t="s">
        <v>5906</v>
      </c>
    </row>
    <row r="15" customFormat="false" ht="42" hidden="false" customHeight="true" outlineLevel="0" collapsed="false">
      <c r="A15" s="57" t="s">
        <v>5562</v>
      </c>
      <c r="B15" s="57" t="s">
        <v>5029</v>
      </c>
      <c r="C15" s="57" t="s">
        <v>5755</v>
      </c>
      <c r="D15" s="57" t="s">
        <v>5907</v>
      </c>
      <c r="E15" s="57" t="s">
        <v>5208</v>
      </c>
      <c r="F15" s="57" t="s">
        <v>5908</v>
      </c>
      <c r="G15" s="57" t="s">
        <v>4426</v>
      </c>
    </row>
    <row r="18" customFormat="false" ht="15.75" hidden="false" customHeight="true" outlineLevel="0" collapsed="false">
      <c r="A18" s="73" t="s">
        <v>5758</v>
      </c>
      <c r="B18" s="73"/>
      <c r="C18" s="73"/>
      <c r="D18" s="73"/>
      <c r="E18" s="73"/>
      <c r="F18" s="73"/>
      <c r="G18" s="73"/>
    </row>
    <row r="19" customFormat="false" ht="15" hidden="false" customHeight="true" outlineLevel="0" collapsed="false">
      <c r="A19" s="65" t="s">
        <v>4186</v>
      </c>
      <c r="B19" s="65" t="s">
        <v>5215</v>
      </c>
      <c r="C19" s="65" t="s">
        <v>5759</v>
      </c>
      <c r="D19" s="65" t="s">
        <v>5760</v>
      </c>
      <c r="E19" s="65" t="s">
        <v>5218</v>
      </c>
      <c r="F19" s="65" t="s">
        <v>5761</v>
      </c>
      <c r="G19" s="65" t="s">
        <v>5762</v>
      </c>
    </row>
    <row r="20" customFormat="false" ht="33.75" hidden="false" customHeight="true" outlineLevel="0" collapsed="false">
      <c r="A20" s="66" t="s">
        <v>5763</v>
      </c>
      <c r="B20" s="67" t="n">
        <v>9</v>
      </c>
      <c r="C20" s="67" t="n">
        <v>9</v>
      </c>
      <c r="D20" s="67" t="n">
        <v>4</v>
      </c>
      <c r="E20" s="67" t="n">
        <v>2</v>
      </c>
      <c r="F20" s="67" t="n">
        <f aca="false">B20*C20*D20*E20</f>
        <v>648</v>
      </c>
      <c r="G20" s="66" t="s">
        <v>5909</v>
      </c>
    </row>
    <row r="21" customFormat="false" ht="33.75" hidden="false" customHeight="true" outlineLevel="0" collapsed="false">
      <c r="A21" s="68" t="s">
        <v>5814</v>
      </c>
      <c r="B21" s="69" t="n">
        <v>9</v>
      </c>
      <c r="C21" s="69" t="n">
        <v>9</v>
      </c>
      <c r="D21" s="69" t="n">
        <v>1</v>
      </c>
      <c r="E21" s="69" t="n">
        <v>2</v>
      </c>
      <c r="F21" s="69" t="n">
        <f aca="false">B21*C21*D21*E21</f>
        <v>162</v>
      </c>
      <c r="G21" s="68" t="s">
        <v>5910</v>
      </c>
    </row>
    <row r="22" customFormat="false" ht="33.75" hidden="false" customHeight="true" outlineLevel="0" collapsed="false">
      <c r="A22" s="68" t="s">
        <v>5911</v>
      </c>
      <c r="B22" s="69" t="n">
        <v>9</v>
      </c>
      <c r="C22" s="69" t="n">
        <v>9</v>
      </c>
      <c r="D22" s="69" t="n">
        <v>1</v>
      </c>
      <c r="E22" s="69" t="n">
        <v>1</v>
      </c>
      <c r="F22" s="69" t="n">
        <f aca="false">B22*C22*D22*E22</f>
        <v>81</v>
      </c>
      <c r="G22" s="68" t="s">
        <v>5912</v>
      </c>
    </row>
    <row r="23" customFormat="false" ht="33.75" hidden="false" customHeight="true" outlineLevel="0" collapsed="false">
      <c r="A23" s="68" t="s">
        <v>5913</v>
      </c>
      <c r="B23" s="69" t="n">
        <v>9</v>
      </c>
      <c r="C23" s="69" t="n">
        <v>9</v>
      </c>
      <c r="D23" s="69" t="n">
        <v>1</v>
      </c>
      <c r="E23" s="69" t="n">
        <v>1</v>
      </c>
      <c r="F23" s="69" t="n">
        <f aca="false">B23*C23*D23*E23</f>
        <v>81</v>
      </c>
      <c r="G23" s="68" t="s">
        <v>5914</v>
      </c>
    </row>
    <row r="24" customFormat="false" ht="33.75" hidden="false" customHeight="true" outlineLevel="0" collapsed="false">
      <c r="A24" s="68" t="s">
        <v>5915</v>
      </c>
      <c r="B24" s="69" t="n">
        <v>6</v>
      </c>
      <c r="C24" s="69" t="n">
        <v>9</v>
      </c>
      <c r="D24" s="69" t="n">
        <v>4</v>
      </c>
      <c r="E24" s="69" t="n">
        <v>1</v>
      </c>
      <c r="F24" s="69" t="n">
        <f aca="false">B24*C24*D24*E24</f>
        <v>216</v>
      </c>
      <c r="G24" s="68" t="s">
        <v>5916</v>
      </c>
    </row>
    <row r="25" customFormat="false" ht="33.75" hidden="false" customHeight="true" outlineLevel="0" collapsed="false">
      <c r="A25" s="66" t="s">
        <v>5917</v>
      </c>
      <c r="B25" s="67"/>
      <c r="C25" s="67"/>
      <c r="D25" s="67"/>
      <c r="E25" s="67"/>
      <c r="F25" s="67" t="n">
        <f aca="false">SUM(F20:F24)</f>
        <v>1188</v>
      </c>
      <c r="G25" s="66" t="s">
        <v>5918</v>
      </c>
    </row>
    <row r="26" customFormat="false" ht="33.75" hidden="false" customHeight="true" outlineLevel="0" collapsed="false">
      <c r="A26" s="68" t="s">
        <v>5769</v>
      </c>
      <c r="B26" s="69"/>
      <c r="C26" s="69"/>
      <c r="D26" s="69"/>
      <c r="E26" s="69"/>
      <c r="F26" s="69" t="n">
        <v>3114</v>
      </c>
      <c r="G26" s="68" t="s">
        <v>5919</v>
      </c>
    </row>
    <row r="27" customFormat="false" ht="33.75" hidden="false" customHeight="true" outlineLevel="0" collapsed="false">
      <c r="A27" s="66" t="s">
        <v>5771</v>
      </c>
      <c r="B27" s="67"/>
      <c r="C27" s="67"/>
      <c r="D27" s="67"/>
      <c r="E27" s="67"/>
      <c r="F27" s="67" t="n">
        <f aca="false">F25+F26</f>
        <v>4302</v>
      </c>
      <c r="G27" s="66" t="s">
        <v>5920</v>
      </c>
    </row>
    <row r="30" customFormat="false" ht="15.75" hidden="false" customHeight="true" outlineLevel="0" collapsed="false">
      <c r="A30" s="73" t="s">
        <v>5921</v>
      </c>
      <c r="B30" s="73"/>
      <c r="C30" s="73"/>
      <c r="D30" s="73"/>
      <c r="E30" s="73"/>
      <c r="F30" s="73"/>
      <c r="G30" s="73"/>
    </row>
    <row r="31" customFormat="false" ht="15" hidden="false" customHeight="true" outlineLevel="0" collapsed="false">
      <c r="A31" s="65" t="s">
        <v>5922</v>
      </c>
      <c r="B31" s="65" t="s">
        <v>5923</v>
      </c>
      <c r="C31" s="65" t="s">
        <v>5924</v>
      </c>
      <c r="D31" s="65" t="s">
        <v>5925</v>
      </c>
      <c r="E31" s="65" t="s">
        <v>5926</v>
      </c>
      <c r="F31" s="65" t="s">
        <v>5927</v>
      </c>
      <c r="G31" s="65" t="s">
        <v>4987</v>
      </c>
    </row>
    <row r="32" customFormat="false" ht="43.5" hidden="false" customHeight="true" outlineLevel="0" collapsed="false">
      <c r="A32" s="52" t="s">
        <v>5928</v>
      </c>
      <c r="B32" s="52" t="s">
        <v>5929</v>
      </c>
      <c r="C32" s="52" t="s">
        <v>5930</v>
      </c>
      <c r="D32" s="52" t="s">
        <v>5931</v>
      </c>
      <c r="E32" s="52" t="s">
        <v>5932</v>
      </c>
      <c r="F32" s="52" t="s">
        <v>5933</v>
      </c>
      <c r="G32" s="52" t="s">
        <v>5867</v>
      </c>
    </row>
    <row r="33" customFormat="false" ht="43.5" hidden="false" customHeight="true" outlineLevel="0" collapsed="false">
      <c r="A33" s="55" t="s">
        <v>5814</v>
      </c>
      <c r="B33" s="55" t="s">
        <v>5934</v>
      </c>
      <c r="C33" s="55" t="s">
        <v>5935</v>
      </c>
      <c r="D33" s="55" t="s">
        <v>5936</v>
      </c>
      <c r="E33" s="55" t="s">
        <v>5937</v>
      </c>
      <c r="F33" s="55" t="s">
        <v>5938</v>
      </c>
      <c r="G33" s="55" t="s">
        <v>5889</v>
      </c>
    </row>
    <row r="34" customFormat="false" ht="43.5" hidden="false" customHeight="true" outlineLevel="0" collapsed="false">
      <c r="A34" s="52" t="s">
        <v>5911</v>
      </c>
      <c r="B34" s="52" t="s">
        <v>5939</v>
      </c>
      <c r="C34" s="52" t="s">
        <v>5940</v>
      </c>
      <c r="D34" s="52" t="s">
        <v>5936</v>
      </c>
      <c r="E34" s="52" t="s">
        <v>5941</v>
      </c>
      <c r="F34" s="52" t="s">
        <v>5942</v>
      </c>
      <c r="G34" s="52" t="s">
        <v>5889</v>
      </c>
    </row>
    <row r="35" customFormat="false" ht="43.5" hidden="false" customHeight="true" outlineLevel="0" collapsed="false">
      <c r="A35" s="55" t="s">
        <v>5913</v>
      </c>
      <c r="B35" s="55" t="s">
        <v>5943</v>
      </c>
      <c r="C35" s="55" t="s">
        <v>5944</v>
      </c>
      <c r="D35" s="55" t="s">
        <v>5783</v>
      </c>
      <c r="E35" s="55" t="s">
        <v>5945</v>
      </c>
      <c r="F35" s="55" t="s">
        <v>5946</v>
      </c>
      <c r="G35" s="55" t="s">
        <v>5889</v>
      </c>
    </row>
    <row r="36" customFormat="false" ht="43.5" hidden="false" customHeight="true" outlineLevel="0" collapsed="false">
      <c r="A36" s="52" t="s">
        <v>5947</v>
      </c>
      <c r="B36" s="52" t="s">
        <v>5948</v>
      </c>
      <c r="C36" s="52" t="s">
        <v>5949</v>
      </c>
      <c r="D36" s="52" t="s">
        <v>5783</v>
      </c>
      <c r="E36" s="52" t="s">
        <v>5950</v>
      </c>
      <c r="F36" s="52" t="s">
        <v>5951</v>
      </c>
      <c r="G36" s="52" t="s">
        <v>5879</v>
      </c>
    </row>
    <row r="37" customFormat="false" ht="43.5" hidden="false" customHeight="true" outlineLevel="0" collapsed="false">
      <c r="A37" s="55" t="s">
        <v>5952</v>
      </c>
      <c r="B37" s="55" t="s">
        <v>5953</v>
      </c>
      <c r="C37" s="55" t="s">
        <v>5949</v>
      </c>
      <c r="D37" s="55" t="s">
        <v>5783</v>
      </c>
      <c r="E37" s="55" t="s">
        <v>5954</v>
      </c>
      <c r="F37" s="55" t="s">
        <v>5955</v>
      </c>
      <c r="G37" s="55" t="s">
        <v>5895</v>
      </c>
    </row>
    <row r="40" customFormat="false" ht="15.75" hidden="false" customHeight="true" outlineLevel="0" collapsed="false">
      <c r="A40" s="73" t="s">
        <v>5956</v>
      </c>
      <c r="B40" s="73"/>
      <c r="C40" s="73"/>
      <c r="D40" s="73"/>
      <c r="E40" s="73"/>
      <c r="F40" s="73"/>
      <c r="G40" s="73"/>
    </row>
    <row r="41" customFormat="false" ht="33.75" hidden="false" customHeight="true" outlineLevel="0" collapsed="false">
      <c r="A41" s="54" t="s">
        <v>5957</v>
      </c>
      <c r="B41" s="54" t="s">
        <v>5958</v>
      </c>
      <c r="C41" s="54"/>
      <c r="D41" s="54"/>
      <c r="E41" s="54"/>
      <c r="F41" s="54"/>
      <c r="G41" s="54" t="s">
        <v>5959</v>
      </c>
    </row>
    <row r="42" customFormat="false" ht="33.75" hidden="false" customHeight="true" outlineLevel="0" collapsed="false">
      <c r="A42" s="54" t="s">
        <v>5960</v>
      </c>
      <c r="B42" s="54" t="s">
        <v>5961</v>
      </c>
      <c r="C42" s="54"/>
      <c r="D42" s="54"/>
      <c r="E42" s="54"/>
      <c r="F42" s="54"/>
      <c r="G42" s="54" t="s">
        <v>5959</v>
      </c>
    </row>
    <row r="43" customFormat="false" ht="33.75" hidden="false" customHeight="true" outlineLevel="0" collapsed="false">
      <c r="A43" s="54" t="s">
        <v>5962</v>
      </c>
      <c r="B43" s="54" t="s">
        <v>5963</v>
      </c>
      <c r="C43" s="54"/>
      <c r="D43" s="54"/>
      <c r="E43" s="54"/>
      <c r="F43" s="54"/>
      <c r="G43" s="54" t="s">
        <v>5959</v>
      </c>
    </row>
    <row r="44" customFormat="false" ht="33.75" hidden="false" customHeight="true" outlineLevel="0" collapsed="false">
      <c r="A44" s="54" t="s">
        <v>5964</v>
      </c>
      <c r="B44" s="54" t="s">
        <v>5965</v>
      </c>
      <c r="C44" s="54"/>
      <c r="D44" s="54"/>
      <c r="E44" s="54"/>
      <c r="F44" s="54"/>
      <c r="G44" s="54" t="s">
        <v>5959</v>
      </c>
    </row>
    <row r="45" customFormat="false" ht="33.75" hidden="false" customHeight="true" outlineLevel="0" collapsed="false">
      <c r="A45" s="54" t="s">
        <v>5966</v>
      </c>
      <c r="B45" s="54" t="s">
        <v>5967</v>
      </c>
      <c r="C45" s="54"/>
      <c r="D45" s="54"/>
      <c r="E45" s="54"/>
      <c r="F45" s="54"/>
      <c r="G45" s="54" t="s">
        <v>5959</v>
      </c>
    </row>
    <row r="46" customFormat="false" ht="33.75" hidden="false" customHeight="true" outlineLevel="0" collapsed="false">
      <c r="A46" s="54" t="s">
        <v>5968</v>
      </c>
      <c r="B46" s="54" t="s">
        <v>5969</v>
      </c>
      <c r="C46" s="54"/>
      <c r="D46" s="54"/>
      <c r="E46" s="54"/>
      <c r="F46" s="54"/>
      <c r="G46" s="54" t="s">
        <v>5959</v>
      </c>
    </row>
    <row r="47" customFormat="false" ht="33.75" hidden="false" customHeight="true" outlineLevel="0" collapsed="false">
      <c r="A47" s="54" t="s">
        <v>5970</v>
      </c>
      <c r="B47" s="54" t="s">
        <v>5971</v>
      </c>
      <c r="C47" s="54"/>
      <c r="D47" s="54"/>
      <c r="E47" s="54"/>
      <c r="F47" s="54"/>
      <c r="G47" s="54" t="s">
        <v>5959</v>
      </c>
    </row>
    <row r="48" customFormat="false" ht="33.75" hidden="false" customHeight="true" outlineLevel="0" collapsed="false">
      <c r="A48" s="54" t="s">
        <v>5972</v>
      </c>
      <c r="B48" s="54" t="s">
        <v>5973</v>
      </c>
      <c r="C48" s="54"/>
      <c r="D48" s="54"/>
      <c r="E48" s="54"/>
      <c r="F48" s="54"/>
      <c r="G48" s="54" t="s">
        <v>5959</v>
      </c>
    </row>
    <row r="49" customFormat="false" ht="33.75" hidden="false" customHeight="true" outlineLevel="0" collapsed="false">
      <c r="A49" s="54" t="s">
        <v>5974</v>
      </c>
      <c r="B49" s="54" t="s">
        <v>5975</v>
      </c>
      <c r="C49" s="54"/>
      <c r="D49" s="54"/>
      <c r="E49" s="54"/>
      <c r="F49" s="54"/>
      <c r="G49" s="54" t="s">
        <v>5959</v>
      </c>
    </row>
    <row r="50" customFormat="false" ht="33.75" hidden="false" customHeight="true" outlineLevel="0" collapsed="false">
      <c r="A50" s="54" t="s">
        <v>5976</v>
      </c>
      <c r="B50" s="54" t="s">
        <v>5977</v>
      </c>
      <c r="C50" s="54"/>
      <c r="D50" s="54"/>
      <c r="E50" s="54"/>
      <c r="F50" s="54"/>
      <c r="G50" s="54" t="s">
        <v>5959</v>
      </c>
    </row>
    <row r="51" customFormat="false" ht="33.75" hidden="false" customHeight="true" outlineLevel="0" collapsed="false">
      <c r="A51" s="54" t="s">
        <v>5978</v>
      </c>
      <c r="B51" s="54" t="s">
        <v>5979</v>
      </c>
      <c r="C51" s="54"/>
      <c r="D51" s="54"/>
      <c r="E51" s="54"/>
      <c r="F51" s="54"/>
      <c r="G51" s="54" t="s">
        <v>5959</v>
      </c>
    </row>
  </sheetData>
  <mergeCells count="15">
    <mergeCell ref="A1:G1"/>
    <mergeCell ref="A18:G18"/>
    <mergeCell ref="A30:G30"/>
    <mergeCell ref="A40:G40"/>
    <mergeCell ref="B41:F41"/>
    <mergeCell ref="B42:F42"/>
    <mergeCell ref="B43:F43"/>
    <mergeCell ref="B44:F44"/>
    <mergeCell ref="B45:F45"/>
    <mergeCell ref="B46:F46"/>
    <mergeCell ref="B47:F47"/>
    <mergeCell ref="B48:F48"/>
    <mergeCell ref="B49:F49"/>
    <mergeCell ref="B50:F50"/>
    <mergeCell ref="B51:F5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43"/>
    <col collapsed="false" customWidth="true" hidden="false" outlineLevel="0" max="2" min="2" style="30" width="34"/>
    <col collapsed="false" customWidth="true" hidden="false" outlineLevel="0" max="3" min="3" style="30" width="27"/>
    <col collapsed="false" customWidth="true" hidden="false" outlineLevel="0" max="4" min="4" style="30" width="13"/>
    <col collapsed="false" customWidth="true" hidden="false" outlineLevel="0" max="6" min="5" style="30" width="10"/>
    <col collapsed="false" customWidth="true" hidden="false" outlineLevel="0" max="7" min="7" style="30" width="11"/>
    <col collapsed="false" customWidth="true" hidden="false" outlineLevel="0" max="8" min="8" style="30" width="12"/>
    <col collapsed="false" customWidth="true" hidden="false" outlineLevel="0" max="10" min="9" style="30" width="10"/>
    <col collapsed="false" customWidth="true" hidden="false" outlineLevel="0" max="11" min="11" style="30" width="11"/>
    <col collapsed="false" customWidth="true" hidden="false" outlineLevel="0" max="12" min="12" style="30" width="12"/>
    <col collapsed="false" customWidth="true" hidden="false" outlineLevel="0" max="15" min="13" style="30" width="22"/>
    <col collapsed="false" customWidth="true" hidden="false" outlineLevel="0" max="16" min="16" style="30" width="15"/>
    <col collapsed="false" customWidth="true" hidden="false" outlineLevel="0" max="19" min="17" style="30" width="13"/>
    <col collapsed="false" customWidth="true" hidden="false" outlineLevel="0" max="20" min="20" style="30" width="28"/>
  </cols>
  <sheetData>
    <row r="1" customFormat="false" ht="17.25" hidden="false" customHeight="true" outlineLevel="0" collapsed="false">
      <c r="A1" s="63" t="s">
        <v>5980</v>
      </c>
      <c r="B1" s="63"/>
      <c r="C1" s="63"/>
      <c r="D1" s="63"/>
      <c r="E1" s="63"/>
      <c r="F1" s="63"/>
      <c r="G1" s="63"/>
      <c r="H1" s="63"/>
      <c r="I1" s="63"/>
      <c r="J1" s="63"/>
      <c r="K1" s="63"/>
      <c r="L1" s="63"/>
      <c r="M1" s="63"/>
      <c r="N1" s="63"/>
      <c r="O1" s="63"/>
      <c r="P1" s="63"/>
      <c r="Q1" s="63"/>
      <c r="R1" s="63"/>
      <c r="S1" s="63"/>
      <c r="T1" s="63"/>
    </row>
    <row r="2" customFormat="false" ht="15" hidden="false" customHeight="true" outlineLevel="0" collapsed="false">
      <c r="A2" s="64" t="s">
        <v>5981</v>
      </c>
      <c r="B2" s="64"/>
      <c r="C2" s="64"/>
      <c r="D2" s="64"/>
      <c r="E2" s="64"/>
      <c r="F2" s="64"/>
      <c r="G2" s="64"/>
      <c r="H2" s="64"/>
      <c r="I2" s="64"/>
      <c r="J2" s="64"/>
      <c r="K2" s="64"/>
      <c r="L2" s="64"/>
      <c r="M2" s="64"/>
      <c r="N2" s="64"/>
      <c r="O2" s="64"/>
      <c r="P2" s="64"/>
      <c r="Q2" s="64"/>
      <c r="R2" s="64"/>
      <c r="S2" s="64"/>
      <c r="T2" s="64"/>
    </row>
    <row r="3" customFormat="false" ht="27.75" hidden="false" customHeight="true" outlineLevel="0" collapsed="false">
      <c r="A3" s="65" t="s">
        <v>5617</v>
      </c>
      <c r="B3" s="65" t="s">
        <v>5618</v>
      </c>
      <c r="C3" s="65" t="s">
        <v>3794</v>
      </c>
      <c r="D3" s="65" t="s">
        <v>5775</v>
      </c>
      <c r="E3" s="65" t="s">
        <v>108</v>
      </c>
      <c r="F3" s="65" t="s">
        <v>1263</v>
      </c>
      <c r="G3" s="65" t="s">
        <v>5112</v>
      </c>
      <c r="H3" s="65" t="s">
        <v>5622</v>
      </c>
      <c r="I3" s="65" t="s">
        <v>5623</v>
      </c>
      <c r="J3" s="65" t="s">
        <v>514</v>
      </c>
      <c r="K3" s="65" t="s">
        <v>5114</v>
      </c>
      <c r="L3" s="65" t="s">
        <v>5115</v>
      </c>
      <c r="M3" s="65" t="s">
        <v>5982</v>
      </c>
      <c r="N3" s="65" t="s">
        <v>5983</v>
      </c>
      <c r="O3" s="65" t="s">
        <v>5984</v>
      </c>
      <c r="P3" s="65" t="s">
        <v>5985</v>
      </c>
      <c r="Q3" s="65" t="s">
        <v>5986</v>
      </c>
      <c r="R3" s="65" t="s">
        <v>5987</v>
      </c>
      <c r="S3" s="65" t="s">
        <v>5988</v>
      </c>
      <c r="T3" s="65" t="s">
        <v>4</v>
      </c>
    </row>
    <row r="4" customFormat="false" ht="43.5" hidden="false" customHeight="true" outlineLevel="0" collapsed="false">
      <c r="A4" s="66" t="s">
        <v>5843</v>
      </c>
      <c r="B4" s="66" t="s">
        <v>5844</v>
      </c>
      <c r="C4" s="66" t="s">
        <v>5989</v>
      </c>
      <c r="D4" s="67" t="s">
        <v>5837</v>
      </c>
      <c r="E4" s="67" t="n">
        <v>2</v>
      </c>
      <c r="F4" s="67" t="n">
        <v>6</v>
      </c>
      <c r="G4" s="67" t="n">
        <v>3</v>
      </c>
      <c r="H4" s="67" t="n">
        <f aca="false">F4-G4</f>
        <v>3</v>
      </c>
      <c r="I4" s="67" t="n">
        <v>12</v>
      </c>
      <c r="J4" s="67" t="n">
        <v>46</v>
      </c>
      <c r="K4" s="67" t="n">
        <v>2</v>
      </c>
      <c r="L4" s="67" t="n">
        <v>3</v>
      </c>
      <c r="M4" s="67" t="s">
        <v>5990</v>
      </c>
      <c r="N4" s="67" t="s">
        <v>5991</v>
      </c>
      <c r="O4" s="67" t="s">
        <v>5992</v>
      </c>
      <c r="P4" s="67" t="n">
        <v>60</v>
      </c>
      <c r="Q4" s="67" t="n">
        <v>1</v>
      </c>
      <c r="R4" s="67" t="n">
        <v>2</v>
      </c>
      <c r="S4" s="67" t="n">
        <v>0</v>
      </c>
      <c r="T4" s="66" t="s">
        <v>5993</v>
      </c>
    </row>
    <row r="5" customFormat="false" ht="43.5" hidden="false" customHeight="true" outlineLevel="0" collapsed="false">
      <c r="A5" s="66" t="s">
        <v>5848</v>
      </c>
      <c r="B5" s="66" t="s">
        <v>5849</v>
      </c>
      <c r="C5" s="66" t="s">
        <v>5989</v>
      </c>
      <c r="D5" s="67" t="s">
        <v>5841</v>
      </c>
      <c r="E5" s="67" t="n">
        <v>2</v>
      </c>
      <c r="F5" s="67" t="n">
        <v>6</v>
      </c>
      <c r="G5" s="67" t="n">
        <v>3</v>
      </c>
      <c r="H5" s="67" t="n">
        <f aca="false">F5-G5</f>
        <v>3</v>
      </c>
      <c r="I5" s="67" t="n">
        <v>12</v>
      </c>
      <c r="J5" s="67" t="n">
        <v>46</v>
      </c>
      <c r="K5" s="67" t="n">
        <v>2</v>
      </c>
      <c r="L5" s="67" t="n">
        <v>3</v>
      </c>
      <c r="M5" s="67" t="s">
        <v>5990</v>
      </c>
      <c r="N5" s="67" t="s">
        <v>5991</v>
      </c>
      <c r="O5" s="67" t="s">
        <v>5992</v>
      </c>
      <c r="P5" s="67" t="n">
        <v>60</v>
      </c>
      <c r="Q5" s="67" t="n">
        <v>1</v>
      </c>
      <c r="R5" s="67" t="n">
        <v>2</v>
      </c>
      <c r="S5" s="67" t="n">
        <v>0</v>
      </c>
      <c r="T5" s="66" t="s">
        <v>5993</v>
      </c>
    </row>
  </sheetData>
  <mergeCells count="2">
    <mergeCell ref="A1:T1"/>
    <mergeCell ref="A2:T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0"/>
    <col collapsed="false" customWidth="true" hidden="false" outlineLevel="0" max="2" min="2" style="30" width="34"/>
    <col collapsed="false" customWidth="true" hidden="false" outlineLevel="0" max="4" min="3" style="30" width="31"/>
    <col collapsed="false" customWidth="true" hidden="false" outlineLevel="0" max="5" min="5" style="30" width="34"/>
    <col collapsed="false" customWidth="true" hidden="false" outlineLevel="0" max="6" min="6" style="30" width="31"/>
    <col collapsed="false" customWidth="true" hidden="false" outlineLevel="0" max="7" min="7" style="30" width="24"/>
  </cols>
  <sheetData>
    <row r="1" customFormat="false" ht="17.25" hidden="false" customHeight="true" outlineLevel="0" collapsed="false">
      <c r="A1" s="63" t="s">
        <v>5994</v>
      </c>
      <c r="B1" s="63"/>
      <c r="C1" s="63"/>
      <c r="D1" s="63"/>
      <c r="E1" s="63"/>
      <c r="F1" s="63"/>
      <c r="G1" s="63"/>
    </row>
    <row r="2" customFormat="false" ht="15" hidden="false" customHeight="true" outlineLevel="0" collapsed="false">
      <c r="A2" s="74" t="s">
        <v>5995</v>
      </c>
      <c r="B2" s="74"/>
      <c r="C2" s="74"/>
      <c r="D2" s="74"/>
      <c r="E2" s="74"/>
      <c r="F2" s="74"/>
      <c r="G2" s="74"/>
    </row>
    <row r="3" customFormat="false" ht="15" hidden="false" customHeight="true" outlineLevel="0" collapsed="false">
      <c r="A3" s="65" t="s">
        <v>3789</v>
      </c>
      <c r="B3" s="65" t="s">
        <v>5693</v>
      </c>
      <c r="C3" s="65" t="s">
        <v>5694</v>
      </c>
      <c r="D3" s="65" t="s">
        <v>5007</v>
      </c>
      <c r="E3" s="65" t="s">
        <v>5009</v>
      </c>
      <c r="F3" s="65" t="s">
        <v>5695</v>
      </c>
      <c r="G3" s="65" t="s">
        <v>4</v>
      </c>
    </row>
    <row r="4" customFormat="false" ht="42" hidden="false" customHeight="true" outlineLevel="0" collapsed="false">
      <c r="A4" s="52" t="s">
        <v>5774</v>
      </c>
      <c r="B4" s="52" t="s">
        <v>5996</v>
      </c>
      <c r="C4" s="52" t="s">
        <v>5849</v>
      </c>
      <c r="D4" s="52" t="s">
        <v>5997</v>
      </c>
      <c r="E4" s="52" t="s">
        <v>5998</v>
      </c>
      <c r="F4" s="52" t="s">
        <v>5999</v>
      </c>
      <c r="G4" s="52" t="s">
        <v>5089</v>
      </c>
    </row>
    <row r="5" customFormat="false" ht="42" hidden="false" customHeight="true" outlineLevel="0" collapsed="false">
      <c r="A5" s="55" t="s">
        <v>5774</v>
      </c>
      <c r="B5" s="55" t="s">
        <v>6000</v>
      </c>
      <c r="C5" s="55" t="s">
        <v>5844</v>
      </c>
      <c r="D5" s="55" t="s">
        <v>6001</v>
      </c>
      <c r="E5" s="55" t="s">
        <v>5998</v>
      </c>
      <c r="F5" s="55" t="s">
        <v>6002</v>
      </c>
      <c r="G5" s="55" t="s">
        <v>5089</v>
      </c>
    </row>
    <row r="6" customFormat="false" ht="42" hidden="false" customHeight="true" outlineLevel="0" collapsed="false">
      <c r="A6" s="52" t="s">
        <v>6003</v>
      </c>
      <c r="B6" s="52" t="s">
        <v>6004</v>
      </c>
      <c r="C6" s="52" t="s">
        <v>6005</v>
      </c>
      <c r="D6" s="52" t="s">
        <v>6006</v>
      </c>
      <c r="E6" s="52" t="s">
        <v>6007</v>
      </c>
      <c r="F6" s="52" t="s">
        <v>6008</v>
      </c>
      <c r="G6" s="52" t="s">
        <v>4426</v>
      </c>
    </row>
    <row r="7" customFormat="false" ht="42" hidden="false" customHeight="true" outlineLevel="0" collapsed="false">
      <c r="A7" s="55" t="s">
        <v>6009</v>
      </c>
      <c r="B7" s="55" t="s">
        <v>6010</v>
      </c>
      <c r="C7" s="55" t="s">
        <v>6011</v>
      </c>
      <c r="D7" s="55" t="s">
        <v>6012</v>
      </c>
      <c r="E7" s="55" t="s">
        <v>6013</v>
      </c>
      <c r="F7" s="55" t="s">
        <v>6014</v>
      </c>
      <c r="G7" s="55" t="s">
        <v>6015</v>
      </c>
    </row>
    <row r="8" customFormat="false" ht="42" hidden="false" customHeight="true" outlineLevel="0" collapsed="false">
      <c r="A8" s="52" t="s">
        <v>6016</v>
      </c>
      <c r="B8" s="52" t="s">
        <v>6017</v>
      </c>
      <c r="C8" s="52" t="s">
        <v>6018</v>
      </c>
      <c r="D8" s="52" t="s">
        <v>6019</v>
      </c>
      <c r="E8" s="52" t="s">
        <v>6020</v>
      </c>
      <c r="F8" s="52" t="s">
        <v>6021</v>
      </c>
      <c r="G8" s="52" t="s">
        <v>4426</v>
      </c>
    </row>
    <row r="9" customFormat="false" ht="42" hidden="false" customHeight="true" outlineLevel="0" collapsed="false">
      <c r="A9" s="55" t="s">
        <v>4373</v>
      </c>
      <c r="B9" s="55" t="s">
        <v>6022</v>
      </c>
      <c r="C9" s="55" t="s">
        <v>6023</v>
      </c>
      <c r="D9" s="55" t="s">
        <v>6024</v>
      </c>
      <c r="E9" s="55" t="s">
        <v>6025</v>
      </c>
      <c r="F9" s="55" t="s">
        <v>6026</v>
      </c>
      <c r="G9" s="55" t="s">
        <v>4426</v>
      </c>
    </row>
    <row r="10" customFormat="false" ht="42" hidden="false" customHeight="true" outlineLevel="0" collapsed="false">
      <c r="A10" s="52" t="s">
        <v>5881</v>
      </c>
      <c r="B10" s="52" t="s">
        <v>6027</v>
      </c>
      <c r="C10" s="52" t="s">
        <v>6028</v>
      </c>
      <c r="D10" s="52" t="s">
        <v>6029</v>
      </c>
      <c r="E10" s="52" t="s">
        <v>6030</v>
      </c>
      <c r="F10" s="52" t="s">
        <v>6031</v>
      </c>
      <c r="G10" s="52" t="s">
        <v>4426</v>
      </c>
    </row>
    <row r="11" customFormat="false" ht="42" hidden="false" customHeight="true" outlineLevel="0" collapsed="false">
      <c r="A11" s="55" t="s">
        <v>4937</v>
      </c>
      <c r="B11" s="55" t="s">
        <v>6032</v>
      </c>
      <c r="C11" s="55" t="s">
        <v>6033</v>
      </c>
      <c r="D11" s="55" t="s">
        <v>6034</v>
      </c>
      <c r="E11" s="55" t="s">
        <v>6035</v>
      </c>
      <c r="F11" s="55" t="s">
        <v>6036</v>
      </c>
      <c r="G11" s="55" t="s">
        <v>6037</v>
      </c>
    </row>
    <row r="12" customFormat="false" ht="42" hidden="false" customHeight="true" outlineLevel="0" collapsed="false">
      <c r="A12" s="52" t="s">
        <v>6038</v>
      </c>
      <c r="B12" s="52" t="s">
        <v>6039</v>
      </c>
      <c r="C12" s="52" t="s">
        <v>6040</v>
      </c>
      <c r="D12" s="52" t="s">
        <v>6041</v>
      </c>
      <c r="E12" s="52" t="s">
        <v>6007</v>
      </c>
      <c r="F12" s="52" t="s">
        <v>6042</v>
      </c>
      <c r="G12" s="52" t="s">
        <v>6037</v>
      </c>
    </row>
    <row r="13" customFormat="false" ht="42" hidden="false" customHeight="true" outlineLevel="0" collapsed="false">
      <c r="A13" s="55" t="s">
        <v>6038</v>
      </c>
      <c r="B13" s="55" t="s">
        <v>6043</v>
      </c>
      <c r="C13" s="55" t="s">
        <v>6044</v>
      </c>
      <c r="D13" s="55" t="s">
        <v>6041</v>
      </c>
      <c r="E13" s="55" t="s">
        <v>6007</v>
      </c>
      <c r="F13" s="55" t="s">
        <v>6045</v>
      </c>
      <c r="G13" s="55" t="s">
        <v>6037</v>
      </c>
    </row>
    <row r="14" customFormat="false" ht="42" hidden="false" customHeight="true" outlineLevel="0" collapsed="false">
      <c r="A14" s="52" t="s">
        <v>5631</v>
      </c>
      <c r="B14" s="52" t="s">
        <v>5778</v>
      </c>
      <c r="C14" s="52" t="s">
        <v>4197</v>
      </c>
      <c r="D14" s="52" t="s">
        <v>6046</v>
      </c>
      <c r="E14" s="52" t="s">
        <v>6047</v>
      </c>
      <c r="F14" s="52" t="s">
        <v>6048</v>
      </c>
      <c r="G14" s="52" t="s">
        <v>5906</v>
      </c>
    </row>
    <row r="17" customFormat="false" ht="15.75" hidden="false" customHeight="true" outlineLevel="0" collapsed="false">
      <c r="A17" s="73" t="s">
        <v>5758</v>
      </c>
      <c r="B17" s="73"/>
      <c r="C17" s="73"/>
      <c r="D17" s="73"/>
      <c r="E17" s="73"/>
      <c r="F17" s="73"/>
      <c r="G17" s="73"/>
    </row>
    <row r="18" customFormat="false" ht="15" hidden="false" customHeight="true" outlineLevel="0" collapsed="false">
      <c r="A18" s="65" t="s">
        <v>4186</v>
      </c>
      <c r="B18" s="65" t="s">
        <v>5215</v>
      </c>
      <c r="C18" s="65" t="s">
        <v>6049</v>
      </c>
      <c r="D18" s="65" t="s">
        <v>5218</v>
      </c>
      <c r="E18" s="65" t="s">
        <v>6050</v>
      </c>
      <c r="F18" s="65" t="s">
        <v>5761</v>
      </c>
      <c r="G18" s="65" t="s">
        <v>5762</v>
      </c>
    </row>
    <row r="19" customFormat="false" ht="36" hidden="false" customHeight="true" outlineLevel="0" collapsed="false">
      <c r="A19" s="68" t="s">
        <v>6051</v>
      </c>
      <c r="B19" s="69" t="n">
        <v>2</v>
      </c>
      <c r="C19" s="69" t="n">
        <v>3</v>
      </c>
      <c r="D19" s="69" t="n">
        <v>2</v>
      </c>
      <c r="E19" s="69" t="n">
        <v>6</v>
      </c>
      <c r="F19" s="69" t="n">
        <f aca="false">B19*C19*D19*E19</f>
        <v>72</v>
      </c>
      <c r="G19" s="68" t="s">
        <v>6052</v>
      </c>
    </row>
    <row r="20" customFormat="false" ht="36" hidden="false" customHeight="true" outlineLevel="0" collapsed="false">
      <c r="A20" s="66" t="s">
        <v>6053</v>
      </c>
      <c r="B20" s="67" t="n">
        <v>2</v>
      </c>
      <c r="C20" s="67" t="n">
        <v>3</v>
      </c>
      <c r="D20" s="67" t="n">
        <v>2</v>
      </c>
      <c r="E20" s="67" t="n">
        <v>3</v>
      </c>
      <c r="F20" s="67" t="n">
        <f aca="false">B20*C20*D20*E20</f>
        <v>36</v>
      </c>
      <c r="G20" s="66" t="s">
        <v>6054</v>
      </c>
    </row>
    <row r="21" customFormat="false" ht="36" hidden="false" customHeight="true" outlineLevel="0" collapsed="false">
      <c r="A21" s="68" t="s">
        <v>6055</v>
      </c>
      <c r="B21" s="69"/>
      <c r="C21" s="69"/>
      <c r="D21" s="69"/>
      <c r="E21" s="69"/>
      <c r="F21" s="69" t="n">
        <f aca="false">F19+F20</f>
        <v>108</v>
      </c>
      <c r="G21" s="30" t="s">
        <v>6056</v>
      </c>
    </row>
    <row r="22" customFormat="false" ht="36" hidden="false" customHeight="true" outlineLevel="0" collapsed="false">
      <c r="A22" s="66" t="s">
        <v>6057</v>
      </c>
      <c r="B22" s="67"/>
      <c r="C22" s="67"/>
      <c r="D22" s="67"/>
      <c r="E22" s="67"/>
      <c r="F22" s="67" t="n">
        <f aca="false">4302</f>
        <v>4302</v>
      </c>
      <c r="G22" s="30" t="s">
        <v>6058</v>
      </c>
    </row>
    <row r="23" customFormat="false" ht="36" hidden="false" customHeight="true" outlineLevel="0" collapsed="false">
      <c r="A23" s="68" t="s">
        <v>6059</v>
      </c>
      <c r="B23" s="69"/>
      <c r="C23" s="69"/>
      <c r="D23" s="69"/>
      <c r="E23" s="69"/>
      <c r="F23" s="69" t="n">
        <f aca="false">F21+F22</f>
        <v>4410</v>
      </c>
      <c r="G23" s="30" t="s">
        <v>6060</v>
      </c>
    </row>
    <row r="24" customFormat="false" ht="36" hidden="false" customHeight="true" outlineLevel="0" collapsed="false">
      <c r="A24" s="66" t="s">
        <v>6061</v>
      </c>
      <c r="B24" s="67"/>
      <c r="C24" s="67"/>
      <c r="D24" s="67"/>
      <c r="E24" s="67"/>
      <c r="F24" s="67" t="n">
        <f aca="false">F23*10000</f>
        <v>44100000</v>
      </c>
      <c r="G24" s="30" t="s">
        <v>6062</v>
      </c>
    </row>
    <row r="27" customFormat="false" ht="15.75" hidden="false" customHeight="true" outlineLevel="0" collapsed="false">
      <c r="A27" s="73" t="s">
        <v>6063</v>
      </c>
      <c r="B27" s="73"/>
      <c r="C27" s="73"/>
      <c r="D27" s="73"/>
      <c r="E27" s="73"/>
      <c r="F27" s="73"/>
      <c r="G27" s="73"/>
    </row>
    <row r="28" customFormat="false" ht="42" hidden="false" customHeight="true" outlineLevel="0" collapsed="false">
      <c r="A28" s="52" t="s">
        <v>6064</v>
      </c>
      <c r="B28" s="52" t="s">
        <v>6020</v>
      </c>
      <c r="C28" s="52" t="s">
        <v>6065</v>
      </c>
      <c r="D28" s="52" t="s">
        <v>6066</v>
      </c>
      <c r="E28" s="52" t="s">
        <v>6067</v>
      </c>
      <c r="F28" s="52" t="s">
        <v>6068</v>
      </c>
      <c r="G28" s="52" t="s">
        <v>6069</v>
      </c>
    </row>
    <row r="29" customFormat="false" ht="42" hidden="false" customHeight="true" outlineLevel="0" collapsed="false">
      <c r="A29" s="55" t="s">
        <v>6070</v>
      </c>
      <c r="B29" s="55" t="s">
        <v>6007</v>
      </c>
      <c r="C29" s="55" t="s">
        <v>6071</v>
      </c>
      <c r="D29" s="55" t="s">
        <v>6072</v>
      </c>
      <c r="E29" s="55" t="s">
        <v>6073</v>
      </c>
      <c r="F29" s="55" t="s">
        <v>6074</v>
      </c>
      <c r="G29" s="55" t="s">
        <v>6069</v>
      </c>
    </row>
    <row r="30" customFormat="false" ht="42" hidden="false" customHeight="true" outlineLevel="0" collapsed="false">
      <c r="A30" s="52" t="s">
        <v>6075</v>
      </c>
      <c r="B30" s="52" t="s">
        <v>6035</v>
      </c>
      <c r="C30" s="52" t="s">
        <v>6076</v>
      </c>
      <c r="D30" s="52" t="s">
        <v>6077</v>
      </c>
      <c r="E30" s="52" t="s">
        <v>6078</v>
      </c>
      <c r="F30" s="52" t="s">
        <v>6079</v>
      </c>
      <c r="G30" s="52" t="s">
        <v>6069</v>
      </c>
    </row>
    <row r="31" customFormat="false" ht="42" hidden="false" customHeight="true" outlineLevel="0" collapsed="false">
      <c r="A31" s="55" t="s">
        <v>6009</v>
      </c>
      <c r="B31" s="55" t="s">
        <v>6013</v>
      </c>
      <c r="C31" s="55" t="s">
        <v>6080</v>
      </c>
      <c r="D31" s="55" t="s">
        <v>6081</v>
      </c>
      <c r="E31" s="55" t="s">
        <v>6082</v>
      </c>
      <c r="F31" s="55" t="s">
        <v>6083</v>
      </c>
      <c r="G31" s="55" t="s">
        <v>6069</v>
      </c>
    </row>
    <row r="32" customFormat="false" ht="42" hidden="false" customHeight="true" outlineLevel="0" collapsed="false">
      <c r="A32" s="52" t="s">
        <v>6084</v>
      </c>
      <c r="B32" s="52" t="s">
        <v>6025</v>
      </c>
      <c r="C32" s="52" t="s">
        <v>6054</v>
      </c>
      <c r="D32" s="52" t="s">
        <v>6085</v>
      </c>
      <c r="E32" s="52" t="s">
        <v>6086</v>
      </c>
      <c r="F32" s="52" t="s">
        <v>6087</v>
      </c>
      <c r="G32" s="52" t="s">
        <v>6069</v>
      </c>
    </row>
    <row r="33" customFormat="false" ht="42" hidden="false" customHeight="true" outlineLevel="0" collapsed="false">
      <c r="A33" s="55" t="s">
        <v>6088</v>
      </c>
      <c r="B33" s="55" t="s">
        <v>6047</v>
      </c>
      <c r="C33" s="55" t="s">
        <v>6089</v>
      </c>
      <c r="D33" s="55" t="s">
        <v>6090</v>
      </c>
      <c r="E33" s="55" t="s">
        <v>6091</v>
      </c>
      <c r="F33" s="55" t="s">
        <v>6092</v>
      </c>
      <c r="G33" s="55" t="s">
        <v>6069</v>
      </c>
    </row>
    <row r="36" customFormat="false" ht="15.75" hidden="false" customHeight="true" outlineLevel="0" collapsed="false">
      <c r="A36" s="73" t="s">
        <v>6093</v>
      </c>
      <c r="B36" s="73"/>
      <c r="C36" s="73"/>
      <c r="D36" s="73"/>
      <c r="E36" s="73"/>
      <c r="F36" s="73"/>
      <c r="G36" s="73"/>
    </row>
    <row r="37" customFormat="false" ht="37.5" hidden="false" customHeight="true" outlineLevel="0" collapsed="false">
      <c r="A37" s="54" t="s">
        <v>3331</v>
      </c>
      <c r="B37" s="54" t="s">
        <v>3332</v>
      </c>
      <c r="C37" s="54"/>
      <c r="D37" s="54"/>
      <c r="E37" s="54"/>
      <c r="F37" s="54"/>
      <c r="G37" s="54" t="s">
        <v>6094</v>
      </c>
    </row>
    <row r="38" customFormat="false" ht="37.5" hidden="false" customHeight="true" outlineLevel="0" collapsed="false">
      <c r="A38" s="54" t="s">
        <v>3334</v>
      </c>
      <c r="B38" s="54" t="s">
        <v>3335</v>
      </c>
      <c r="C38" s="54"/>
      <c r="D38" s="54"/>
      <c r="E38" s="54"/>
      <c r="F38" s="54"/>
      <c r="G38" s="54" t="s">
        <v>6094</v>
      </c>
    </row>
    <row r="39" customFormat="false" ht="37.5" hidden="false" customHeight="true" outlineLevel="0" collapsed="false">
      <c r="A39" s="54" t="s">
        <v>3336</v>
      </c>
      <c r="B39" s="54" t="s">
        <v>3337</v>
      </c>
      <c r="C39" s="54"/>
      <c r="D39" s="54"/>
      <c r="E39" s="54"/>
      <c r="F39" s="54"/>
      <c r="G39" s="54" t="s">
        <v>6094</v>
      </c>
    </row>
    <row r="40" customFormat="false" ht="37.5" hidden="false" customHeight="true" outlineLevel="0" collapsed="false">
      <c r="A40" s="54" t="s">
        <v>3338</v>
      </c>
      <c r="B40" s="54" t="s">
        <v>3339</v>
      </c>
      <c r="C40" s="54"/>
      <c r="D40" s="54"/>
      <c r="E40" s="54"/>
      <c r="F40" s="54"/>
      <c r="G40" s="54" t="s">
        <v>6094</v>
      </c>
    </row>
    <row r="41" customFormat="false" ht="37.5" hidden="false" customHeight="true" outlineLevel="0" collapsed="false">
      <c r="A41" s="54" t="s">
        <v>3340</v>
      </c>
      <c r="B41" s="54" t="s">
        <v>3341</v>
      </c>
      <c r="C41" s="54"/>
      <c r="D41" s="54"/>
      <c r="E41" s="54"/>
      <c r="F41" s="54"/>
      <c r="G41" s="54" t="s">
        <v>6094</v>
      </c>
    </row>
    <row r="42" customFormat="false" ht="37.5" hidden="false" customHeight="true" outlineLevel="0" collapsed="false">
      <c r="A42" s="54" t="s">
        <v>3342</v>
      </c>
      <c r="B42" s="54" t="s">
        <v>3343</v>
      </c>
      <c r="C42" s="54"/>
      <c r="D42" s="54"/>
      <c r="E42" s="54"/>
      <c r="F42" s="54"/>
      <c r="G42" s="54" t="s">
        <v>6094</v>
      </c>
    </row>
    <row r="43" customFormat="false" ht="37.5" hidden="false" customHeight="true" outlineLevel="0" collapsed="false">
      <c r="A43" s="54" t="s">
        <v>3344</v>
      </c>
      <c r="B43" s="54" t="s">
        <v>3345</v>
      </c>
      <c r="C43" s="54"/>
      <c r="D43" s="54"/>
      <c r="E43" s="54"/>
      <c r="F43" s="54"/>
      <c r="G43" s="54" t="s">
        <v>6094</v>
      </c>
    </row>
    <row r="44" customFormat="false" ht="37.5" hidden="false" customHeight="true" outlineLevel="0" collapsed="false">
      <c r="A44" s="54" t="s">
        <v>3346</v>
      </c>
      <c r="B44" s="54" t="s">
        <v>3347</v>
      </c>
      <c r="C44" s="54"/>
      <c r="D44" s="54"/>
      <c r="E44" s="54"/>
      <c r="F44" s="54"/>
      <c r="G44" s="54" t="s">
        <v>6094</v>
      </c>
    </row>
    <row r="45" customFormat="false" ht="37.5" hidden="false" customHeight="true" outlineLevel="0" collapsed="false">
      <c r="A45" s="54" t="s">
        <v>3348</v>
      </c>
      <c r="B45" s="54" t="s">
        <v>3349</v>
      </c>
      <c r="C45" s="54"/>
      <c r="D45" s="54"/>
      <c r="E45" s="54"/>
      <c r="F45" s="54"/>
      <c r="G45" s="54" t="s">
        <v>6094</v>
      </c>
    </row>
    <row r="46" customFormat="false" ht="37.5" hidden="false" customHeight="true" outlineLevel="0" collapsed="false">
      <c r="A46" s="54" t="s">
        <v>3350</v>
      </c>
      <c r="B46" s="54" t="s">
        <v>3351</v>
      </c>
      <c r="C46" s="54"/>
      <c r="D46" s="54"/>
      <c r="E46" s="54"/>
      <c r="F46" s="54"/>
      <c r="G46" s="54" t="s">
        <v>6094</v>
      </c>
    </row>
  </sheetData>
  <mergeCells count="15">
    <mergeCell ref="A1:G1"/>
    <mergeCell ref="A2:G2"/>
    <mergeCell ref="A17:G17"/>
    <mergeCell ref="A27:G27"/>
    <mergeCell ref="A36:G36"/>
    <mergeCell ref="B37:F37"/>
    <mergeCell ref="B38:F38"/>
    <mergeCell ref="B39:F39"/>
    <mergeCell ref="B40:F40"/>
    <mergeCell ref="B41:F41"/>
    <mergeCell ref="B42:F42"/>
    <mergeCell ref="B43:F43"/>
    <mergeCell ref="B44:F44"/>
    <mergeCell ref="B45:F45"/>
    <mergeCell ref="B46:F4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16"/>
    <col collapsed="false" customWidth="true" hidden="false" outlineLevel="0" max="2" min="2" style="30" width="20"/>
    <col collapsed="false" customWidth="true" hidden="false" outlineLevel="0" max="3" min="3" style="30" width="15"/>
    <col collapsed="false" customWidth="true" hidden="false" outlineLevel="0" max="4" min="4" style="30" width="16"/>
    <col collapsed="false" customWidth="true" hidden="false" outlineLevel="0" max="5" min="5" style="30" width="18"/>
    <col collapsed="false" customWidth="true" hidden="false" outlineLevel="0" max="6" min="6" style="30" width="20"/>
    <col collapsed="false" customWidth="true" hidden="false" outlineLevel="0" max="7" min="7" style="30" width="17"/>
    <col collapsed="false" customWidth="true" hidden="false" outlineLevel="0" max="8" min="8" style="30" width="22"/>
    <col collapsed="false" customWidth="true" hidden="false" outlineLevel="0" max="9" min="9" style="30" width="30"/>
    <col collapsed="false" customWidth="true" hidden="false" outlineLevel="0" max="10" min="10" style="30" width="16"/>
  </cols>
  <sheetData>
    <row r="1" customFormat="false" ht="17.25" hidden="false" customHeight="true" outlineLevel="0" collapsed="false">
      <c r="A1" s="63" t="s">
        <v>6095</v>
      </c>
      <c r="B1" s="63"/>
      <c r="C1" s="63"/>
      <c r="D1" s="63"/>
      <c r="E1" s="63"/>
      <c r="F1" s="63"/>
      <c r="G1" s="63"/>
      <c r="H1" s="63"/>
      <c r="I1" s="63"/>
      <c r="J1" s="63"/>
    </row>
    <row r="2" customFormat="false" ht="15" hidden="false" customHeight="true" outlineLevel="0" collapsed="false">
      <c r="A2" s="74" t="s">
        <v>6096</v>
      </c>
      <c r="B2" s="74"/>
      <c r="C2" s="74"/>
      <c r="D2" s="74"/>
      <c r="E2" s="74"/>
      <c r="F2" s="74"/>
      <c r="G2" s="74"/>
      <c r="H2" s="74"/>
      <c r="I2" s="74"/>
      <c r="J2" s="74"/>
    </row>
    <row r="3" customFormat="false" ht="27.75" hidden="false" customHeight="true" outlineLevel="0" collapsed="false">
      <c r="A3" s="65" t="s">
        <v>6097</v>
      </c>
      <c r="B3" s="65" t="s">
        <v>6098</v>
      </c>
      <c r="C3" s="65" t="s">
        <v>6099</v>
      </c>
      <c r="D3" s="65" t="s">
        <v>6100</v>
      </c>
      <c r="E3" s="65" t="s">
        <v>6101</v>
      </c>
      <c r="F3" s="65" t="s">
        <v>6102</v>
      </c>
      <c r="G3" s="65" t="s">
        <v>6103</v>
      </c>
      <c r="H3" s="65" t="s">
        <v>6104</v>
      </c>
      <c r="I3" s="65" t="s">
        <v>6105</v>
      </c>
      <c r="J3" s="65" t="s">
        <v>6106</v>
      </c>
    </row>
    <row r="4" customFormat="false" ht="33.75" hidden="false" customHeight="true" outlineLevel="0" collapsed="false">
      <c r="A4" s="66" t="s">
        <v>3833</v>
      </c>
      <c r="B4" s="66" t="s">
        <v>3834</v>
      </c>
      <c r="C4" s="67" t="n">
        <v>4</v>
      </c>
      <c r="D4" s="67" t="n">
        <v>4</v>
      </c>
      <c r="E4" s="67" t="n">
        <v>2</v>
      </c>
      <c r="F4" s="67" t="n">
        <v>5</v>
      </c>
      <c r="G4" s="67" t="n">
        <f aca="false">IF(C4&gt;F4,D4,E4)</f>
        <v>2</v>
      </c>
      <c r="H4" s="67" t="str">
        <f aca="false">IF(C4&gt;F4,"StandoffAdvantage",IF(C4&lt;F4,"ShorterRangePressure","PeerEnvelope"))</f>
        <v>ShorterRangePressure</v>
      </c>
      <c r="I4" s="66" t="s">
        <v>6107</v>
      </c>
      <c r="J4" s="67" t="str">
        <f aca="false">IF(AND(G4=2,H4="ShorterRangePressure"),"MATCH","REVIEW")</f>
        <v>MATCH</v>
      </c>
    </row>
    <row r="5" customFormat="false" ht="33.75" hidden="false" customHeight="true" outlineLevel="0" collapsed="false">
      <c r="A5" s="68" t="s">
        <v>3833</v>
      </c>
      <c r="B5" s="68" t="s">
        <v>3835</v>
      </c>
      <c r="C5" s="69" t="n">
        <v>4</v>
      </c>
      <c r="D5" s="69" t="n">
        <v>4</v>
      </c>
      <c r="E5" s="69" t="n">
        <v>2</v>
      </c>
      <c r="F5" s="69" t="n">
        <v>7</v>
      </c>
      <c r="G5" s="69" t="n">
        <f aca="false">IF(C5&gt;F5,D5,E5)</f>
        <v>2</v>
      </c>
      <c r="H5" s="69" t="str">
        <f aca="false">IF(C5&gt;F5,"StandoffAdvantage",IF(C5&lt;F5,"ShorterRangePressure","PeerEnvelope"))</f>
        <v>ShorterRangePressure</v>
      </c>
      <c r="I5" s="68" t="s">
        <v>6107</v>
      </c>
      <c r="J5" s="69" t="str">
        <f aca="false">IF(AND(G5=2,H5="ShorterRangePressure"),"MATCH","REVIEW")</f>
        <v>MATCH</v>
      </c>
    </row>
    <row r="6" customFormat="false" ht="33.75" hidden="false" customHeight="true" outlineLevel="0" collapsed="false">
      <c r="A6" s="66" t="s">
        <v>3834</v>
      </c>
      <c r="B6" s="66" t="s">
        <v>3833</v>
      </c>
      <c r="C6" s="67" t="n">
        <v>5</v>
      </c>
      <c r="D6" s="67" t="n">
        <v>5</v>
      </c>
      <c r="E6" s="67" t="n">
        <v>4</v>
      </c>
      <c r="F6" s="67" t="n">
        <v>4</v>
      </c>
      <c r="G6" s="67" t="n">
        <f aca="false">IF(C6&gt;F6,D6,E6)</f>
        <v>5</v>
      </c>
      <c r="H6" s="67" t="str">
        <f aca="false">IF(C6&gt;F6,"StandoffAdvantage",IF(C6&lt;F6,"ShorterRangePressure","PeerEnvelope"))</f>
        <v>StandoffAdvantage</v>
      </c>
      <c r="I6" s="66" t="s">
        <v>6108</v>
      </c>
      <c r="J6" s="67" t="str">
        <f aca="false">IF(AND(G6=5,H6="StandoffAdvantage"),"MATCH","REVIEW")</f>
        <v>MATCH</v>
      </c>
    </row>
    <row r="7" customFormat="false" ht="33.75" hidden="false" customHeight="true" outlineLevel="0" collapsed="false">
      <c r="A7" s="68" t="s">
        <v>3834</v>
      </c>
      <c r="B7" s="68" t="s">
        <v>3835</v>
      </c>
      <c r="C7" s="69" t="n">
        <v>5</v>
      </c>
      <c r="D7" s="69" t="n">
        <v>5</v>
      </c>
      <c r="E7" s="69" t="n">
        <v>4</v>
      </c>
      <c r="F7" s="69" t="n">
        <v>7</v>
      </c>
      <c r="G7" s="69" t="n">
        <f aca="false">IF(C7&gt;F7,D7,E7)</f>
        <v>4</v>
      </c>
      <c r="H7" s="69" t="str">
        <f aca="false">IF(C7&gt;F7,"StandoffAdvantage",IF(C7&lt;F7,"ShorterRangePressure","PeerEnvelope"))</f>
        <v>ShorterRangePressure</v>
      </c>
      <c r="I7" s="68" t="s">
        <v>6107</v>
      </c>
      <c r="J7" s="69" t="str">
        <f aca="false">IF(AND(G7=4,H7="ShorterRangePressure"),"MATCH","REVIEW")</f>
        <v>MATCH</v>
      </c>
    </row>
    <row r="8" customFormat="false" ht="33.75" hidden="false" customHeight="true" outlineLevel="0" collapsed="false">
      <c r="A8" s="66" t="s">
        <v>3835</v>
      </c>
      <c r="B8" s="66" t="s">
        <v>3833</v>
      </c>
      <c r="C8" s="67" t="n">
        <v>7</v>
      </c>
      <c r="D8" s="67" t="n">
        <v>6</v>
      </c>
      <c r="E8" s="67" t="n">
        <v>6</v>
      </c>
      <c r="F8" s="67" t="n">
        <v>4</v>
      </c>
      <c r="G8" s="67" t="n">
        <f aca="false">IF(C8&gt;F8,D8,E8)</f>
        <v>6</v>
      </c>
      <c r="H8" s="67" t="str">
        <f aca="false">IF(C8&gt;F8,"StandoffAdvantage",IF(C8&lt;F8,"ShorterRangePressure","PeerEnvelope"))</f>
        <v>StandoffAdvantage</v>
      </c>
      <c r="I8" s="66" t="s">
        <v>6108</v>
      </c>
      <c r="J8" s="67" t="str">
        <f aca="false">IF(AND(G8=6,H8="StandoffAdvantage"),"MATCH","REVIEW")</f>
        <v>MATCH</v>
      </c>
    </row>
    <row r="9" customFormat="false" ht="33.75" hidden="false" customHeight="true" outlineLevel="0" collapsed="false">
      <c r="A9" s="68" t="s">
        <v>3835</v>
      </c>
      <c r="B9" s="68" t="s">
        <v>3834</v>
      </c>
      <c r="C9" s="69" t="n">
        <v>7</v>
      </c>
      <c r="D9" s="69" t="n">
        <v>6</v>
      </c>
      <c r="E9" s="69" t="n">
        <v>6</v>
      </c>
      <c r="F9" s="69" t="n">
        <v>5</v>
      </c>
      <c r="G9" s="69" t="n">
        <f aca="false">IF(C9&gt;F9,D9,E9)</f>
        <v>6</v>
      </c>
      <c r="H9" s="69" t="str">
        <f aca="false">IF(C9&gt;F9,"StandoffAdvantage",IF(C9&lt;F9,"ShorterRangePressure","PeerEnvelope"))</f>
        <v>StandoffAdvantage</v>
      </c>
      <c r="I9" s="68" t="s">
        <v>6108</v>
      </c>
      <c r="J9" s="69" t="str">
        <f aca="false">IF(AND(G9=6,H9="StandoffAdvantage"),"MATCH","REVIEW")</f>
        <v>MATCH</v>
      </c>
    </row>
    <row r="12" customFormat="false" ht="15.75" hidden="false" customHeight="true" outlineLevel="0" collapsed="false">
      <c r="A12" s="73" t="s">
        <v>6109</v>
      </c>
      <c r="B12" s="73"/>
      <c r="C12" s="73"/>
      <c r="D12" s="73"/>
      <c r="E12" s="73"/>
      <c r="F12" s="73"/>
      <c r="G12" s="73"/>
      <c r="H12" s="73"/>
      <c r="I12" s="73"/>
      <c r="J12" s="73"/>
    </row>
    <row r="13" customFormat="false" ht="15" hidden="false" customHeight="true" outlineLevel="0" collapsed="false">
      <c r="A13" s="65" t="s">
        <v>6110</v>
      </c>
      <c r="B13" s="65" t="s">
        <v>6111</v>
      </c>
      <c r="C13" s="65" t="s">
        <v>3794</v>
      </c>
      <c r="D13" s="65" t="s">
        <v>5215</v>
      </c>
      <c r="E13" s="65" t="s">
        <v>6049</v>
      </c>
      <c r="F13" s="65" t="s">
        <v>5218</v>
      </c>
      <c r="G13" s="65" t="s">
        <v>6112</v>
      </c>
      <c r="H13" s="65" t="s">
        <v>5761</v>
      </c>
      <c r="I13" s="65" t="s">
        <v>4869</v>
      </c>
      <c r="J13" s="65" t="s">
        <v>5631</v>
      </c>
    </row>
    <row r="14" customFormat="false" ht="31.5" hidden="false" customHeight="true" outlineLevel="0" collapsed="false">
      <c r="A14" s="68" t="s">
        <v>6113</v>
      </c>
      <c r="B14" s="68" t="s">
        <v>6114</v>
      </c>
      <c r="C14" s="68" t="s">
        <v>6115</v>
      </c>
      <c r="D14" s="69" t="n">
        <v>2</v>
      </c>
      <c r="E14" s="69" t="n">
        <v>3</v>
      </c>
      <c r="F14" s="69" t="n">
        <v>2</v>
      </c>
      <c r="G14" s="69" t="n">
        <v>6</v>
      </c>
      <c r="H14" s="69" t="n">
        <f aca="false">D14*E14*F14*G14</f>
        <v>72</v>
      </c>
      <c r="I14" s="69" t="s">
        <v>4469</v>
      </c>
      <c r="J14" s="69" t="s">
        <v>4197</v>
      </c>
    </row>
    <row r="15" customFormat="false" ht="39.75" hidden="false" customHeight="true" outlineLevel="0" collapsed="false">
      <c r="A15" s="66" t="s">
        <v>6116</v>
      </c>
      <c r="B15" s="75" t="s">
        <v>6117</v>
      </c>
      <c r="C15" s="66" t="s">
        <v>6118</v>
      </c>
      <c r="D15" s="67" t="n">
        <v>2</v>
      </c>
      <c r="E15" s="67" t="n">
        <v>3</v>
      </c>
      <c r="F15" s="67" t="n">
        <v>2</v>
      </c>
      <c r="G15" s="67" t="n">
        <v>6</v>
      </c>
      <c r="H15" s="67" t="n">
        <f aca="false">D15*E15*F15*G15</f>
        <v>72</v>
      </c>
      <c r="I15" s="67" t="s">
        <v>4469</v>
      </c>
      <c r="J15" s="67" t="s">
        <v>4197</v>
      </c>
    </row>
    <row r="16" customFormat="false" ht="31.5" hidden="false" customHeight="true" outlineLevel="0" collapsed="false">
      <c r="A16" s="68" t="s">
        <v>6119</v>
      </c>
      <c r="B16" s="68" t="s">
        <v>6120</v>
      </c>
      <c r="C16" s="68" t="s">
        <v>6121</v>
      </c>
      <c r="D16" s="69" t="n">
        <v>2</v>
      </c>
      <c r="E16" s="69" t="n">
        <v>1</v>
      </c>
      <c r="F16" s="69" t="n">
        <v>2</v>
      </c>
      <c r="G16" s="69" t="n">
        <v>1</v>
      </c>
      <c r="H16" s="69" t="n">
        <f aca="false">D16*E16*F16*G16</f>
        <v>4</v>
      </c>
      <c r="I16" s="69" t="s">
        <v>4469</v>
      </c>
      <c r="J16" s="69" t="s">
        <v>4197</v>
      </c>
    </row>
  </sheetData>
  <mergeCells count="2">
    <mergeCell ref="A1:J1"/>
    <mergeCell ref="A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4"/>
    <col collapsed="false" customWidth="true" hidden="false" outlineLevel="0" max="2" min="2" style="30" width="25"/>
    <col collapsed="false" customWidth="true" hidden="false" outlineLevel="0" max="3" min="3" style="30" width="30"/>
    <col collapsed="false" customWidth="true" hidden="false" outlineLevel="0" max="4" min="4" style="30" width="31"/>
    <col collapsed="false" customWidth="true" hidden="false" outlineLevel="0" max="5" min="5" style="30" width="34"/>
    <col collapsed="false" customWidth="true" hidden="false" outlineLevel="0" max="6" min="6" style="30" width="31"/>
    <col collapsed="false" customWidth="true" hidden="false" outlineLevel="0" max="7" min="7" style="30" width="20"/>
  </cols>
  <sheetData>
    <row r="1" customFormat="false" ht="17.25" hidden="false" customHeight="true" outlineLevel="0" collapsed="false">
      <c r="A1" s="63" t="s">
        <v>6122</v>
      </c>
      <c r="B1" s="63"/>
      <c r="C1" s="63"/>
      <c r="D1" s="63"/>
      <c r="E1" s="63"/>
      <c r="F1" s="63"/>
      <c r="G1" s="63"/>
    </row>
    <row r="2" customFormat="false" ht="15" hidden="false" customHeight="true" outlineLevel="0" collapsed="false">
      <c r="A2" s="74" t="s">
        <v>6123</v>
      </c>
      <c r="B2" s="74"/>
      <c r="C2" s="74"/>
      <c r="D2" s="74"/>
      <c r="E2" s="74"/>
      <c r="F2" s="74"/>
      <c r="G2" s="74"/>
    </row>
    <row r="3" customFormat="false" ht="15" hidden="false" customHeight="true" outlineLevel="0" collapsed="false">
      <c r="A3" s="65" t="s">
        <v>3789</v>
      </c>
      <c r="B3" s="65" t="s">
        <v>5693</v>
      </c>
      <c r="C3" s="65" t="s">
        <v>5694</v>
      </c>
      <c r="D3" s="65" t="s">
        <v>5007</v>
      </c>
      <c r="E3" s="65" t="s">
        <v>5009</v>
      </c>
      <c r="F3" s="65" t="s">
        <v>5695</v>
      </c>
      <c r="G3" s="65" t="s">
        <v>4</v>
      </c>
    </row>
    <row r="4" customFormat="false" ht="34.5" hidden="false" customHeight="true" outlineLevel="0" collapsed="false">
      <c r="A4" s="66" t="s">
        <v>5774</v>
      </c>
      <c r="B4" s="66" t="s">
        <v>5996</v>
      </c>
      <c r="C4" s="66" t="s">
        <v>5849</v>
      </c>
      <c r="D4" s="66" t="s">
        <v>6124</v>
      </c>
      <c r="E4" s="66" t="s">
        <v>5998</v>
      </c>
      <c r="F4" s="66" t="s">
        <v>5999</v>
      </c>
      <c r="G4" s="67" t="s">
        <v>5089</v>
      </c>
    </row>
    <row r="5" customFormat="false" ht="34.5" hidden="false" customHeight="true" outlineLevel="0" collapsed="false">
      <c r="A5" s="68" t="s">
        <v>5774</v>
      </c>
      <c r="B5" s="68" t="s">
        <v>6000</v>
      </c>
      <c r="C5" s="68" t="s">
        <v>5844</v>
      </c>
      <c r="D5" s="68" t="s">
        <v>6124</v>
      </c>
      <c r="E5" s="68" t="s">
        <v>5998</v>
      </c>
      <c r="F5" s="68" t="s">
        <v>6125</v>
      </c>
      <c r="G5" s="69" t="s">
        <v>5089</v>
      </c>
    </row>
    <row r="6" customFormat="false" ht="34.5" hidden="false" customHeight="true" outlineLevel="0" collapsed="false">
      <c r="A6" s="66" t="s">
        <v>4738</v>
      </c>
      <c r="B6" s="66" t="s">
        <v>6115</v>
      </c>
      <c r="C6" s="66" t="s">
        <v>6126</v>
      </c>
      <c r="D6" s="66" t="s">
        <v>6127</v>
      </c>
      <c r="E6" s="66" t="s">
        <v>6128</v>
      </c>
      <c r="F6" s="66" t="s">
        <v>6129</v>
      </c>
      <c r="G6" s="67" t="s">
        <v>4426</v>
      </c>
    </row>
    <row r="7" customFormat="false" ht="34.5" hidden="false" customHeight="true" outlineLevel="0" collapsed="false">
      <c r="A7" s="68" t="s">
        <v>4738</v>
      </c>
      <c r="B7" s="68" t="s">
        <v>5110</v>
      </c>
      <c r="C7" s="68" t="s">
        <v>6130</v>
      </c>
      <c r="D7" s="68" t="s">
        <v>6131</v>
      </c>
      <c r="E7" s="68" t="s">
        <v>6132</v>
      </c>
      <c r="F7" s="68" t="s">
        <v>6133</v>
      </c>
      <c r="G7" s="69" t="s">
        <v>5089</v>
      </c>
    </row>
    <row r="8" customFormat="false" ht="34.5" hidden="false" customHeight="true" outlineLevel="0" collapsed="false">
      <c r="A8" s="66" t="s">
        <v>6003</v>
      </c>
      <c r="B8" s="66" t="s">
        <v>6004</v>
      </c>
      <c r="C8" s="66" t="s">
        <v>6134</v>
      </c>
      <c r="D8" s="66" t="s">
        <v>6006</v>
      </c>
      <c r="E8" s="66" t="s">
        <v>6007</v>
      </c>
      <c r="F8" s="66" t="s">
        <v>6008</v>
      </c>
      <c r="G8" s="67" t="s">
        <v>4426</v>
      </c>
    </row>
    <row r="9" customFormat="false" ht="34.5" hidden="false" customHeight="true" outlineLevel="0" collapsed="false">
      <c r="A9" s="68" t="s">
        <v>6009</v>
      </c>
      <c r="B9" s="68" t="s">
        <v>6010</v>
      </c>
      <c r="C9" s="68" t="s">
        <v>6135</v>
      </c>
      <c r="D9" s="68" t="s">
        <v>6136</v>
      </c>
      <c r="E9" s="68" t="s">
        <v>6013</v>
      </c>
      <c r="F9" s="68" t="s">
        <v>6014</v>
      </c>
      <c r="G9" s="69" t="s">
        <v>6015</v>
      </c>
    </row>
    <row r="10" customFormat="false" ht="34.5" hidden="false" customHeight="true" outlineLevel="0" collapsed="false">
      <c r="A10" s="66" t="s">
        <v>6016</v>
      </c>
      <c r="B10" s="66" t="s">
        <v>6017</v>
      </c>
      <c r="C10" s="66" t="s">
        <v>6018</v>
      </c>
      <c r="D10" s="66" t="s">
        <v>6137</v>
      </c>
      <c r="E10" s="66" t="s">
        <v>6138</v>
      </c>
      <c r="F10" s="66" t="s">
        <v>6139</v>
      </c>
      <c r="G10" s="67" t="s">
        <v>4426</v>
      </c>
    </row>
    <row r="11" customFormat="false" ht="34.5" hidden="false" customHeight="true" outlineLevel="0" collapsed="false">
      <c r="A11" s="68" t="s">
        <v>4373</v>
      </c>
      <c r="B11" s="68" t="s">
        <v>6140</v>
      </c>
      <c r="C11" s="68" t="s">
        <v>6141</v>
      </c>
      <c r="D11" s="68" t="s">
        <v>6120</v>
      </c>
      <c r="E11" s="68" t="s">
        <v>6142</v>
      </c>
      <c r="F11" s="68" t="s">
        <v>6143</v>
      </c>
      <c r="G11" s="69" t="s">
        <v>6144</v>
      </c>
    </row>
    <row r="12" customFormat="false" ht="34.5" hidden="false" customHeight="true" outlineLevel="0" collapsed="false">
      <c r="A12" s="66" t="s">
        <v>4793</v>
      </c>
      <c r="B12" s="66" t="s">
        <v>6103</v>
      </c>
      <c r="C12" s="66" t="s">
        <v>6145</v>
      </c>
      <c r="D12" s="66" t="s">
        <v>6146</v>
      </c>
      <c r="E12" s="66" t="s">
        <v>6132</v>
      </c>
      <c r="F12" s="66" t="s">
        <v>6147</v>
      </c>
      <c r="G12" s="67" t="s">
        <v>5527</v>
      </c>
    </row>
    <row r="13" customFormat="false" ht="34.5" hidden="false" customHeight="true" outlineLevel="0" collapsed="false">
      <c r="A13" s="68" t="s">
        <v>5881</v>
      </c>
      <c r="B13" s="68" t="s">
        <v>6148</v>
      </c>
      <c r="C13" s="68" t="s">
        <v>6149</v>
      </c>
      <c r="D13" s="68" t="s">
        <v>6150</v>
      </c>
      <c r="E13" s="68" t="s">
        <v>6151</v>
      </c>
      <c r="F13" s="68" t="s">
        <v>6152</v>
      </c>
      <c r="G13" s="69" t="s">
        <v>4426</v>
      </c>
    </row>
    <row r="14" customFormat="false" ht="34.5" hidden="false" customHeight="true" outlineLevel="0" collapsed="false">
      <c r="A14" s="66" t="s">
        <v>4937</v>
      </c>
      <c r="B14" s="66" t="s">
        <v>6032</v>
      </c>
      <c r="C14" s="66" t="s">
        <v>6033</v>
      </c>
      <c r="D14" s="66" t="s">
        <v>6153</v>
      </c>
      <c r="E14" s="66" t="s">
        <v>5998</v>
      </c>
      <c r="F14" s="66" t="s">
        <v>6036</v>
      </c>
      <c r="G14" s="67" t="s">
        <v>6037</v>
      </c>
    </row>
    <row r="15" customFormat="false" ht="34.5" hidden="false" customHeight="true" outlineLevel="0" collapsed="false">
      <c r="A15" s="68" t="s">
        <v>5631</v>
      </c>
      <c r="B15" s="68" t="s">
        <v>5778</v>
      </c>
      <c r="C15" s="68" t="s">
        <v>4197</v>
      </c>
      <c r="D15" s="68" t="s">
        <v>6154</v>
      </c>
      <c r="E15" s="68" t="s">
        <v>6151</v>
      </c>
      <c r="F15" s="68" t="s">
        <v>6155</v>
      </c>
      <c r="G15" s="69" t="s">
        <v>5906</v>
      </c>
    </row>
    <row r="18" customFormat="false" ht="15.75" hidden="false" customHeight="true" outlineLevel="0" collapsed="false">
      <c r="A18" s="73" t="s">
        <v>5758</v>
      </c>
      <c r="B18" s="73"/>
      <c r="C18" s="73"/>
      <c r="D18" s="73"/>
      <c r="E18" s="73"/>
      <c r="F18" s="73"/>
      <c r="G18" s="73"/>
    </row>
    <row r="19" customFormat="false" ht="15" hidden="false" customHeight="true" outlineLevel="0" collapsed="false">
      <c r="A19" s="65" t="s">
        <v>4186</v>
      </c>
      <c r="B19" s="65" t="s">
        <v>5215</v>
      </c>
      <c r="C19" s="65" t="s">
        <v>6049</v>
      </c>
      <c r="D19" s="65" t="s">
        <v>5218</v>
      </c>
      <c r="E19" s="65" t="s">
        <v>6050</v>
      </c>
      <c r="F19" s="65" t="s">
        <v>5761</v>
      </c>
      <c r="G19" s="65" t="s">
        <v>5762</v>
      </c>
    </row>
    <row r="20" customFormat="false" ht="30" hidden="false" customHeight="true" outlineLevel="0" collapsed="false">
      <c r="A20" s="68" t="s">
        <v>6126</v>
      </c>
      <c r="B20" s="69" t="n">
        <v>2</v>
      </c>
      <c r="C20" s="69" t="n">
        <v>3</v>
      </c>
      <c r="D20" s="69" t="n">
        <v>2</v>
      </c>
      <c r="E20" s="69" t="n">
        <v>6</v>
      </c>
      <c r="F20" s="69" t="n">
        <f aca="false">B20*C20*D20*E20</f>
        <v>72</v>
      </c>
      <c r="G20" s="68" t="s">
        <v>6156</v>
      </c>
    </row>
    <row r="21" customFormat="false" ht="30" hidden="false" customHeight="true" outlineLevel="0" collapsed="false">
      <c r="A21" s="66" t="s">
        <v>6130</v>
      </c>
      <c r="B21" s="67" t="n">
        <v>2</v>
      </c>
      <c r="C21" s="67" t="n">
        <v>3</v>
      </c>
      <c r="D21" s="67" t="n">
        <v>2</v>
      </c>
      <c r="E21" s="67" t="n">
        <v>6</v>
      </c>
      <c r="F21" s="67" t="n">
        <f aca="false">B21*C21*D21*E21</f>
        <v>72</v>
      </c>
      <c r="G21" s="66" t="s">
        <v>6157</v>
      </c>
    </row>
    <row r="22" customFormat="false" ht="30" hidden="false" customHeight="true" outlineLevel="0" collapsed="false">
      <c r="A22" s="68" t="s">
        <v>6158</v>
      </c>
      <c r="B22" s="69" t="n">
        <v>2</v>
      </c>
      <c r="C22" s="69" t="n">
        <v>1</v>
      </c>
      <c r="D22" s="69" t="n">
        <v>2</v>
      </c>
      <c r="E22" s="69" t="n">
        <v>1</v>
      </c>
      <c r="F22" s="69" t="n">
        <f aca="false">B22*C22*D22*E22</f>
        <v>4</v>
      </c>
      <c r="G22" s="68" t="s">
        <v>6159</v>
      </c>
    </row>
    <row r="23" customFormat="false" ht="30" hidden="false" customHeight="true" outlineLevel="0" collapsed="false">
      <c r="A23" s="66" t="s">
        <v>6160</v>
      </c>
      <c r="B23" s="67"/>
      <c r="C23" s="67"/>
      <c r="D23" s="67"/>
      <c r="E23" s="67"/>
      <c r="F23" s="67" t="n">
        <f aca="false">F20+F21+F22</f>
        <v>148</v>
      </c>
      <c r="G23" s="66" t="s">
        <v>6161</v>
      </c>
    </row>
    <row r="24" customFormat="false" ht="30" hidden="false" customHeight="true" outlineLevel="0" collapsed="false">
      <c r="A24" s="68" t="s">
        <v>6057</v>
      </c>
      <c r="B24" s="69"/>
      <c r="C24" s="69"/>
      <c r="D24" s="69"/>
      <c r="E24" s="69"/>
      <c r="F24" s="69" t="n">
        <f aca="false">4410</f>
        <v>4410</v>
      </c>
      <c r="G24" s="68" t="s">
        <v>6162</v>
      </c>
    </row>
    <row r="25" customFormat="false" ht="30" hidden="false" customHeight="true" outlineLevel="0" collapsed="false">
      <c r="A25" s="66" t="s">
        <v>6163</v>
      </c>
      <c r="B25" s="67"/>
      <c r="C25" s="67"/>
      <c r="D25" s="67"/>
      <c r="E25" s="67"/>
      <c r="F25" s="67" t="n">
        <f aca="false">F23+F24</f>
        <v>4558</v>
      </c>
      <c r="G25" s="66" t="s">
        <v>6164</v>
      </c>
    </row>
    <row r="26" customFormat="false" ht="30" hidden="false" customHeight="true" outlineLevel="0" collapsed="false">
      <c r="A26" s="68" t="s">
        <v>6061</v>
      </c>
      <c r="B26" s="69"/>
      <c r="C26" s="69"/>
      <c r="D26" s="69"/>
      <c r="E26" s="69"/>
      <c r="F26" s="69" t="n">
        <f aca="false">F25*10000</f>
        <v>45580000</v>
      </c>
      <c r="G26" s="68" t="s">
        <v>6165</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43"/>
    <col collapsed="false" customWidth="true" hidden="false" outlineLevel="0" max="2" min="2" style="30" width="34"/>
    <col collapsed="false" customWidth="true" hidden="false" outlineLevel="0" max="3" min="3" style="30" width="27"/>
    <col collapsed="false" customWidth="true" hidden="false" outlineLevel="0" max="4" min="4" style="30" width="13"/>
    <col collapsed="false" customWidth="true" hidden="false" outlineLevel="0" max="6" min="5" style="30" width="10"/>
    <col collapsed="false" customWidth="true" hidden="false" outlineLevel="0" max="7" min="7" style="30" width="11"/>
    <col collapsed="false" customWidth="true" hidden="false" outlineLevel="0" max="8" min="8" style="30" width="12"/>
    <col collapsed="false" customWidth="true" hidden="false" outlineLevel="0" max="10" min="9" style="30" width="10"/>
    <col collapsed="false" customWidth="true" hidden="false" outlineLevel="0" max="11" min="11" style="30" width="11"/>
    <col collapsed="false" customWidth="true" hidden="false" outlineLevel="0" max="12" min="12" style="30" width="12"/>
    <col collapsed="false" customWidth="true" hidden="false" outlineLevel="0" max="15" min="13" style="30" width="22"/>
    <col collapsed="false" customWidth="true" hidden="false" outlineLevel="0" max="16" min="16" style="30" width="15"/>
    <col collapsed="false" customWidth="true" hidden="false" outlineLevel="0" max="19" min="17" style="30" width="13"/>
    <col collapsed="false" customWidth="true" hidden="false" outlineLevel="0" max="20" min="20" style="30" width="28"/>
  </cols>
  <sheetData>
    <row r="1" customFormat="false" ht="17.25" hidden="false" customHeight="true" outlineLevel="0" collapsed="false">
      <c r="A1" s="63" t="s">
        <v>6166</v>
      </c>
      <c r="B1" s="63"/>
      <c r="C1" s="63"/>
      <c r="D1" s="63"/>
      <c r="E1" s="63"/>
      <c r="F1" s="63"/>
      <c r="G1" s="63"/>
      <c r="H1" s="63"/>
      <c r="I1" s="63"/>
      <c r="J1" s="63"/>
      <c r="K1" s="63"/>
      <c r="L1" s="63"/>
      <c r="M1" s="63"/>
      <c r="N1" s="63"/>
      <c r="O1" s="63"/>
      <c r="P1" s="63"/>
      <c r="Q1" s="63"/>
      <c r="R1" s="63"/>
      <c r="S1" s="63"/>
      <c r="T1" s="63"/>
    </row>
    <row r="2" customFormat="false" ht="15" hidden="false" customHeight="true" outlineLevel="0" collapsed="false">
      <c r="A2" s="64" t="s">
        <v>6167</v>
      </c>
      <c r="B2" s="64"/>
      <c r="C2" s="64"/>
      <c r="D2" s="64"/>
      <c r="E2" s="64"/>
      <c r="F2" s="64"/>
      <c r="G2" s="64"/>
      <c r="H2" s="64"/>
      <c r="I2" s="64"/>
      <c r="J2" s="64"/>
      <c r="K2" s="64"/>
      <c r="L2" s="64"/>
      <c r="M2" s="64"/>
      <c r="N2" s="64"/>
      <c r="O2" s="64"/>
      <c r="P2" s="64"/>
      <c r="Q2" s="64"/>
      <c r="R2" s="64"/>
      <c r="S2" s="64"/>
      <c r="T2" s="64"/>
    </row>
    <row r="3" customFormat="false" ht="27.75" hidden="false" customHeight="true" outlineLevel="0" collapsed="false">
      <c r="A3" s="65" t="s">
        <v>5617</v>
      </c>
      <c r="B3" s="65" t="s">
        <v>5618</v>
      </c>
      <c r="C3" s="65" t="s">
        <v>3794</v>
      </c>
      <c r="D3" s="65" t="s">
        <v>5775</v>
      </c>
      <c r="E3" s="65" t="s">
        <v>108</v>
      </c>
      <c r="F3" s="65" t="s">
        <v>1263</v>
      </c>
      <c r="G3" s="65" t="s">
        <v>5112</v>
      </c>
      <c r="H3" s="65" t="s">
        <v>5622</v>
      </c>
      <c r="I3" s="65" t="s">
        <v>5623</v>
      </c>
      <c r="J3" s="65" t="s">
        <v>514</v>
      </c>
      <c r="K3" s="65" t="s">
        <v>5114</v>
      </c>
      <c r="L3" s="65" t="s">
        <v>5115</v>
      </c>
      <c r="M3" s="65" t="s">
        <v>5982</v>
      </c>
      <c r="N3" s="65" t="s">
        <v>5983</v>
      </c>
      <c r="O3" s="65" t="s">
        <v>5984</v>
      </c>
      <c r="P3" s="65" t="s">
        <v>5985</v>
      </c>
      <c r="Q3" s="65" t="s">
        <v>5986</v>
      </c>
      <c r="R3" s="65" t="s">
        <v>5987</v>
      </c>
      <c r="S3" s="65" t="s">
        <v>5988</v>
      </c>
      <c r="T3" s="65" t="s">
        <v>4</v>
      </c>
    </row>
    <row r="4" customFormat="false" ht="43.5" hidden="false" customHeight="true" outlineLevel="0" collapsed="false">
      <c r="A4" s="66" t="s">
        <v>6168</v>
      </c>
      <c r="B4" s="66" t="s">
        <v>6169</v>
      </c>
      <c r="C4" s="66" t="s">
        <v>6170</v>
      </c>
      <c r="D4" s="67" t="s">
        <v>5841</v>
      </c>
      <c r="E4" s="67" t="n">
        <v>2</v>
      </c>
      <c r="F4" s="67" t="n">
        <v>6</v>
      </c>
      <c r="G4" s="67" t="n">
        <v>3</v>
      </c>
      <c r="H4" s="67" t="n">
        <f aca="false">F4-G4</f>
        <v>3</v>
      </c>
      <c r="I4" s="67" t="n">
        <v>12</v>
      </c>
      <c r="J4" s="67" t="n">
        <v>46</v>
      </c>
      <c r="K4" s="67" t="n">
        <v>2</v>
      </c>
      <c r="L4" s="67" t="n">
        <v>3</v>
      </c>
      <c r="M4" s="67" t="s">
        <v>5990</v>
      </c>
      <c r="N4" s="67" t="s">
        <v>5991</v>
      </c>
      <c r="O4" s="67" t="s">
        <v>5992</v>
      </c>
      <c r="P4" s="67" t="n">
        <v>60</v>
      </c>
      <c r="Q4" s="67" t="n">
        <v>1</v>
      </c>
      <c r="R4" s="67" t="n">
        <v>2</v>
      </c>
      <c r="S4" s="67" t="n">
        <v>0</v>
      </c>
      <c r="T4" s="66" t="s">
        <v>6171</v>
      </c>
    </row>
    <row r="5" customFormat="false" ht="43.5" hidden="false" customHeight="true" outlineLevel="0" collapsed="false">
      <c r="A5" s="66" t="s">
        <v>5843</v>
      </c>
      <c r="B5" s="66" t="s">
        <v>5844</v>
      </c>
      <c r="C5" s="66" t="s">
        <v>6172</v>
      </c>
      <c r="D5" s="67" t="s">
        <v>5837</v>
      </c>
      <c r="E5" s="67" t="n">
        <v>2</v>
      </c>
      <c r="F5" s="67" t="n">
        <v>6</v>
      </c>
      <c r="G5" s="67" t="n">
        <v>3</v>
      </c>
      <c r="H5" s="67" t="n">
        <f aca="false">F5-G5</f>
        <v>3</v>
      </c>
      <c r="I5" s="67" t="n">
        <v>12</v>
      </c>
      <c r="J5" s="67" t="n">
        <v>46</v>
      </c>
      <c r="K5" s="67" t="n">
        <v>2</v>
      </c>
      <c r="L5" s="67" t="n">
        <v>3</v>
      </c>
      <c r="M5" s="67" t="s">
        <v>5990</v>
      </c>
      <c r="N5" s="67" t="s">
        <v>5991</v>
      </c>
      <c r="O5" s="67" t="s">
        <v>5992</v>
      </c>
      <c r="P5" s="67" t="n">
        <v>60</v>
      </c>
      <c r="Q5" s="67" t="n">
        <v>1</v>
      </c>
      <c r="R5" s="67" t="n">
        <v>2</v>
      </c>
      <c r="S5" s="67" t="n">
        <v>0</v>
      </c>
      <c r="T5" s="66" t="s">
        <v>6173</v>
      </c>
    </row>
  </sheetData>
  <mergeCells count="2">
    <mergeCell ref="A1:T1"/>
    <mergeCell ref="A2:T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3" min="1" style="1" width="31"/>
    <col collapsed="false" customWidth="true" hidden="false" outlineLevel="0" max="4" min="4" style="1" width="6"/>
    <col collapsed="false" customWidth="true" hidden="false" outlineLevel="0" max="5" min="5" style="1" width="10"/>
    <col collapsed="false" customWidth="true" hidden="false" outlineLevel="0" max="6" min="6" style="1" width="18"/>
    <col collapsed="false" customWidth="true" hidden="false" outlineLevel="0" max="7" min="7" style="1" width="14"/>
    <col collapsed="false" customWidth="true" hidden="false" outlineLevel="0" max="9" min="8" style="1" width="22"/>
    <col collapsed="false" customWidth="true" hidden="false" outlineLevel="0" max="10" min="10" style="1" width="24"/>
    <col collapsed="false" customWidth="true" hidden="false" outlineLevel="0" max="11" min="11" style="1" width="16"/>
    <col collapsed="false" customWidth="true" hidden="false" outlineLevel="0" max="13" min="12" style="1" width="8"/>
    <col collapsed="false" customWidth="true" hidden="false" outlineLevel="0" max="15" min="14" style="1" width="14"/>
    <col collapsed="false" customWidth="true" hidden="false" outlineLevel="0" max="16" min="16" style="1" width="25"/>
    <col collapsed="false" customWidth="true" hidden="false" outlineLevel="0" max="17" min="17" style="1" width="48"/>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6174</v>
      </c>
      <c r="B1" s="8"/>
      <c r="C1" s="8"/>
      <c r="D1" s="8"/>
      <c r="E1" s="8"/>
      <c r="F1" s="8"/>
      <c r="G1" s="8"/>
      <c r="H1" s="8"/>
      <c r="I1" s="8"/>
      <c r="J1" s="8"/>
      <c r="K1" s="8"/>
      <c r="L1" s="8"/>
      <c r="M1" s="8"/>
      <c r="N1" s="8"/>
      <c r="O1" s="8"/>
      <c r="P1" s="8"/>
      <c r="Q1" s="8"/>
    </row>
    <row r="2" customFormat="false" ht="33.75" hidden="false" customHeight="true" outlineLevel="0" collapsed="false">
      <c r="A2" s="19" t="s">
        <v>6175</v>
      </c>
      <c r="B2" s="19"/>
      <c r="C2" s="19"/>
      <c r="D2" s="19"/>
      <c r="E2" s="19"/>
      <c r="F2" s="19"/>
      <c r="G2" s="19"/>
      <c r="H2" s="19"/>
      <c r="I2" s="19"/>
      <c r="J2" s="19"/>
      <c r="K2" s="19"/>
      <c r="L2" s="19"/>
      <c r="M2" s="19"/>
      <c r="N2" s="19"/>
      <c r="O2" s="19"/>
      <c r="P2" s="19"/>
      <c r="Q2" s="19"/>
    </row>
    <row r="4" customFormat="false" ht="33.75" hidden="false" customHeight="true" outlineLevel="0" collapsed="false">
      <c r="A4" s="10" t="s">
        <v>5617</v>
      </c>
      <c r="B4" s="10" t="s">
        <v>6176</v>
      </c>
      <c r="C4" s="10" t="s">
        <v>6177</v>
      </c>
      <c r="D4" s="10" t="s">
        <v>6178</v>
      </c>
      <c r="E4" s="10" t="s">
        <v>6179</v>
      </c>
      <c r="F4" s="10" t="s">
        <v>6180</v>
      </c>
      <c r="G4" s="10" t="s">
        <v>6181</v>
      </c>
      <c r="H4" s="10" t="s">
        <v>6182</v>
      </c>
      <c r="I4" s="10" t="s">
        <v>6183</v>
      </c>
      <c r="J4" s="10" t="s">
        <v>6184</v>
      </c>
      <c r="K4" s="10" t="s">
        <v>6185</v>
      </c>
      <c r="L4" s="10" t="s">
        <v>1122</v>
      </c>
      <c r="M4" s="10" t="s">
        <v>6186</v>
      </c>
      <c r="N4" s="10" t="s">
        <v>6187</v>
      </c>
      <c r="O4" s="10" t="s">
        <v>6188</v>
      </c>
      <c r="P4" s="10" t="s">
        <v>5547</v>
      </c>
      <c r="Q4" s="10" t="s">
        <v>6189</v>
      </c>
      <c r="R4" s="10"/>
      <c r="S4" s="10"/>
      <c r="T4" s="10"/>
      <c r="U4" s="10"/>
    </row>
    <row r="5" customFormat="false" ht="72" hidden="false" customHeight="true" outlineLevel="0" collapsed="false">
      <c r="A5" s="59" t="s">
        <v>6190</v>
      </c>
      <c r="B5" s="59" t="s">
        <v>6191</v>
      </c>
      <c r="C5" s="59" t="s">
        <v>6192</v>
      </c>
      <c r="D5" s="59" t="n">
        <v>1</v>
      </c>
      <c r="E5" s="60" t="n">
        <v>0</v>
      </c>
      <c r="F5" s="59" t="s">
        <v>6193</v>
      </c>
      <c r="G5" s="60" t="b">
        <f aca="false">TRUE()</f>
        <v>1</v>
      </c>
      <c r="H5" s="59" t="s">
        <v>3862</v>
      </c>
      <c r="I5" s="60" t="s">
        <v>3862</v>
      </c>
      <c r="J5" s="60" t="s">
        <v>3862</v>
      </c>
      <c r="K5" s="59" t="s">
        <v>3862</v>
      </c>
      <c r="L5" s="60" t="b">
        <f aca="false">FALSE()</f>
        <v>0</v>
      </c>
      <c r="M5" s="60" t="s">
        <v>3862</v>
      </c>
      <c r="N5" s="60" t="n">
        <v>0</v>
      </c>
      <c r="O5" s="59" t="n">
        <v>0</v>
      </c>
      <c r="P5" s="60" t="s">
        <v>6193</v>
      </c>
      <c r="Q5" s="60" t="s">
        <v>6194</v>
      </c>
      <c r="R5" s="60"/>
      <c r="S5" s="60"/>
      <c r="T5" s="59"/>
      <c r="U5" s="61"/>
    </row>
    <row r="6" customFormat="false" ht="72" hidden="false" customHeight="true" outlineLevel="0" collapsed="false">
      <c r="A6" s="59" t="s">
        <v>6195</v>
      </c>
      <c r="B6" s="59" t="s">
        <v>6191</v>
      </c>
      <c r="C6" s="59" t="s">
        <v>6196</v>
      </c>
      <c r="D6" s="59" t="n">
        <v>2</v>
      </c>
      <c r="E6" s="60" t="n">
        <v>0</v>
      </c>
      <c r="F6" s="59" t="s">
        <v>6193</v>
      </c>
      <c r="G6" s="60" t="b">
        <f aca="false">TRUE()</f>
        <v>1</v>
      </c>
      <c r="H6" s="59" t="s">
        <v>3862</v>
      </c>
      <c r="I6" s="60" t="s">
        <v>3862</v>
      </c>
      <c r="J6" s="60" t="s">
        <v>3862</v>
      </c>
      <c r="K6" s="59" t="s">
        <v>3862</v>
      </c>
      <c r="L6" s="60" t="b">
        <f aca="false">FALSE()</f>
        <v>0</v>
      </c>
      <c r="M6" s="60" t="s">
        <v>3862</v>
      </c>
      <c r="N6" s="60" t="n">
        <v>0</v>
      </c>
      <c r="O6" s="59" t="n">
        <v>0</v>
      </c>
      <c r="P6" s="60" t="s">
        <v>6193</v>
      </c>
      <c r="Q6" s="60" t="s">
        <v>6194</v>
      </c>
      <c r="R6" s="29"/>
      <c r="S6" s="29"/>
      <c r="T6" s="28"/>
      <c r="U6" s="62"/>
    </row>
    <row r="7" customFormat="false" ht="72" hidden="false" customHeight="true" outlineLevel="0" collapsed="false">
      <c r="A7" s="59" t="s">
        <v>6197</v>
      </c>
      <c r="B7" s="59" t="s">
        <v>5255</v>
      </c>
      <c r="C7" s="59" t="s">
        <v>6198</v>
      </c>
      <c r="D7" s="59" t="n">
        <v>1</v>
      </c>
      <c r="E7" s="60" t="n">
        <v>1</v>
      </c>
      <c r="F7" s="59" t="s">
        <v>6199</v>
      </c>
      <c r="G7" s="60" t="b">
        <f aca="false">FALSE()</f>
        <v>0</v>
      </c>
      <c r="H7" s="59" t="s">
        <v>6200</v>
      </c>
      <c r="I7" s="60" t="s">
        <v>3862</v>
      </c>
      <c r="J7" s="60" t="s">
        <v>3862</v>
      </c>
      <c r="K7" s="59" t="s">
        <v>3862</v>
      </c>
      <c r="L7" s="60" t="b">
        <f aca="false">FALSE()</f>
        <v>0</v>
      </c>
      <c r="M7" s="60" t="s">
        <v>3862</v>
      </c>
      <c r="N7" s="60" t="n">
        <v>0</v>
      </c>
      <c r="O7" s="59" t="n">
        <v>0</v>
      </c>
      <c r="P7" s="60" t="s">
        <v>6201</v>
      </c>
      <c r="Q7" s="60" t="s">
        <v>6202</v>
      </c>
      <c r="R7" s="60"/>
      <c r="S7" s="60"/>
      <c r="T7" s="59"/>
      <c r="U7" s="61"/>
    </row>
    <row r="8" customFormat="false" ht="72" hidden="false" customHeight="true" outlineLevel="0" collapsed="false">
      <c r="A8" s="59" t="s">
        <v>6203</v>
      </c>
      <c r="B8" s="59" t="s">
        <v>5269</v>
      </c>
      <c r="C8" s="59" t="s">
        <v>6204</v>
      </c>
      <c r="D8" s="59" t="n">
        <v>1</v>
      </c>
      <c r="E8" s="60" t="n">
        <v>1</v>
      </c>
      <c r="F8" s="59" t="s">
        <v>6199</v>
      </c>
      <c r="G8" s="60" t="b">
        <f aca="false">FALSE()</f>
        <v>0</v>
      </c>
      <c r="H8" s="59" t="s">
        <v>6205</v>
      </c>
      <c r="I8" s="60" t="s">
        <v>3862</v>
      </c>
      <c r="J8" s="60" t="s">
        <v>3862</v>
      </c>
      <c r="K8" s="59" t="s">
        <v>3862</v>
      </c>
      <c r="L8" s="60" t="b">
        <f aca="false">FALSE()</f>
        <v>0</v>
      </c>
      <c r="M8" s="60" t="s">
        <v>3862</v>
      </c>
      <c r="N8" s="60" t="n">
        <v>0</v>
      </c>
      <c r="O8" s="59" t="n">
        <v>0</v>
      </c>
      <c r="P8" s="60" t="s">
        <v>6201</v>
      </c>
      <c r="Q8" s="60" t="s">
        <v>6202</v>
      </c>
      <c r="R8" s="29"/>
      <c r="S8" s="29"/>
      <c r="T8" s="28"/>
      <c r="U8" s="62"/>
    </row>
    <row r="9" customFormat="false" ht="72" hidden="false" customHeight="true" outlineLevel="0" collapsed="false">
      <c r="A9" s="59" t="s">
        <v>6206</v>
      </c>
      <c r="B9" s="59" t="s">
        <v>5304</v>
      </c>
      <c r="C9" s="59" t="s">
        <v>6207</v>
      </c>
      <c r="D9" s="59" t="n">
        <v>1</v>
      </c>
      <c r="E9" s="60" t="n">
        <v>1</v>
      </c>
      <c r="F9" s="59" t="s">
        <v>6199</v>
      </c>
      <c r="G9" s="60" t="b">
        <f aca="false">FALSE()</f>
        <v>0</v>
      </c>
      <c r="H9" s="59" t="s">
        <v>3862</v>
      </c>
      <c r="I9" s="60" t="s">
        <v>6208</v>
      </c>
      <c r="J9" s="60" t="s">
        <v>3862</v>
      </c>
      <c r="K9" s="59" t="s">
        <v>3862</v>
      </c>
      <c r="L9" s="60" t="b">
        <f aca="false">FALSE()</f>
        <v>0</v>
      </c>
      <c r="M9" s="60" t="s">
        <v>3862</v>
      </c>
      <c r="N9" s="60" t="n">
        <v>0</v>
      </c>
      <c r="O9" s="59" t="n">
        <v>0</v>
      </c>
      <c r="P9" s="60" t="s">
        <v>6201</v>
      </c>
      <c r="Q9" s="60" t="s">
        <v>6202</v>
      </c>
      <c r="R9" s="60"/>
      <c r="S9" s="60"/>
      <c r="T9" s="59"/>
      <c r="U9" s="61"/>
    </row>
    <row r="10" customFormat="false" ht="72" hidden="false" customHeight="true" outlineLevel="0" collapsed="false">
      <c r="A10" s="59" t="s">
        <v>6209</v>
      </c>
      <c r="B10" s="59" t="s">
        <v>5321</v>
      </c>
      <c r="C10" s="59" t="s">
        <v>6210</v>
      </c>
      <c r="D10" s="59" t="n">
        <v>1</v>
      </c>
      <c r="E10" s="60" t="n">
        <v>1</v>
      </c>
      <c r="F10" s="59" t="s">
        <v>6199</v>
      </c>
      <c r="G10" s="60" t="b">
        <f aca="false">FALSE()</f>
        <v>0</v>
      </c>
      <c r="H10" s="59" t="s">
        <v>3862</v>
      </c>
      <c r="I10" s="60" t="s">
        <v>3862</v>
      </c>
      <c r="J10" s="60" t="s">
        <v>6211</v>
      </c>
      <c r="K10" s="59" t="s">
        <v>3862</v>
      </c>
      <c r="L10" s="60" t="b">
        <f aca="false">FALSE()</f>
        <v>0</v>
      </c>
      <c r="M10" s="60" t="s">
        <v>3862</v>
      </c>
      <c r="N10" s="60" t="n">
        <v>0</v>
      </c>
      <c r="O10" s="59" t="n">
        <v>0</v>
      </c>
      <c r="P10" s="60" t="s">
        <v>6201</v>
      </c>
      <c r="Q10" s="60" t="s">
        <v>6202</v>
      </c>
      <c r="R10" s="29"/>
      <c r="S10" s="29"/>
      <c r="T10" s="28"/>
      <c r="U10" s="62"/>
    </row>
    <row r="11" customFormat="false" ht="72" hidden="false" customHeight="true" outlineLevel="0" collapsed="false">
      <c r="A11" s="59" t="s">
        <v>6212</v>
      </c>
      <c r="B11" s="59" t="s">
        <v>5358</v>
      </c>
      <c r="C11" s="59" t="s">
        <v>6213</v>
      </c>
      <c r="D11" s="59" t="n">
        <v>1</v>
      </c>
      <c r="E11" s="60" t="n">
        <v>1</v>
      </c>
      <c r="F11" s="59" t="s">
        <v>6199</v>
      </c>
      <c r="G11" s="60" t="b">
        <f aca="false">FALSE()</f>
        <v>0</v>
      </c>
      <c r="H11" s="59" t="s">
        <v>3862</v>
      </c>
      <c r="I11" s="60" t="s">
        <v>3862</v>
      </c>
      <c r="J11" s="60" t="s">
        <v>3862</v>
      </c>
      <c r="K11" s="59" t="s">
        <v>6214</v>
      </c>
      <c r="L11" s="60" t="b">
        <f aca="false">FALSE()</f>
        <v>0</v>
      </c>
      <c r="M11" s="60" t="s">
        <v>3862</v>
      </c>
      <c r="N11" s="60" t="n">
        <v>0</v>
      </c>
      <c r="O11" s="59" t="n">
        <v>0</v>
      </c>
      <c r="P11" s="60" t="s">
        <v>6201</v>
      </c>
      <c r="Q11" s="60" t="s">
        <v>6202</v>
      </c>
      <c r="R11" s="60"/>
      <c r="S11" s="60"/>
      <c r="T11" s="59"/>
      <c r="U11" s="61"/>
    </row>
    <row r="12" customFormat="false" ht="72" hidden="false" customHeight="true" outlineLevel="0" collapsed="false">
      <c r="A12" s="59" t="s">
        <v>6215</v>
      </c>
      <c r="B12" s="59" t="s">
        <v>5477</v>
      </c>
      <c r="C12" s="59" t="s">
        <v>6216</v>
      </c>
      <c r="D12" s="59" t="n">
        <v>1</v>
      </c>
      <c r="E12" s="60" t="n">
        <v>1</v>
      </c>
      <c r="F12" s="59" t="s">
        <v>6217</v>
      </c>
      <c r="G12" s="60" t="b">
        <f aca="false">FALSE()</f>
        <v>0</v>
      </c>
      <c r="H12" s="59" t="s">
        <v>3862</v>
      </c>
      <c r="I12" s="60" t="s">
        <v>3862</v>
      </c>
      <c r="J12" s="60" t="s">
        <v>3862</v>
      </c>
      <c r="K12" s="59" t="s">
        <v>3862</v>
      </c>
      <c r="L12" s="60" t="b">
        <f aca="false">FALSE()</f>
        <v>0</v>
      </c>
      <c r="M12" s="60" t="s">
        <v>3862</v>
      </c>
      <c r="N12" s="60" t="n">
        <v>50</v>
      </c>
      <c r="O12" s="59" t="n">
        <v>0</v>
      </c>
      <c r="P12" s="60" t="s">
        <v>6201</v>
      </c>
      <c r="Q12" s="60" t="s">
        <v>6202</v>
      </c>
      <c r="R12" s="29"/>
      <c r="S12" s="29"/>
      <c r="T12" s="28"/>
      <c r="U12" s="62"/>
    </row>
    <row r="13" customFormat="false" ht="72" hidden="false" customHeight="true" outlineLevel="0" collapsed="false">
      <c r="A13" s="59" t="s">
        <v>6218</v>
      </c>
      <c r="B13" s="59" t="s">
        <v>5486</v>
      </c>
      <c r="C13" s="59" t="s">
        <v>6219</v>
      </c>
      <c r="D13" s="59" t="n">
        <v>1</v>
      </c>
      <c r="E13" s="60" t="n">
        <v>1</v>
      </c>
      <c r="F13" s="59" t="s">
        <v>6217</v>
      </c>
      <c r="G13" s="60" t="b">
        <f aca="false">FALSE()</f>
        <v>0</v>
      </c>
      <c r="H13" s="59" t="s">
        <v>3862</v>
      </c>
      <c r="I13" s="60" t="s">
        <v>3862</v>
      </c>
      <c r="J13" s="60" t="s">
        <v>3862</v>
      </c>
      <c r="K13" s="59" t="s">
        <v>3862</v>
      </c>
      <c r="L13" s="60" t="b">
        <f aca="false">FALSE()</f>
        <v>0</v>
      </c>
      <c r="M13" s="60" t="s">
        <v>3862</v>
      </c>
      <c r="N13" s="60" t="n">
        <v>0</v>
      </c>
      <c r="O13" s="59" t="n">
        <v>12</v>
      </c>
      <c r="P13" s="60" t="s">
        <v>6201</v>
      </c>
      <c r="Q13" s="60" t="s">
        <v>6202</v>
      </c>
      <c r="R13" s="60"/>
      <c r="S13" s="60"/>
      <c r="T13" s="59"/>
      <c r="U13" s="61"/>
    </row>
    <row r="14" customFormat="false" ht="72" hidden="false" customHeight="true" outlineLevel="0" collapsed="false">
      <c r="A14" s="59" t="s">
        <v>6220</v>
      </c>
      <c r="B14" s="59" t="s">
        <v>5255</v>
      </c>
      <c r="C14" s="59" t="s">
        <v>6221</v>
      </c>
      <c r="D14" s="59" t="n">
        <v>2</v>
      </c>
      <c r="E14" s="60" t="n">
        <v>1</v>
      </c>
      <c r="F14" s="59" t="s">
        <v>6199</v>
      </c>
      <c r="G14" s="60" t="b">
        <f aca="false">FALSE()</f>
        <v>0</v>
      </c>
      <c r="H14" s="59" t="s">
        <v>6222</v>
      </c>
      <c r="I14" s="60" t="s">
        <v>3862</v>
      </c>
      <c r="J14" s="60" t="s">
        <v>3862</v>
      </c>
      <c r="K14" s="59" t="s">
        <v>3862</v>
      </c>
      <c r="L14" s="60" t="b">
        <f aca="false">FALSE()</f>
        <v>0</v>
      </c>
      <c r="M14" s="60" t="s">
        <v>3862</v>
      </c>
      <c r="N14" s="60" t="n">
        <v>0</v>
      </c>
      <c r="O14" s="59" t="n">
        <v>0</v>
      </c>
      <c r="P14" s="60" t="s">
        <v>6201</v>
      </c>
      <c r="Q14" s="60" t="s">
        <v>6202</v>
      </c>
      <c r="R14" s="29"/>
      <c r="S14" s="29"/>
      <c r="T14" s="28"/>
      <c r="U14" s="62"/>
    </row>
    <row r="15" customFormat="false" ht="72" hidden="false" customHeight="true" outlineLevel="0" collapsed="false">
      <c r="A15" s="59" t="s">
        <v>6223</v>
      </c>
      <c r="B15" s="59" t="s">
        <v>5269</v>
      </c>
      <c r="C15" s="59" t="s">
        <v>6224</v>
      </c>
      <c r="D15" s="59" t="n">
        <v>2</v>
      </c>
      <c r="E15" s="60" t="n">
        <v>1</v>
      </c>
      <c r="F15" s="59" t="s">
        <v>6199</v>
      </c>
      <c r="G15" s="60" t="b">
        <f aca="false">FALSE()</f>
        <v>0</v>
      </c>
      <c r="H15" s="59" t="s">
        <v>6225</v>
      </c>
      <c r="I15" s="60" t="s">
        <v>3862</v>
      </c>
      <c r="J15" s="60" t="s">
        <v>3862</v>
      </c>
      <c r="K15" s="59" t="s">
        <v>3862</v>
      </c>
      <c r="L15" s="60" t="b">
        <f aca="false">FALSE()</f>
        <v>0</v>
      </c>
      <c r="M15" s="60" t="s">
        <v>3862</v>
      </c>
      <c r="N15" s="60" t="n">
        <v>0</v>
      </c>
      <c r="O15" s="59" t="n">
        <v>0</v>
      </c>
      <c r="P15" s="60" t="s">
        <v>6201</v>
      </c>
      <c r="Q15" s="60" t="s">
        <v>6202</v>
      </c>
      <c r="R15" s="60"/>
      <c r="S15" s="60"/>
      <c r="T15" s="59"/>
      <c r="U15" s="61"/>
    </row>
    <row r="16" customFormat="false" ht="72" hidden="false" customHeight="true" outlineLevel="0" collapsed="false">
      <c r="A16" s="59" t="s">
        <v>6226</v>
      </c>
      <c r="B16" s="59" t="s">
        <v>5304</v>
      </c>
      <c r="C16" s="59" t="s">
        <v>6227</v>
      </c>
      <c r="D16" s="59" t="n">
        <v>2</v>
      </c>
      <c r="E16" s="60" t="n">
        <v>1</v>
      </c>
      <c r="F16" s="59" t="s">
        <v>6199</v>
      </c>
      <c r="G16" s="60" t="b">
        <f aca="false">FALSE()</f>
        <v>0</v>
      </c>
      <c r="H16" s="59" t="s">
        <v>3862</v>
      </c>
      <c r="I16" s="60" t="s">
        <v>6228</v>
      </c>
      <c r="J16" s="60" t="s">
        <v>3862</v>
      </c>
      <c r="K16" s="59" t="s">
        <v>3862</v>
      </c>
      <c r="L16" s="60" t="b">
        <f aca="false">FALSE()</f>
        <v>0</v>
      </c>
      <c r="M16" s="60" t="s">
        <v>3862</v>
      </c>
      <c r="N16" s="60" t="n">
        <v>0</v>
      </c>
      <c r="O16" s="59" t="n">
        <v>0</v>
      </c>
      <c r="P16" s="60" t="s">
        <v>6201</v>
      </c>
      <c r="Q16" s="60" t="s">
        <v>6202</v>
      </c>
      <c r="R16" s="29"/>
      <c r="S16" s="29"/>
      <c r="T16" s="28"/>
      <c r="U16" s="62"/>
    </row>
    <row r="17" customFormat="false" ht="72" hidden="false" customHeight="true" outlineLevel="0" collapsed="false">
      <c r="A17" s="59" t="s">
        <v>6229</v>
      </c>
      <c r="B17" s="59" t="s">
        <v>5321</v>
      </c>
      <c r="C17" s="59" t="s">
        <v>6230</v>
      </c>
      <c r="D17" s="59" t="n">
        <v>2</v>
      </c>
      <c r="E17" s="60" t="n">
        <v>1</v>
      </c>
      <c r="F17" s="59" t="s">
        <v>6199</v>
      </c>
      <c r="G17" s="60" t="b">
        <f aca="false">FALSE()</f>
        <v>0</v>
      </c>
      <c r="H17" s="59" t="s">
        <v>3862</v>
      </c>
      <c r="I17" s="60" t="s">
        <v>3862</v>
      </c>
      <c r="J17" s="60" t="s">
        <v>6231</v>
      </c>
      <c r="K17" s="59" t="s">
        <v>3862</v>
      </c>
      <c r="L17" s="60" t="b">
        <f aca="false">FALSE()</f>
        <v>0</v>
      </c>
      <c r="M17" s="60" t="s">
        <v>3862</v>
      </c>
      <c r="N17" s="60" t="n">
        <v>0</v>
      </c>
      <c r="O17" s="59" t="n">
        <v>0</v>
      </c>
      <c r="P17" s="60" t="s">
        <v>6201</v>
      </c>
      <c r="Q17" s="60" t="s">
        <v>6202</v>
      </c>
      <c r="R17" s="60"/>
      <c r="S17" s="60"/>
      <c r="T17" s="59"/>
      <c r="U17" s="61"/>
    </row>
    <row r="18" customFormat="false" ht="72" hidden="false" customHeight="true" outlineLevel="0" collapsed="false">
      <c r="A18" s="59" t="s">
        <v>6232</v>
      </c>
      <c r="B18" s="59" t="s">
        <v>5358</v>
      </c>
      <c r="C18" s="59" t="s">
        <v>6233</v>
      </c>
      <c r="D18" s="59" t="n">
        <v>2</v>
      </c>
      <c r="E18" s="60" t="n">
        <v>1</v>
      </c>
      <c r="F18" s="59" t="s">
        <v>6199</v>
      </c>
      <c r="G18" s="60" t="b">
        <f aca="false">FALSE()</f>
        <v>0</v>
      </c>
      <c r="H18" s="59" t="s">
        <v>3862</v>
      </c>
      <c r="I18" s="60" t="s">
        <v>3862</v>
      </c>
      <c r="J18" s="60" t="s">
        <v>3862</v>
      </c>
      <c r="K18" s="59" t="s">
        <v>5637</v>
      </c>
      <c r="L18" s="60" t="b">
        <f aca="false">FALSE()</f>
        <v>0</v>
      </c>
      <c r="M18" s="60" t="s">
        <v>3862</v>
      </c>
      <c r="N18" s="60" t="n">
        <v>0</v>
      </c>
      <c r="O18" s="59" t="n">
        <v>0</v>
      </c>
      <c r="P18" s="60" t="s">
        <v>6201</v>
      </c>
      <c r="Q18" s="60" t="s">
        <v>6202</v>
      </c>
      <c r="R18" s="29"/>
      <c r="S18" s="29"/>
      <c r="T18" s="28"/>
      <c r="U18" s="62"/>
    </row>
    <row r="19" customFormat="false" ht="72" hidden="false" customHeight="true" outlineLevel="0" collapsed="false">
      <c r="A19" s="59" t="s">
        <v>6234</v>
      </c>
      <c r="B19" s="59" t="s">
        <v>5477</v>
      </c>
      <c r="C19" s="59" t="s">
        <v>6235</v>
      </c>
      <c r="D19" s="59" t="n">
        <v>2</v>
      </c>
      <c r="E19" s="60" t="n">
        <v>1</v>
      </c>
      <c r="F19" s="59" t="s">
        <v>6217</v>
      </c>
      <c r="G19" s="60" t="b">
        <f aca="false">FALSE()</f>
        <v>0</v>
      </c>
      <c r="H19" s="59" t="s">
        <v>3862</v>
      </c>
      <c r="I19" s="60" t="s">
        <v>3862</v>
      </c>
      <c r="J19" s="60" t="s">
        <v>3862</v>
      </c>
      <c r="K19" s="59" t="s">
        <v>3862</v>
      </c>
      <c r="L19" s="60" t="b">
        <f aca="false">FALSE()</f>
        <v>0</v>
      </c>
      <c r="M19" s="60" t="s">
        <v>3862</v>
      </c>
      <c r="N19" s="60" t="n">
        <v>75</v>
      </c>
      <c r="O19" s="59" t="n">
        <v>0</v>
      </c>
      <c r="P19" s="60" t="s">
        <v>6201</v>
      </c>
      <c r="Q19" s="60" t="s">
        <v>6202</v>
      </c>
      <c r="R19" s="60"/>
      <c r="S19" s="60"/>
      <c r="T19" s="59"/>
      <c r="U19" s="61"/>
    </row>
    <row r="20" customFormat="false" ht="72" hidden="false" customHeight="true" outlineLevel="0" collapsed="false">
      <c r="A20" s="59" t="s">
        <v>6236</v>
      </c>
      <c r="B20" s="59" t="s">
        <v>5486</v>
      </c>
      <c r="C20" s="59" t="s">
        <v>6237</v>
      </c>
      <c r="D20" s="59" t="n">
        <v>2</v>
      </c>
      <c r="E20" s="60" t="n">
        <v>1</v>
      </c>
      <c r="F20" s="59" t="s">
        <v>6217</v>
      </c>
      <c r="G20" s="60" t="b">
        <f aca="false">FALSE()</f>
        <v>0</v>
      </c>
      <c r="H20" s="59" t="s">
        <v>3862</v>
      </c>
      <c r="I20" s="60" t="s">
        <v>3862</v>
      </c>
      <c r="J20" s="60" t="s">
        <v>3862</v>
      </c>
      <c r="K20" s="59" t="s">
        <v>3862</v>
      </c>
      <c r="L20" s="60" t="b">
        <f aca="false">FALSE()</f>
        <v>0</v>
      </c>
      <c r="M20" s="60" t="s">
        <v>3862</v>
      </c>
      <c r="N20" s="60" t="n">
        <v>0</v>
      </c>
      <c r="O20" s="59" t="n">
        <v>15</v>
      </c>
      <c r="P20" s="60" t="s">
        <v>6201</v>
      </c>
      <c r="Q20" s="60" t="s">
        <v>6202</v>
      </c>
      <c r="R20" s="29"/>
      <c r="S20" s="29"/>
      <c r="T20" s="28"/>
      <c r="U20" s="62"/>
    </row>
    <row r="21" customFormat="false" ht="72" hidden="false" customHeight="true" outlineLevel="0" collapsed="false">
      <c r="A21" s="59" t="s">
        <v>6238</v>
      </c>
      <c r="B21" s="59" t="s">
        <v>5276</v>
      </c>
      <c r="C21" s="59" t="s">
        <v>6239</v>
      </c>
      <c r="D21" s="59" t="n">
        <v>2</v>
      </c>
      <c r="E21" s="60" t="n">
        <v>1</v>
      </c>
      <c r="F21" s="59" t="s">
        <v>6199</v>
      </c>
      <c r="G21" s="60" t="b">
        <f aca="false">FALSE()</f>
        <v>0</v>
      </c>
      <c r="H21" s="59" t="s">
        <v>6240</v>
      </c>
      <c r="I21" s="60" t="s">
        <v>3862</v>
      </c>
      <c r="J21" s="60" t="s">
        <v>3862</v>
      </c>
      <c r="K21" s="59" t="s">
        <v>3862</v>
      </c>
      <c r="L21" s="60" t="b">
        <f aca="false">FALSE()</f>
        <v>0</v>
      </c>
      <c r="M21" s="60" t="s">
        <v>3862</v>
      </c>
      <c r="N21" s="60" t="n">
        <v>0</v>
      </c>
      <c r="O21" s="59" t="n">
        <v>0</v>
      </c>
      <c r="P21" s="60" t="s">
        <v>6201</v>
      </c>
      <c r="Q21" s="60" t="s">
        <v>6202</v>
      </c>
      <c r="R21" s="60"/>
      <c r="S21" s="60"/>
      <c r="T21" s="59"/>
      <c r="U21" s="61"/>
    </row>
    <row r="22" customFormat="false" ht="72" hidden="false" customHeight="true" outlineLevel="0" collapsed="false">
      <c r="A22" s="59" t="s">
        <v>6241</v>
      </c>
      <c r="B22" s="59" t="s">
        <v>5285</v>
      </c>
      <c r="C22" s="59" t="s">
        <v>6242</v>
      </c>
      <c r="D22" s="59" t="n">
        <v>2</v>
      </c>
      <c r="E22" s="60" t="n">
        <v>2</v>
      </c>
      <c r="F22" s="59" t="s">
        <v>6199</v>
      </c>
      <c r="G22" s="60" t="b">
        <f aca="false">FALSE()</f>
        <v>0</v>
      </c>
      <c r="H22" s="59" t="s">
        <v>3862</v>
      </c>
      <c r="I22" s="60" t="s">
        <v>6243</v>
      </c>
      <c r="J22" s="60" t="s">
        <v>3862</v>
      </c>
      <c r="K22" s="59" t="s">
        <v>3862</v>
      </c>
      <c r="L22" s="60" t="b">
        <f aca="false">FALSE()</f>
        <v>0</v>
      </c>
      <c r="M22" s="60" t="s">
        <v>3862</v>
      </c>
      <c r="N22" s="60" t="n">
        <v>0</v>
      </c>
      <c r="O22" s="59" t="n">
        <v>0</v>
      </c>
      <c r="P22" s="60" t="s">
        <v>6201</v>
      </c>
      <c r="Q22" s="60" t="s">
        <v>6202</v>
      </c>
      <c r="R22" s="29"/>
      <c r="S22" s="29"/>
      <c r="T22" s="28"/>
      <c r="U22" s="62"/>
    </row>
    <row r="23" customFormat="false" ht="72" hidden="false" customHeight="true" outlineLevel="0" collapsed="false">
      <c r="A23" s="59" t="s">
        <v>6244</v>
      </c>
      <c r="B23" s="59" t="s">
        <v>5312</v>
      </c>
      <c r="C23" s="59" t="s">
        <v>6245</v>
      </c>
      <c r="D23" s="59" t="n">
        <v>2</v>
      </c>
      <c r="E23" s="60" t="n">
        <v>1</v>
      </c>
      <c r="F23" s="59" t="s">
        <v>6199</v>
      </c>
      <c r="G23" s="60" t="b">
        <f aca="false">FALSE()</f>
        <v>0</v>
      </c>
      <c r="H23" s="59" t="s">
        <v>3862</v>
      </c>
      <c r="I23" s="60" t="s">
        <v>6246</v>
      </c>
      <c r="J23" s="60" t="s">
        <v>3862</v>
      </c>
      <c r="K23" s="59" t="s">
        <v>3862</v>
      </c>
      <c r="L23" s="60" t="b">
        <f aca="false">FALSE()</f>
        <v>0</v>
      </c>
      <c r="M23" s="60" t="s">
        <v>3862</v>
      </c>
      <c r="N23" s="60" t="n">
        <v>0</v>
      </c>
      <c r="O23" s="59" t="n">
        <v>0</v>
      </c>
      <c r="P23" s="60" t="s">
        <v>6201</v>
      </c>
      <c r="Q23" s="60" t="s">
        <v>6202</v>
      </c>
      <c r="R23" s="60"/>
      <c r="S23" s="60"/>
      <c r="T23" s="59"/>
      <c r="U23" s="61"/>
    </row>
    <row r="24" customFormat="false" ht="72" hidden="false" customHeight="true" outlineLevel="0" collapsed="false">
      <c r="A24" s="59" t="s">
        <v>6247</v>
      </c>
      <c r="B24" s="59" t="s">
        <v>5329</v>
      </c>
      <c r="C24" s="59" t="s">
        <v>6248</v>
      </c>
      <c r="D24" s="59" t="n">
        <v>2</v>
      </c>
      <c r="E24" s="60" t="n">
        <v>1</v>
      </c>
      <c r="F24" s="59" t="s">
        <v>6199</v>
      </c>
      <c r="G24" s="60" t="b">
        <f aca="false">FALSE()</f>
        <v>0</v>
      </c>
      <c r="H24" s="59" t="s">
        <v>3862</v>
      </c>
      <c r="I24" s="60" t="s">
        <v>3862</v>
      </c>
      <c r="J24" s="60" t="s">
        <v>6249</v>
      </c>
      <c r="K24" s="59" t="s">
        <v>3862</v>
      </c>
      <c r="L24" s="60" t="b">
        <f aca="false">FALSE()</f>
        <v>0</v>
      </c>
      <c r="M24" s="60" t="s">
        <v>3862</v>
      </c>
      <c r="N24" s="60" t="n">
        <v>0</v>
      </c>
      <c r="O24" s="59" t="n">
        <v>0</v>
      </c>
      <c r="P24" s="60" t="s">
        <v>6201</v>
      </c>
      <c r="Q24" s="60" t="s">
        <v>6202</v>
      </c>
      <c r="R24" s="29"/>
      <c r="S24" s="29"/>
      <c r="T24" s="28"/>
      <c r="U24" s="62"/>
    </row>
    <row r="25" customFormat="false" ht="72" hidden="false" customHeight="true" outlineLevel="0" collapsed="false">
      <c r="A25" s="59" t="s">
        <v>6250</v>
      </c>
      <c r="B25" s="59" t="s">
        <v>5339</v>
      </c>
      <c r="C25" s="59" t="s">
        <v>6251</v>
      </c>
      <c r="D25" s="59" t="n">
        <v>2</v>
      </c>
      <c r="E25" s="60" t="n">
        <v>1</v>
      </c>
      <c r="F25" s="59" t="s">
        <v>6199</v>
      </c>
      <c r="G25" s="60" t="b">
        <f aca="false">FALSE()</f>
        <v>0</v>
      </c>
      <c r="H25" s="59" t="s">
        <v>3862</v>
      </c>
      <c r="I25" s="60" t="s">
        <v>3862</v>
      </c>
      <c r="J25" s="60" t="s">
        <v>6252</v>
      </c>
      <c r="K25" s="59" t="s">
        <v>3862</v>
      </c>
      <c r="L25" s="60" t="b">
        <f aca="false">FALSE()</f>
        <v>0</v>
      </c>
      <c r="M25" s="60" t="s">
        <v>3862</v>
      </c>
      <c r="N25" s="60" t="n">
        <v>0</v>
      </c>
      <c r="O25" s="59" t="n">
        <v>0</v>
      </c>
      <c r="P25" s="60" t="s">
        <v>6201</v>
      </c>
      <c r="Q25" s="60" t="s">
        <v>6202</v>
      </c>
      <c r="R25" s="60"/>
      <c r="S25" s="60"/>
      <c r="T25" s="59"/>
      <c r="U25" s="61"/>
    </row>
    <row r="26" customFormat="false" ht="72" hidden="false" customHeight="true" outlineLevel="0" collapsed="false">
      <c r="A26" s="59" t="s">
        <v>6253</v>
      </c>
      <c r="B26" s="59" t="s">
        <v>5375</v>
      </c>
      <c r="C26" s="59" t="s">
        <v>6254</v>
      </c>
      <c r="D26" s="59" t="n">
        <v>2</v>
      </c>
      <c r="E26" s="60" t="n">
        <v>1</v>
      </c>
      <c r="F26" s="59" t="s">
        <v>6199</v>
      </c>
      <c r="G26" s="60" t="b">
        <f aca="false">FALSE()</f>
        <v>0</v>
      </c>
      <c r="H26" s="59" t="s">
        <v>3862</v>
      </c>
      <c r="I26" s="60" t="s">
        <v>3862</v>
      </c>
      <c r="J26" s="60" t="s">
        <v>3862</v>
      </c>
      <c r="K26" s="59" t="s">
        <v>3862</v>
      </c>
      <c r="L26" s="60" t="b">
        <f aca="false">TRUE()</f>
        <v>1</v>
      </c>
      <c r="M26" s="60" t="s">
        <v>3862</v>
      </c>
      <c r="N26" s="60" t="n">
        <v>0</v>
      </c>
      <c r="O26" s="59" t="n">
        <v>0</v>
      </c>
      <c r="P26" s="60" t="s">
        <v>6201</v>
      </c>
      <c r="Q26" s="60" t="s">
        <v>6202</v>
      </c>
      <c r="R26" s="29"/>
      <c r="S26" s="29"/>
      <c r="T26" s="28"/>
      <c r="U26" s="62"/>
    </row>
    <row r="27" customFormat="false" ht="72" hidden="false" customHeight="true" outlineLevel="0" collapsed="false">
      <c r="A27" s="59" t="s">
        <v>6255</v>
      </c>
      <c r="B27" s="59" t="s">
        <v>5423</v>
      </c>
      <c r="C27" s="59" t="s">
        <v>6256</v>
      </c>
      <c r="D27" s="59" t="n">
        <v>2</v>
      </c>
      <c r="E27" s="60" t="n">
        <v>1</v>
      </c>
      <c r="F27" s="59" t="s">
        <v>6199</v>
      </c>
      <c r="G27" s="60" t="b">
        <f aca="false">FALSE()</f>
        <v>0</v>
      </c>
      <c r="H27" s="59" t="s">
        <v>3862</v>
      </c>
      <c r="I27" s="60" t="s">
        <v>3862</v>
      </c>
      <c r="J27" s="60" t="s">
        <v>3862</v>
      </c>
      <c r="K27" s="59" t="s">
        <v>3862</v>
      </c>
      <c r="L27" s="60" t="b">
        <f aca="false">FALSE()</f>
        <v>0</v>
      </c>
      <c r="M27" s="60" t="s">
        <v>6257</v>
      </c>
      <c r="N27" s="60" t="n">
        <v>0</v>
      </c>
      <c r="O27" s="59" t="n">
        <v>0</v>
      </c>
      <c r="P27" s="60" t="s">
        <v>6201</v>
      </c>
      <c r="Q27" s="60" t="s">
        <v>6202</v>
      </c>
      <c r="R27" s="60"/>
      <c r="S27" s="60"/>
      <c r="T27" s="59"/>
      <c r="U27" s="61"/>
    </row>
    <row r="28" customFormat="false" ht="72" hidden="false" customHeight="true" outlineLevel="0" collapsed="false">
      <c r="A28" s="28"/>
      <c r="B28" s="28"/>
      <c r="C28" s="28"/>
      <c r="D28" s="28"/>
      <c r="E28" s="29"/>
      <c r="F28" s="28"/>
      <c r="G28" s="29"/>
      <c r="H28" s="28"/>
      <c r="I28" s="29"/>
      <c r="J28" s="29"/>
      <c r="K28" s="28"/>
      <c r="L28" s="29"/>
      <c r="M28" s="29"/>
      <c r="N28" s="29"/>
      <c r="O28" s="28"/>
      <c r="P28" s="29"/>
      <c r="Q28" s="29"/>
      <c r="R28" s="29"/>
      <c r="S28" s="29"/>
      <c r="T28" s="28"/>
      <c r="U28" s="62"/>
    </row>
    <row r="29" customFormat="false" ht="72" hidden="false" customHeight="true" outlineLevel="0" collapsed="false">
      <c r="A29" s="59"/>
      <c r="B29" s="59"/>
      <c r="C29" s="59"/>
      <c r="D29" s="59"/>
      <c r="E29" s="60"/>
      <c r="F29" s="59"/>
      <c r="G29" s="60"/>
      <c r="H29" s="59"/>
      <c r="I29" s="60"/>
      <c r="J29" s="60"/>
      <c r="K29" s="59"/>
      <c r="L29" s="60"/>
      <c r="M29" s="60"/>
      <c r="N29" s="60"/>
      <c r="O29" s="59"/>
      <c r="P29" s="60"/>
      <c r="Q29" s="60"/>
      <c r="R29" s="60"/>
      <c r="S29" s="60"/>
      <c r="T29" s="59"/>
      <c r="U29" s="61"/>
    </row>
    <row r="30" customFormat="false" ht="72" hidden="false" customHeight="true" outlineLevel="0" collapsed="false">
      <c r="A30" s="28"/>
      <c r="B30" s="28"/>
      <c r="C30" s="28"/>
      <c r="D30" s="28"/>
      <c r="E30" s="29"/>
      <c r="F30" s="28"/>
      <c r="G30" s="29"/>
      <c r="H30" s="28"/>
      <c r="I30" s="29"/>
      <c r="J30" s="29"/>
      <c r="K30" s="28"/>
      <c r="L30" s="29"/>
      <c r="M30" s="29"/>
      <c r="N30" s="29"/>
      <c r="O30" s="28"/>
      <c r="P30" s="29"/>
      <c r="Q30" s="29"/>
      <c r="R30" s="29"/>
      <c r="S30" s="29"/>
      <c r="T30" s="28"/>
      <c r="U30" s="62"/>
    </row>
    <row r="31" customFormat="false" ht="72" hidden="false" customHeight="true" outlineLevel="0" collapsed="false">
      <c r="A31" s="59"/>
      <c r="B31" s="59"/>
      <c r="C31" s="59"/>
      <c r="D31" s="59"/>
      <c r="E31" s="60"/>
      <c r="F31" s="59"/>
      <c r="G31" s="60"/>
      <c r="H31" s="59"/>
      <c r="I31" s="60"/>
      <c r="J31" s="60"/>
      <c r="K31" s="59"/>
      <c r="L31" s="60"/>
      <c r="M31" s="60"/>
      <c r="N31" s="60"/>
      <c r="O31" s="59"/>
      <c r="P31" s="60"/>
      <c r="Q31" s="60"/>
      <c r="R31" s="60"/>
      <c r="S31" s="60"/>
      <c r="T31" s="59"/>
      <c r="U31" s="61"/>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mergeCells count="2">
    <mergeCell ref="A1:Q1"/>
    <mergeCell ref="A2:Q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4"/>
    <col collapsed="false" customWidth="true" hidden="false" outlineLevel="0" max="2" min="2" style="30" width="25"/>
    <col collapsed="false" customWidth="true" hidden="false" outlineLevel="0" max="3" min="3" style="30" width="30"/>
    <col collapsed="false" customWidth="true" hidden="false" outlineLevel="0" max="4" min="4" style="30" width="31"/>
    <col collapsed="false" customWidth="true" hidden="false" outlineLevel="0" max="5" min="5" style="30" width="34"/>
    <col collapsed="false" customWidth="true" hidden="false" outlineLevel="0" max="6" min="6" style="30" width="31"/>
    <col collapsed="false" customWidth="true" hidden="false" outlineLevel="0" max="7" min="7" style="30" width="20"/>
  </cols>
  <sheetData>
    <row r="1" customFormat="false" ht="17.25" hidden="false" customHeight="true" outlineLevel="0" collapsed="false">
      <c r="A1" s="63" t="s">
        <v>6258</v>
      </c>
      <c r="B1" s="63"/>
      <c r="C1" s="63"/>
      <c r="D1" s="63"/>
      <c r="E1" s="63"/>
      <c r="F1" s="63"/>
      <c r="G1" s="63"/>
    </row>
    <row r="2" customFormat="false" ht="15" hidden="false" customHeight="true" outlineLevel="0" collapsed="false">
      <c r="A2" s="74" t="s">
        <v>6259</v>
      </c>
      <c r="B2" s="74"/>
      <c r="C2" s="74"/>
      <c r="D2" s="74"/>
      <c r="E2" s="74"/>
      <c r="F2" s="74"/>
      <c r="G2" s="74"/>
    </row>
    <row r="3" customFormat="false" ht="15" hidden="false" customHeight="true" outlineLevel="0" collapsed="false">
      <c r="A3" s="65" t="s">
        <v>3789</v>
      </c>
      <c r="B3" s="65" t="s">
        <v>5693</v>
      </c>
      <c r="C3" s="65" t="s">
        <v>5694</v>
      </c>
      <c r="D3" s="65" t="s">
        <v>5007</v>
      </c>
      <c r="E3" s="65" t="s">
        <v>5009</v>
      </c>
      <c r="F3" s="65" t="s">
        <v>5695</v>
      </c>
      <c r="G3" s="65" t="s">
        <v>4</v>
      </c>
    </row>
    <row r="4" customFormat="false" ht="34.5" hidden="false" customHeight="true" outlineLevel="0" collapsed="false">
      <c r="A4" s="66" t="s">
        <v>6260</v>
      </c>
      <c r="B4" s="66" t="s">
        <v>6261</v>
      </c>
      <c r="C4" s="66" t="s">
        <v>5849</v>
      </c>
      <c r="D4" s="66" t="s">
        <v>6168</v>
      </c>
      <c r="E4" s="66" t="s">
        <v>6262</v>
      </c>
      <c r="F4" s="66" t="s">
        <v>6263</v>
      </c>
      <c r="G4" s="67" t="s">
        <v>3811</v>
      </c>
    </row>
    <row r="5" customFormat="false" ht="34.5" hidden="false" customHeight="true" outlineLevel="0" collapsed="false">
      <c r="A5" s="68" t="s">
        <v>6260</v>
      </c>
      <c r="B5" s="68" t="s">
        <v>6264</v>
      </c>
      <c r="C5" s="68" t="s">
        <v>5844</v>
      </c>
      <c r="D5" s="68" t="s">
        <v>6265</v>
      </c>
      <c r="E5" s="68" t="s">
        <v>6266</v>
      </c>
      <c r="F5" s="68" t="s">
        <v>6267</v>
      </c>
      <c r="G5" s="69" t="s">
        <v>3907</v>
      </c>
    </row>
    <row r="6" customFormat="false" ht="34.5" hidden="false" customHeight="true" outlineLevel="0" collapsed="false">
      <c r="A6" s="66" t="s">
        <v>6179</v>
      </c>
      <c r="B6" s="66" t="s">
        <v>6268</v>
      </c>
      <c r="C6" s="66" t="s">
        <v>6269</v>
      </c>
      <c r="D6" s="66" t="s">
        <v>6270</v>
      </c>
      <c r="E6" s="66" t="s">
        <v>6271</v>
      </c>
      <c r="F6" s="66" t="s">
        <v>6272</v>
      </c>
      <c r="G6" s="67" t="s">
        <v>6273</v>
      </c>
    </row>
    <row r="7" customFormat="false" ht="34.5" hidden="false" customHeight="true" outlineLevel="0" collapsed="false">
      <c r="A7" s="68" t="s">
        <v>6179</v>
      </c>
      <c r="B7" s="68" t="s">
        <v>6274</v>
      </c>
      <c r="C7" s="68" t="s">
        <v>6275</v>
      </c>
      <c r="D7" s="68" t="s">
        <v>6276</v>
      </c>
      <c r="E7" s="68" t="s">
        <v>6271</v>
      </c>
      <c r="F7" s="68" t="s">
        <v>6277</v>
      </c>
      <c r="G7" s="69" t="s">
        <v>6278</v>
      </c>
    </row>
    <row r="8" customFormat="false" ht="34.5" hidden="false" customHeight="true" outlineLevel="0" collapsed="false">
      <c r="A8" s="66" t="s">
        <v>6279</v>
      </c>
      <c r="B8" s="66" t="s">
        <v>6280</v>
      </c>
      <c r="C8" s="66" t="s">
        <v>6281</v>
      </c>
      <c r="D8" s="66" t="s">
        <v>6282</v>
      </c>
      <c r="E8" s="66" t="s">
        <v>6283</v>
      </c>
      <c r="F8" s="66" t="s">
        <v>6284</v>
      </c>
      <c r="G8" s="67" t="s">
        <v>4249</v>
      </c>
    </row>
    <row r="9" customFormat="false" ht="34.5" hidden="false" customHeight="true" outlineLevel="0" collapsed="false">
      <c r="A9" s="68" t="s">
        <v>6279</v>
      </c>
      <c r="B9" s="68" t="s">
        <v>5011</v>
      </c>
      <c r="C9" s="68" t="s">
        <v>6285</v>
      </c>
      <c r="D9" s="68" t="s">
        <v>6286</v>
      </c>
      <c r="E9" s="68" t="s">
        <v>6287</v>
      </c>
      <c r="F9" s="68" t="s">
        <v>6288</v>
      </c>
      <c r="G9" s="69" t="s">
        <v>4249</v>
      </c>
    </row>
    <row r="10" customFormat="false" ht="34.5" hidden="false" customHeight="true" outlineLevel="0" collapsed="false">
      <c r="A10" s="66" t="s">
        <v>1265</v>
      </c>
      <c r="B10" s="66" t="s">
        <v>6289</v>
      </c>
      <c r="C10" s="66" t="s">
        <v>6290</v>
      </c>
      <c r="D10" s="66" t="s">
        <v>6291</v>
      </c>
      <c r="E10" s="66" t="s">
        <v>6292</v>
      </c>
      <c r="F10" s="66" t="s">
        <v>6293</v>
      </c>
      <c r="G10" s="67" t="s">
        <v>4249</v>
      </c>
    </row>
    <row r="11" customFormat="false" ht="34.5" hidden="false" customHeight="true" outlineLevel="0" collapsed="false">
      <c r="A11" s="68" t="s">
        <v>3907</v>
      </c>
      <c r="B11" s="68" t="s">
        <v>6294</v>
      </c>
      <c r="C11" s="68" t="s">
        <v>6295</v>
      </c>
      <c r="D11" s="68" t="s">
        <v>6296</v>
      </c>
      <c r="E11" s="68" t="s">
        <v>6297</v>
      </c>
      <c r="F11" s="68" t="s">
        <v>6298</v>
      </c>
      <c r="G11" s="69" t="s">
        <v>6299</v>
      </c>
    </row>
    <row r="12" customFormat="false" ht="34.5" hidden="false" customHeight="true" outlineLevel="0" collapsed="false">
      <c r="A12" s="66" t="s">
        <v>5052</v>
      </c>
      <c r="B12" s="66" t="s">
        <v>6300</v>
      </c>
      <c r="C12" s="66" t="s">
        <v>6301</v>
      </c>
      <c r="D12" s="66" t="s">
        <v>6194</v>
      </c>
      <c r="E12" s="66" t="s">
        <v>6302</v>
      </c>
      <c r="F12" s="66" t="s">
        <v>6303</v>
      </c>
      <c r="G12" s="67" t="s">
        <v>6304</v>
      </c>
    </row>
    <row r="13" customFormat="false" ht="34.5" hidden="false" customHeight="true" outlineLevel="0" collapsed="false">
      <c r="A13" s="68" t="s">
        <v>5562</v>
      </c>
      <c r="B13" s="68" t="s">
        <v>6305</v>
      </c>
      <c r="C13" s="68" t="s">
        <v>6306</v>
      </c>
      <c r="D13" s="68" t="s">
        <v>6307</v>
      </c>
      <c r="E13" s="68" t="s">
        <v>6308</v>
      </c>
      <c r="F13" s="68" t="s">
        <v>6309</v>
      </c>
      <c r="G13" s="69" t="s">
        <v>4080</v>
      </c>
    </row>
    <row r="14" customFormat="false" ht="34.5" hidden="false" customHeight="true" outlineLevel="0" collapsed="false">
      <c r="A14" s="66" t="s">
        <v>4937</v>
      </c>
      <c r="B14" s="66" t="s">
        <v>6032</v>
      </c>
      <c r="C14" s="66" t="s">
        <v>6033</v>
      </c>
      <c r="D14" s="66" t="s">
        <v>6310</v>
      </c>
      <c r="E14" s="66" t="s">
        <v>6311</v>
      </c>
      <c r="F14" s="66" t="s">
        <v>6312</v>
      </c>
      <c r="G14" s="67" t="s">
        <v>6037</v>
      </c>
    </row>
    <row r="15" customFormat="false" ht="34.5" hidden="false" customHeight="true" outlineLevel="0" collapsed="false">
      <c r="A15" s="66" t="s">
        <v>4937</v>
      </c>
      <c r="B15" s="66" t="s">
        <v>6313</v>
      </c>
      <c r="C15" s="66" t="s">
        <v>6314</v>
      </c>
      <c r="D15" s="66" t="s">
        <v>6315</v>
      </c>
      <c r="E15" s="66" t="s">
        <v>6308</v>
      </c>
      <c r="F15" s="66" t="s">
        <v>6316</v>
      </c>
      <c r="G15" s="67" t="s">
        <v>6317</v>
      </c>
    </row>
    <row r="16" customFormat="false" ht="15" hidden="false" customHeight="true" outlineLevel="0" collapsed="false">
      <c r="A16" s="68" t="s">
        <v>5631</v>
      </c>
      <c r="B16" s="68" t="s">
        <v>6318</v>
      </c>
      <c r="C16" s="68" t="s">
        <v>4197</v>
      </c>
      <c r="D16" s="68" t="s">
        <v>6319</v>
      </c>
      <c r="E16" s="68" t="s">
        <v>5533</v>
      </c>
      <c r="F16" s="68" t="s">
        <v>6320</v>
      </c>
      <c r="G16" s="69" t="s">
        <v>5906</v>
      </c>
    </row>
    <row r="18" customFormat="false" ht="15.75" hidden="false" customHeight="true" outlineLevel="0" collapsed="false">
      <c r="A18" s="73"/>
      <c r="B18" s="73"/>
      <c r="C18" s="73"/>
      <c r="D18" s="73"/>
      <c r="E18" s="73"/>
      <c r="F18" s="73"/>
      <c r="G18" s="73"/>
    </row>
    <row r="19" customFormat="false" ht="15" hidden="false" customHeight="true" outlineLevel="0" collapsed="false">
      <c r="A19" s="65" t="s">
        <v>5758</v>
      </c>
      <c r="B19" s="65"/>
      <c r="C19" s="65"/>
      <c r="D19" s="65"/>
      <c r="E19" s="65"/>
      <c r="F19" s="65"/>
      <c r="G19" s="65"/>
    </row>
    <row r="20" customFormat="false" ht="30" hidden="false" customHeight="true" outlineLevel="0" collapsed="false">
      <c r="A20" s="65" t="s">
        <v>4186</v>
      </c>
      <c r="B20" s="65" t="s">
        <v>6321</v>
      </c>
      <c r="C20" s="65" t="s">
        <v>6322</v>
      </c>
      <c r="D20" s="65" t="s">
        <v>5218</v>
      </c>
      <c r="E20" s="65" t="s">
        <v>6323</v>
      </c>
      <c r="F20" s="65" t="s">
        <v>5761</v>
      </c>
      <c r="G20" s="65" t="s">
        <v>5762</v>
      </c>
    </row>
    <row r="21" customFormat="false" ht="30" hidden="false" customHeight="true" outlineLevel="0" collapsed="false">
      <c r="A21" s="68" t="s">
        <v>6324</v>
      </c>
      <c r="B21" s="69" t="n">
        <v>7</v>
      </c>
      <c r="C21" s="69"/>
      <c r="D21" s="69" t="n">
        <v>1</v>
      </c>
      <c r="E21" s="69" t="n">
        <v>3</v>
      </c>
      <c r="F21" s="69" t="n">
        <f aca="false">B21*B21*D21*E21</f>
        <v>147</v>
      </c>
      <c r="G21" s="68" t="s">
        <v>6325</v>
      </c>
    </row>
    <row r="22" customFormat="false" ht="30" hidden="false" customHeight="true" outlineLevel="0" collapsed="false">
      <c r="A22" s="66" t="s">
        <v>6326</v>
      </c>
      <c r="B22" s="67"/>
      <c r="C22" s="67" t="n">
        <v>14</v>
      </c>
      <c r="D22" s="67" t="n">
        <v>1</v>
      </c>
      <c r="E22" s="67" t="n">
        <v>3</v>
      </c>
      <c r="F22" s="67" t="n">
        <f aca="false">C22*C22*D22*E22</f>
        <v>588</v>
      </c>
      <c r="G22" s="66" t="s">
        <v>6327</v>
      </c>
    </row>
    <row r="23" customFormat="false" ht="30" hidden="false" customHeight="true" outlineLevel="0" collapsed="false">
      <c r="A23" s="68" t="s">
        <v>6328</v>
      </c>
      <c r="B23" s="69" t="n">
        <v>7</v>
      </c>
      <c r="C23" s="69" t="n">
        <v>14</v>
      </c>
      <c r="D23" s="69" t="n">
        <v>2</v>
      </c>
      <c r="E23" s="69" t="n">
        <v>3</v>
      </c>
      <c r="F23" s="69" t="n">
        <f aca="false">B23*C23*D23*E23</f>
        <v>588</v>
      </c>
      <c r="G23" s="68" t="s">
        <v>6329</v>
      </c>
    </row>
    <row r="24" customFormat="false" ht="30" hidden="false" customHeight="true" outlineLevel="0" collapsed="false">
      <c r="A24" s="66" t="s">
        <v>6330</v>
      </c>
      <c r="B24" s="67"/>
      <c r="C24" s="67"/>
      <c r="D24" s="67"/>
      <c r="E24" s="67"/>
      <c r="F24" s="67" t="n">
        <f aca="false">SUM(F21:F23)</f>
        <v>1323</v>
      </c>
      <c r="G24" s="66" t="s">
        <v>6331</v>
      </c>
    </row>
    <row r="25" customFormat="false" ht="30" hidden="false" customHeight="true" outlineLevel="0" collapsed="false">
      <c r="A25" s="68" t="s">
        <v>6332</v>
      </c>
      <c r="B25" s="69" t="n">
        <v>7</v>
      </c>
      <c r="C25" s="69" t="n">
        <v>14</v>
      </c>
      <c r="D25" s="69" t="n">
        <v>2</v>
      </c>
      <c r="E25" s="69" t="n">
        <v>3</v>
      </c>
      <c r="F25" s="69" t="n">
        <f aca="false">(B25+C25)*D25*E25</f>
        <v>126</v>
      </c>
      <c r="G25" s="68" t="s">
        <v>6333</v>
      </c>
    </row>
    <row r="26" customFormat="false" ht="30" hidden="false" customHeight="true" outlineLevel="0" collapsed="false">
      <c r="A26" s="66" t="s">
        <v>6334</v>
      </c>
      <c r="B26" s="67" t="n">
        <v>1</v>
      </c>
      <c r="C26" s="67" t="n">
        <v>1</v>
      </c>
      <c r="D26" s="67" t="n">
        <v>1</v>
      </c>
      <c r="E26" s="67" t="n">
        <v>3</v>
      </c>
      <c r="F26" s="67" t="n">
        <f aca="false">(B26+C26)*D26*E26</f>
        <v>6</v>
      </c>
      <c r="G26" s="66" t="s">
        <v>6335</v>
      </c>
    </row>
    <row r="27" customFormat="false" ht="27.75" hidden="false" customHeight="true" outlineLevel="0" collapsed="false">
      <c r="A27" s="68" t="s">
        <v>6336</v>
      </c>
      <c r="B27" s="69"/>
      <c r="C27" s="69"/>
      <c r="D27" s="69"/>
      <c r="E27" s="69"/>
      <c r="F27" s="69" t="n">
        <f aca="false">SUM(F25:F26)</f>
        <v>132</v>
      </c>
      <c r="G27" s="68" t="s">
        <v>6337</v>
      </c>
    </row>
    <row r="28" customFormat="false" ht="27.75" hidden="false" customHeight="true" outlineLevel="0" collapsed="false">
      <c r="A28" s="68" t="s">
        <v>6338</v>
      </c>
      <c r="B28" s="69"/>
      <c r="C28" s="69"/>
      <c r="D28" s="69"/>
      <c r="E28" s="69"/>
      <c r="F28" s="69" t="n">
        <f aca="false">F24+F27</f>
        <v>1455</v>
      </c>
      <c r="G28" s="68" t="s">
        <v>6339</v>
      </c>
    </row>
    <row r="29" customFormat="false" ht="27.75" hidden="false" customHeight="true" outlineLevel="0" collapsed="false">
      <c r="A29" s="66" t="s">
        <v>6057</v>
      </c>
      <c r="B29" s="67"/>
      <c r="C29" s="67"/>
      <c r="D29" s="67"/>
      <c r="E29" s="67"/>
      <c r="F29" s="67" t="n">
        <f aca="false">4558</f>
        <v>4558</v>
      </c>
      <c r="G29" s="66" t="s">
        <v>6340</v>
      </c>
    </row>
    <row r="30" customFormat="false" ht="27.75" hidden="false" customHeight="true" outlineLevel="0" collapsed="false">
      <c r="A30" s="68" t="s">
        <v>6341</v>
      </c>
      <c r="B30" s="69"/>
      <c r="C30" s="69"/>
      <c r="D30" s="69"/>
      <c r="E30" s="69"/>
      <c r="F30" s="69" t="n">
        <f aca="false">F28+F29</f>
        <v>6013</v>
      </c>
      <c r="G30" s="68" t="s">
        <v>6342</v>
      </c>
    </row>
    <row r="31" customFormat="false" ht="27.75" hidden="false" customHeight="true" outlineLevel="0" collapsed="false">
      <c r="A31" s="66" t="s">
        <v>6061</v>
      </c>
      <c r="B31" s="67"/>
      <c r="C31" s="67"/>
      <c r="D31" s="67"/>
      <c r="E31" s="67"/>
      <c r="F31" s="67" t="n">
        <f aca="false">F30*10000</f>
        <v>60130000</v>
      </c>
      <c r="G31" s="66" t="s">
        <v>6343</v>
      </c>
    </row>
  </sheetData>
  <mergeCells count="3">
    <mergeCell ref="A1:G1"/>
    <mergeCell ref="A2:G2"/>
    <mergeCell ref="A19:G1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18"/>
    <col collapsed="false" customWidth="true" hidden="false" outlineLevel="0" max="2" min="2" style="30" width="33"/>
    <col collapsed="false" customWidth="true" hidden="false" outlineLevel="0" max="3" min="3" style="30" width="31"/>
    <col collapsed="false" customWidth="true" hidden="false" outlineLevel="0" max="4" min="4" style="30" width="23"/>
    <col collapsed="false" customWidth="true" hidden="false" outlineLevel="0" max="5" min="5" style="30" width="9"/>
    <col collapsed="false" customWidth="true" hidden="false" outlineLevel="0" max="14" min="6" style="30" width="21"/>
  </cols>
  <sheetData>
    <row r="1" customFormat="false" ht="25.5" hidden="false" customHeight="true" outlineLevel="0" collapsed="false">
      <c r="A1" s="8" t="s">
        <v>6344</v>
      </c>
      <c r="B1" s="8"/>
      <c r="C1" s="8"/>
      <c r="D1" s="8"/>
      <c r="E1" s="8"/>
      <c r="F1" s="8"/>
      <c r="G1" s="8"/>
      <c r="H1" s="8"/>
      <c r="I1" s="8"/>
      <c r="J1" s="8"/>
      <c r="K1" s="8"/>
      <c r="L1" s="8"/>
      <c r="M1" s="8"/>
      <c r="N1" s="8"/>
    </row>
    <row r="2" customFormat="false" ht="31.5" hidden="false" customHeight="true" outlineLevel="0" collapsed="false">
      <c r="A2" s="9" t="s">
        <v>6345</v>
      </c>
      <c r="B2" s="9"/>
      <c r="C2" s="9"/>
      <c r="D2" s="9"/>
      <c r="E2" s="9"/>
      <c r="F2" s="9"/>
      <c r="G2" s="9"/>
      <c r="H2" s="9"/>
      <c r="I2" s="9"/>
      <c r="J2" s="9"/>
      <c r="K2" s="9"/>
      <c r="L2" s="9"/>
      <c r="M2" s="9"/>
      <c r="N2" s="9"/>
    </row>
    <row r="4" customFormat="false" ht="31.5" hidden="false" customHeight="true" outlineLevel="0" collapsed="false">
      <c r="A4" s="76" t="s">
        <v>6346</v>
      </c>
      <c r="B4" s="76" t="s">
        <v>6347</v>
      </c>
      <c r="C4" s="76" t="s">
        <v>6177</v>
      </c>
      <c r="D4" s="76" t="s">
        <v>6180</v>
      </c>
      <c r="E4" s="76" t="s">
        <v>6348</v>
      </c>
      <c r="F4" s="76" t="s">
        <v>6349</v>
      </c>
      <c r="G4" s="76" t="s">
        <v>6260</v>
      </c>
      <c r="H4" s="76" t="s">
        <v>6350</v>
      </c>
      <c r="I4" s="76" t="s">
        <v>6351</v>
      </c>
      <c r="J4" s="76" t="s">
        <v>6352</v>
      </c>
      <c r="K4" s="76" t="s">
        <v>6353</v>
      </c>
      <c r="L4" s="76" t="s">
        <v>6354</v>
      </c>
      <c r="M4" s="76" t="s">
        <v>6355</v>
      </c>
      <c r="N4" s="76" t="s">
        <v>6356</v>
      </c>
    </row>
    <row r="5" customFormat="false" ht="30" hidden="false" customHeight="true" outlineLevel="0" collapsed="false">
      <c r="A5" s="77" t="s">
        <v>6357</v>
      </c>
      <c r="B5" s="77" t="s">
        <v>5255</v>
      </c>
      <c r="C5" s="78" t="s">
        <v>5256</v>
      </c>
      <c r="D5" s="79" t="s">
        <v>5258</v>
      </c>
      <c r="E5" s="80" t="n">
        <v>1</v>
      </c>
      <c r="F5" s="81" t="s">
        <v>6358</v>
      </c>
      <c r="G5" s="81" t="s">
        <v>6359</v>
      </c>
      <c r="H5" s="81" t="s">
        <v>6360</v>
      </c>
      <c r="I5" s="82" t="s">
        <v>6361</v>
      </c>
      <c r="J5" s="82" t="s">
        <v>6362</v>
      </c>
      <c r="K5" s="82" t="s">
        <v>6363</v>
      </c>
      <c r="L5" s="83" t="s">
        <v>6361</v>
      </c>
      <c r="M5" s="83" t="s">
        <v>6364</v>
      </c>
      <c r="N5" s="83" t="s">
        <v>6365</v>
      </c>
    </row>
    <row r="6" customFormat="false" ht="36" hidden="false" customHeight="true" outlineLevel="0" collapsed="false">
      <c r="A6" s="77" t="s">
        <v>6357</v>
      </c>
      <c r="B6" s="77" t="s">
        <v>5276</v>
      </c>
      <c r="C6" s="78" t="s">
        <v>5277</v>
      </c>
      <c r="D6" s="79" t="s">
        <v>5258</v>
      </c>
      <c r="E6" s="80" t="n">
        <v>1</v>
      </c>
      <c r="F6" s="81" t="s">
        <v>6366</v>
      </c>
      <c r="G6" s="81" t="s">
        <v>6359</v>
      </c>
      <c r="H6" s="81" t="s">
        <v>6367</v>
      </c>
      <c r="I6" s="82" t="s">
        <v>6359</v>
      </c>
      <c r="J6" s="82" t="s">
        <v>6361</v>
      </c>
      <c r="K6" s="82" t="s">
        <v>6362</v>
      </c>
      <c r="L6" s="83" t="s">
        <v>6367</v>
      </c>
      <c r="M6" s="83" t="s">
        <v>6363</v>
      </c>
      <c r="N6" s="83" t="s">
        <v>6368</v>
      </c>
    </row>
    <row r="7" customFormat="false" ht="36" hidden="false" customHeight="true" outlineLevel="0" collapsed="false">
      <c r="A7" s="77" t="s">
        <v>6357</v>
      </c>
      <c r="B7" s="77" t="s">
        <v>5269</v>
      </c>
      <c r="C7" s="78" t="s">
        <v>5270</v>
      </c>
      <c r="D7" s="79" t="s">
        <v>5258</v>
      </c>
      <c r="E7" s="80" t="n">
        <v>1</v>
      </c>
      <c r="F7" s="81" t="s">
        <v>6369</v>
      </c>
      <c r="G7" s="81" t="s">
        <v>6370</v>
      </c>
      <c r="H7" s="81" t="s">
        <v>6371</v>
      </c>
      <c r="I7" s="82" t="s">
        <v>6372</v>
      </c>
      <c r="J7" s="82" t="s">
        <v>6373</v>
      </c>
      <c r="K7" s="82" t="s">
        <v>6361</v>
      </c>
      <c r="L7" s="83" t="s">
        <v>6374</v>
      </c>
      <c r="M7" s="83" t="s">
        <v>6375</v>
      </c>
      <c r="N7" s="83" t="s">
        <v>6376</v>
      </c>
    </row>
    <row r="8" customFormat="false" ht="15" hidden="false" customHeight="true" outlineLevel="0" collapsed="false">
      <c r="A8" s="77" t="s">
        <v>6377</v>
      </c>
      <c r="B8" s="77" t="s">
        <v>5294</v>
      </c>
      <c r="C8" s="78" t="s">
        <v>5295</v>
      </c>
      <c r="D8" s="79" t="s">
        <v>5258</v>
      </c>
      <c r="E8" s="80" t="n">
        <v>1</v>
      </c>
      <c r="F8" s="81" t="s">
        <v>6378</v>
      </c>
      <c r="G8" s="81" t="s">
        <v>3862</v>
      </c>
      <c r="H8" s="81" t="s">
        <v>6379</v>
      </c>
      <c r="I8" s="82" t="s">
        <v>3862</v>
      </c>
      <c r="J8" s="82" t="s">
        <v>6380</v>
      </c>
      <c r="K8" s="82" t="s">
        <v>3862</v>
      </c>
      <c r="L8" s="83" t="s">
        <v>6381</v>
      </c>
      <c r="M8" s="83" t="s">
        <v>3862</v>
      </c>
      <c r="N8" s="83" t="s">
        <v>6382</v>
      </c>
    </row>
    <row r="9" customFormat="false" ht="15" hidden="false" customHeight="true" outlineLevel="0" collapsed="false">
      <c r="A9" s="77" t="s">
        <v>6377</v>
      </c>
      <c r="B9" s="77" t="s">
        <v>5304</v>
      </c>
      <c r="C9" s="78" t="s">
        <v>4015</v>
      </c>
      <c r="D9" s="79" t="s">
        <v>5258</v>
      </c>
      <c r="E9" s="80" t="n">
        <v>1</v>
      </c>
      <c r="F9" s="81" t="s">
        <v>6383</v>
      </c>
      <c r="G9" s="81" t="s">
        <v>3862</v>
      </c>
      <c r="H9" s="81" t="s">
        <v>6384</v>
      </c>
      <c r="I9" s="82" t="s">
        <v>3862</v>
      </c>
      <c r="J9" s="82" t="s">
        <v>6385</v>
      </c>
      <c r="K9" s="82" t="s">
        <v>3862</v>
      </c>
      <c r="L9" s="83" t="s">
        <v>6386</v>
      </c>
      <c r="M9" s="83" t="s">
        <v>6375</v>
      </c>
      <c r="N9" s="83" t="s">
        <v>6387</v>
      </c>
    </row>
    <row r="10" customFormat="false" ht="23.25" hidden="false" customHeight="true" outlineLevel="0" collapsed="false">
      <c r="A10" s="77" t="s">
        <v>6377</v>
      </c>
      <c r="B10" s="77" t="s">
        <v>5312</v>
      </c>
      <c r="C10" s="78" t="s">
        <v>5313</v>
      </c>
      <c r="D10" s="79" t="s">
        <v>5258</v>
      </c>
      <c r="E10" s="80" t="n">
        <v>2</v>
      </c>
      <c r="F10" s="81" t="s">
        <v>6388</v>
      </c>
      <c r="G10" s="81" t="s">
        <v>6389</v>
      </c>
      <c r="H10" s="81" t="s">
        <v>6390</v>
      </c>
      <c r="I10" s="82" t="s">
        <v>3862</v>
      </c>
      <c r="J10" s="82" t="s">
        <v>6391</v>
      </c>
      <c r="K10" s="82" t="s">
        <v>3862</v>
      </c>
      <c r="L10" s="83" t="s">
        <v>6392</v>
      </c>
      <c r="M10" s="83" t="s">
        <v>3862</v>
      </c>
      <c r="N10" s="83" t="s">
        <v>6393</v>
      </c>
    </row>
    <row r="11" customFormat="false" ht="23.25" hidden="false" customHeight="true" outlineLevel="0" collapsed="false">
      <c r="A11" s="77" t="s">
        <v>6377</v>
      </c>
      <c r="B11" s="77" t="s">
        <v>5285</v>
      </c>
      <c r="C11" s="78" t="s">
        <v>4009</v>
      </c>
      <c r="D11" s="79" t="s">
        <v>5258</v>
      </c>
      <c r="E11" s="80" t="n">
        <v>3</v>
      </c>
      <c r="F11" s="81" t="s">
        <v>6388</v>
      </c>
      <c r="G11" s="81" t="s">
        <v>6388</v>
      </c>
      <c r="H11" s="81" t="s">
        <v>6394</v>
      </c>
      <c r="I11" s="82" t="s">
        <v>6395</v>
      </c>
      <c r="J11" s="82" t="s">
        <v>6396</v>
      </c>
      <c r="K11" s="82" t="s">
        <v>6397</v>
      </c>
      <c r="L11" s="83" t="s">
        <v>3862</v>
      </c>
      <c r="M11" s="83" t="s">
        <v>6398</v>
      </c>
      <c r="N11" s="83" t="s">
        <v>6399</v>
      </c>
    </row>
    <row r="12" customFormat="false" ht="23.25" hidden="false" customHeight="true" outlineLevel="0" collapsed="false">
      <c r="A12" s="77" t="s">
        <v>6400</v>
      </c>
      <c r="B12" s="77" t="s">
        <v>5321</v>
      </c>
      <c r="C12" s="78" t="s">
        <v>3963</v>
      </c>
      <c r="D12" s="79" t="s">
        <v>5258</v>
      </c>
      <c r="E12" s="80" t="n">
        <v>3</v>
      </c>
      <c r="F12" s="81" t="s">
        <v>6388</v>
      </c>
      <c r="G12" s="81" t="s">
        <v>6388</v>
      </c>
      <c r="H12" s="81" t="s">
        <v>6401</v>
      </c>
      <c r="I12" s="82" t="s">
        <v>3862</v>
      </c>
      <c r="J12" s="82" t="s">
        <v>6386</v>
      </c>
      <c r="K12" s="82" t="s">
        <v>3862</v>
      </c>
      <c r="L12" s="83" t="s">
        <v>6402</v>
      </c>
      <c r="M12" s="83" t="s">
        <v>3862</v>
      </c>
      <c r="N12" s="83" t="s">
        <v>6403</v>
      </c>
    </row>
    <row r="13" customFormat="false" ht="23.25" hidden="false" customHeight="true" outlineLevel="0" collapsed="false">
      <c r="A13" s="77" t="s">
        <v>6400</v>
      </c>
      <c r="B13" s="77" t="s">
        <v>5329</v>
      </c>
      <c r="C13" s="78" t="s">
        <v>5330</v>
      </c>
      <c r="D13" s="79" t="s">
        <v>5258</v>
      </c>
      <c r="E13" s="80" t="n">
        <v>3</v>
      </c>
      <c r="F13" s="81" t="s">
        <v>6388</v>
      </c>
      <c r="G13" s="81" t="s">
        <v>6388</v>
      </c>
      <c r="H13" s="81" t="s">
        <v>6404</v>
      </c>
      <c r="I13" s="82" t="s">
        <v>6405</v>
      </c>
      <c r="J13" s="82" t="s">
        <v>3862</v>
      </c>
      <c r="K13" s="82" t="s">
        <v>6406</v>
      </c>
      <c r="L13" s="83" t="s">
        <v>3862</v>
      </c>
      <c r="M13" s="83" t="s">
        <v>6407</v>
      </c>
      <c r="N13" s="83" t="s">
        <v>6408</v>
      </c>
    </row>
    <row r="14" customFormat="false" ht="15" hidden="false" customHeight="true" outlineLevel="0" collapsed="false">
      <c r="A14" s="77" t="s">
        <v>6400</v>
      </c>
      <c r="B14" s="77" t="s">
        <v>5339</v>
      </c>
      <c r="C14" s="78" t="s">
        <v>5340</v>
      </c>
      <c r="D14" s="79" t="s">
        <v>5258</v>
      </c>
      <c r="E14" s="80" t="n">
        <v>3</v>
      </c>
      <c r="F14" s="81" t="s">
        <v>6388</v>
      </c>
      <c r="G14" s="81" t="s">
        <v>6388</v>
      </c>
      <c r="H14" s="81" t="s">
        <v>6409</v>
      </c>
      <c r="I14" s="82" t="s">
        <v>3862</v>
      </c>
      <c r="J14" s="82" t="s">
        <v>6367</v>
      </c>
      <c r="K14" s="82" t="s">
        <v>3862</v>
      </c>
      <c r="L14" s="83" t="s">
        <v>6410</v>
      </c>
      <c r="M14" s="83" t="s">
        <v>3862</v>
      </c>
      <c r="N14" s="83" t="s">
        <v>6411</v>
      </c>
    </row>
    <row r="15" customFormat="false" ht="23.25" hidden="false" customHeight="true" outlineLevel="0" collapsed="false">
      <c r="A15" s="77" t="s">
        <v>6400</v>
      </c>
      <c r="B15" s="77" t="s">
        <v>5349</v>
      </c>
      <c r="C15" s="78" t="s">
        <v>3954</v>
      </c>
      <c r="D15" s="79" t="s">
        <v>5258</v>
      </c>
      <c r="E15" s="80" t="n">
        <v>4</v>
      </c>
      <c r="F15" s="81" t="s">
        <v>6388</v>
      </c>
      <c r="G15" s="81" t="s">
        <v>6388</v>
      </c>
      <c r="H15" s="81" t="s">
        <v>6388</v>
      </c>
      <c r="I15" s="82" t="s">
        <v>6412</v>
      </c>
      <c r="J15" s="82" t="s">
        <v>6367</v>
      </c>
      <c r="K15" s="82" t="s">
        <v>3862</v>
      </c>
      <c r="L15" s="83" t="s">
        <v>6413</v>
      </c>
      <c r="M15" s="83" t="s">
        <v>3862</v>
      </c>
      <c r="N15" s="83" t="s">
        <v>6414</v>
      </c>
    </row>
    <row r="16" customFormat="false" ht="23.25" hidden="false" customHeight="true" outlineLevel="0" collapsed="false">
      <c r="A16" s="77" t="s">
        <v>6415</v>
      </c>
      <c r="B16" s="77" t="s">
        <v>5358</v>
      </c>
      <c r="C16" s="78" t="s">
        <v>5359</v>
      </c>
      <c r="D16" s="79" t="s">
        <v>5258</v>
      </c>
      <c r="E16" s="80" t="n">
        <v>2</v>
      </c>
      <c r="F16" s="81" t="s">
        <v>6388</v>
      </c>
      <c r="G16" s="81" t="s">
        <v>6416</v>
      </c>
      <c r="H16" s="81" t="s">
        <v>6417</v>
      </c>
      <c r="I16" s="82" t="s">
        <v>3862</v>
      </c>
      <c r="J16" s="82" t="s">
        <v>6418</v>
      </c>
      <c r="K16" s="82" t="s">
        <v>3862</v>
      </c>
      <c r="L16" s="83" t="s">
        <v>6406</v>
      </c>
      <c r="M16" s="83" t="s">
        <v>3862</v>
      </c>
      <c r="N16" s="83" t="s">
        <v>6419</v>
      </c>
    </row>
    <row r="17" customFormat="false" ht="23.25" hidden="false" customHeight="true" outlineLevel="0" collapsed="false">
      <c r="A17" s="77" t="s">
        <v>6415</v>
      </c>
      <c r="B17" s="77" t="s">
        <v>5367</v>
      </c>
      <c r="C17" s="78" t="s">
        <v>5368</v>
      </c>
      <c r="D17" s="79" t="s">
        <v>5258</v>
      </c>
      <c r="E17" s="80" t="n">
        <v>4</v>
      </c>
      <c r="F17" s="81" t="s">
        <v>6388</v>
      </c>
      <c r="G17" s="81" t="s">
        <v>6388</v>
      </c>
      <c r="H17" s="81" t="s">
        <v>6388</v>
      </c>
      <c r="I17" s="82" t="s">
        <v>6420</v>
      </c>
      <c r="J17" s="82" t="s">
        <v>6367</v>
      </c>
      <c r="K17" s="82" t="s">
        <v>3862</v>
      </c>
      <c r="L17" s="83" t="s">
        <v>6413</v>
      </c>
      <c r="M17" s="83" t="s">
        <v>3862</v>
      </c>
      <c r="N17" s="83" t="s">
        <v>6421</v>
      </c>
    </row>
    <row r="18" customFormat="false" ht="23.25" hidden="false" customHeight="true" outlineLevel="0" collapsed="false">
      <c r="A18" s="77" t="s">
        <v>6422</v>
      </c>
      <c r="B18" s="77" t="s">
        <v>5375</v>
      </c>
      <c r="C18" s="78" t="s">
        <v>5376</v>
      </c>
      <c r="D18" s="79" t="s">
        <v>5258</v>
      </c>
      <c r="E18" s="80" t="n">
        <v>1</v>
      </c>
      <c r="F18" s="81" t="s">
        <v>6423</v>
      </c>
      <c r="G18" s="81" t="s">
        <v>3862</v>
      </c>
      <c r="H18" s="81" t="s">
        <v>6424</v>
      </c>
      <c r="I18" s="82" t="s">
        <v>6425</v>
      </c>
      <c r="J18" s="82" t="s">
        <v>3862</v>
      </c>
      <c r="K18" s="82" t="s">
        <v>6375</v>
      </c>
      <c r="L18" s="83" t="s">
        <v>3862</v>
      </c>
      <c r="M18" s="83" t="s">
        <v>6426</v>
      </c>
      <c r="N18" s="83" t="s">
        <v>6427</v>
      </c>
    </row>
    <row r="19" customFormat="false" ht="23.25" hidden="false" customHeight="true" outlineLevel="0" collapsed="false">
      <c r="A19" s="77" t="s">
        <v>6428</v>
      </c>
      <c r="B19" s="77" t="s">
        <v>5385</v>
      </c>
      <c r="C19" s="78" t="s">
        <v>5386</v>
      </c>
      <c r="D19" s="79" t="s">
        <v>5258</v>
      </c>
      <c r="E19" s="80" t="n">
        <v>1</v>
      </c>
      <c r="F19" s="81" t="s">
        <v>6429</v>
      </c>
      <c r="G19" s="81" t="s">
        <v>6430</v>
      </c>
      <c r="H19" s="81" t="s">
        <v>6367</v>
      </c>
      <c r="I19" s="82" t="s">
        <v>6431</v>
      </c>
      <c r="J19" s="82" t="s">
        <v>6432</v>
      </c>
      <c r="K19" s="82" t="s">
        <v>6433</v>
      </c>
      <c r="L19" s="83" t="s">
        <v>6434</v>
      </c>
      <c r="M19" s="83" t="s">
        <v>6435</v>
      </c>
      <c r="N19" s="83" t="s">
        <v>6436</v>
      </c>
    </row>
    <row r="20" customFormat="false" ht="23.25" hidden="false" customHeight="true" outlineLevel="0" collapsed="false">
      <c r="A20" s="77" t="s">
        <v>6428</v>
      </c>
      <c r="B20" s="77" t="s">
        <v>5394</v>
      </c>
      <c r="C20" s="78" t="s">
        <v>5395</v>
      </c>
      <c r="D20" s="79" t="s">
        <v>5258</v>
      </c>
      <c r="E20" s="80" t="n">
        <v>1</v>
      </c>
      <c r="F20" s="81" t="s">
        <v>6437</v>
      </c>
      <c r="G20" s="81" t="s">
        <v>6438</v>
      </c>
      <c r="H20" s="81" t="s">
        <v>6367</v>
      </c>
      <c r="I20" s="82" t="s">
        <v>6439</v>
      </c>
      <c r="J20" s="82" t="s">
        <v>3862</v>
      </c>
      <c r="K20" s="82" t="s">
        <v>6440</v>
      </c>
      <c r="L20" s="83" t="s">
        <v>6441</v>
      </c>
      <c r="M20" s="83" t="s">
        <v>6435</v>
      </c>
      <c r="N20" s="83" t="s">
        <v>6442</v>
      </c>
    </row>
    <row r="21" customFormat="false" ht="26.25" hidden="false" customHeight="true" outlineLevel="0" collapsed="false">
      <c r="A21" s="77" t="s">
        <v>6428</v>
      </c>
      <c r="B21" s="77" t="s">
        <v>5403</v>
      </c>
      <c r="C21" s="78" t="s">
        <v>5404</v>
      </c>
      <c r="D21" s="79" t="s">
        <v>5258</v>
      </c>
      <c r="E21" s="80" t="n">
        <v>1</v>
      </c>
      <c r="F21" s="81" t="s">
        <v>6443</v>
      </c>
      <c r="G21" s="81" t="s">
        <v>6438</v>
      </c>
      <c r="H21" s="81" t="s">
        <v>6367</v>
      </c>
      <c r="I21" s="82" t="s">
        <v>6430</v>
      </c>
      <c r="J21" s="82" t="s">
        <v>3862</v>
      </c>
      <c r="K21" s="82" t="s">
        <v>6440</v>
      </c>
      <c r="L21" s="83" t="s">
        <v>6441</v>
      </c>
      <c r="M21" s="83" t="s">
        <v>6435</v>
      </c>
      <c r="N21" s="83" t="s">
        <v>6444</v>
      </c>
    </row>
    <row r="22" customFormat="false" ht="15" hidden="false" customHeight="true" outlineLevel="0" collapsed="false">
      <c r="A22" s="77" t="s">
        <v>6428</v>
      </c>
      <c r="B22" s="77" t="s">
        <v>5493</v>
      </c>
      <c r="C22" s="78" t="s">
        <v>5494</v>
      </c>
      <c r="D22" s="79" t="s">
        <v>5258</v>
      </c>
      <c r="E22" s="80" t="n">
        <v>2</v>
      </c>
      <c r="F22" s="81" t="s">
        <v>6388</v>
      </c>
      <c r="G22" s="81" t="s">
        <v>6445</v>
      </c>
      <c r="H22" s="81" t="s">
        <v>6375</v>
      </c>
      <c r="I22" s="82" t="s">
        <v>6446</v>
      </c>
      <c r="J22" s="82" t="s">
        <v>6447</v>
      </c>
      <c r="K22" s="82" t="s">
        <v>6448</v>
      </c>
      <c r="L22" s="83" t="s">
        <v>6449</v>
      </c>
      <c r="M22" s="83" t="s">
        <v>6446</v>
      </c>
      <c r="N22" s="83" t="s">
        <v>6450</v>
      </c>
    </row>
    <row r="23" customFormat="false" ht="23.25" hidden="false" customHeight="true" outlineLevel="0" collapsed="false">
      <c r="A23" s="77" t="s">
        <v>6422</v>
      </c>
      <c r="B23" s="77" t="s">
        <v>5413</v>
      </c>
      <c r="C23" s="78" t="s">
        <v>5414</v>
      </c>
      <c r="D23" s="79" t="s">
        <v>5258</v>
      </c>
      <c r="E23" s="80" t="n">
        <v>4</v>
      </c>
      <c r="F23" s="81" t="s">
        <v>6388</v>
      </c>
      <c r="G23" s="81" t="s">
        <v>6388</v>
      </c>
      <c r="H23" s="81" t="s">
        <v>6388</v>
      </c>
      <c r="I23" s="82" t="s">
        <v>6451</v>
      </c>
      <c r="J23" s="82" t="s">
        <v>6367</v>
      </c>
      <c r="K23" s="82" t="s">
        <v>6452</v>
      </c>
      <c r="L23" s="83" t="s">
        <v>3862</v>
      </c>
      <c r="M23" s="83" t="s">
        <v>6453</v>
      </c>
      <c r="N23" s="83" t="s">
        <v>6454</v>
      </c>
    </row>
    <row r="24" customFormat="false" ht="15" hidden="false" customHeight="true" outlineLevel="0" collapsed="false">
      <c r="A24" s="77" t="s">
        <v>6455</v>
      </c>
      <c r="B24" s="77" t="s">
        <v>6456</v>
      </c>
      <c r="C24" s="78" t="s">
        <v>6457</v>
      </c>
      <c r="D24" s="79" t="s">
        <v>6458</v>
      </c>
      <c r="E24" s="80" t="n">
        <v>1</v>
      </c>
      <c r="F24" s="81" t="s">
        <v>6459</v>
      </c>
      <c r="G24" s="81" t="s">
        <v>6460</v>
      </c>
      <c r="H24" s="81" t="s">
        <v>6461</v>
      </c>
      <c r="I24" s="82" t="s">
        <v>6462</v>
      </c>
      <c r="J24" s="82" t="s">
        <v>4139</v>
      </c>
      <c r="K24" s="82" t="s">
        <v>4139</v>
      </c>
      <c r="L24" s="83" t="s">
        <v>4139</v>
      </c>
      <c r="M24" s="83" t="s">
        <v>4139</v>
      </c>
      <c r="N24" s="83" t="s">
        <v>4139</v>
      </c>
    </row>
    <row r="25" customFormat="false" ht="23.25" hidden="false" customHeight="true" outlineLevel="0" collapsed="false">
      <c r="A25" s="77" t="s">
        <v>6455</v>
      </c>
      <c r="B25" s="77" t="s">
        <v>5423</v>
      </c>
      <c r="C25" s="78" t="s">
        <v>5424</v>
      </c>
      <c r="D25" s="79" t="s">
        <v>5258</v>
      </c>
      <c r="E25" s="80" t="n">
        <v>4</v>
      </c>
      <c r="F25" s="81" t="s">
        <v>6388</v>
      </c>
      <c r="G25" s="81" t="s">
        <v>6388</v>
      </c>
      <c r="H25" s="81" t="s">
        <v>6388</v>
      </c>
      <c r="I25" s="82" t="s">
        <v>6463</v>
      </c>
      <c r="J25" s="82" t="s">
        <v>6464</v>
      </c>
      <c r="K25" s="82" t="s">
        <v>6465</v>
      </c>
      <c r="L25" s="83" t="s">
        <v>6466</v>
      </c>
      <c r="M25" s="83" t="s">
        <v>3862</v>
      </c>
      <c r="N25" s="83" t="s">
        <v>3862</v>
      </c>
    </row>
    <row r="26" customFormat="false" ht="15" hidden="false" customHeight="true" outlineLevel="0" collapsed="false">
      <c r="A26" s="77" t="s">
        <v>6455</v>
      </c>
      <c r="B26" s="77" t="s">
        <v>6467</v>
      </c>
      <c r="C26" s="78" t="s">
        <v>6468</v>
      </c>
      <c r="D26" s="79" t="s">
        <v>5258</v>
      </c>
      <c r="E26" s="80" t="n">
        <v>7</v>
      </c>
      <c r="F26" s="81" t="s">
        <v>6388</v>
      </c>
      <c r="G26" s="81" t="s">
        <v>6388</v>
      </c>
      <c r="H26" s="81" t="s">
        <v>6388</v>
      </c>
      <c r="I26" s="82" t="s">
        <v>6388</v>
      </c>
      <c r="J26" s="82" t="s">
        <v>6388</v>
      </c>
      <c r="K26" s="82" t="s">
        <v>6388</v>
      </c>
      <c r="L26" s="83" t="s">
        <v>6469</v>
      </c>
      <c r="M26" s="83" t="s">
        <v>6470</v>
      </c>
      <c r="N26" s="83" t="s">
        <v>6471</v>
      </c>
    </row>
    <row r="27" customFormat="false" ht="23.25" hidden="false" customHeight="true" outlineLevel="0" collapsed="false">
      <c r="A27" s="77" t="s">
        <v>6472</v>
      </c>
      <c r="B27" s="77" t="s">
        <v>5432</v>
      </c>
      <c r="C27" s="78" t="s">
        <v>5433</v>
      </c>
      <c r="D27" s="79" t="s">
        <v>5258</v>
      </c>
      <c r="E27" s="80" t="n">
        <v>3</v>
      </c>
      <c r="F27" s="81" t="s">
        <v>6388</v>
      </c>
      <c r="G27" s="81" t="s">
        <v>6388</v>
      </c>
      <c r="H27" s="81" t="s">
        <v>6473</v>
      </c>
      <c r="I27" s="82" t="s">
        <v>3862</v>
      </c>
      <c r="J27" s="82" t="s">
        <v>6474</v>
      </c>
      <c r="K27" s="82" t="s">
        <v>3862</v>
      </c>
      <c r="L27" s="83" t="s">
        <v>6475</v>
      </c>
      <c r="M27" s="83" t="s">
        <v>3862</v>
      </c>
      <c r="N27" s="83" t="s">
        <v>6476</v>
      </c>
    </row>
    <row r="28" customFormat="false" ht="15" hidden="false" customHeight="true" outlineLevel="0" collapsed="false">
      <c r="A28" s="77" t="s">
        <v>6472</v>
      </c>
      <c r="B28" s="77" t="s">
        <v>5441</v>
      </c>
      <c r="C28" s="78" t="s">
        <v>5442</v>
      </c>
      <c r="D28" s="79" t="s">
        <v>5258</v>
      </c>
      <c r="E28" s="80" t="n">
        <v>1</v>
      </c>
      <c r="F28" s="81" t="s">
        <v>6477</v>
      </c>
      <c r="G28" s="81" t="s">
        <v>3862</v>
      </c>
      <c r="H28" s="81" t="s">
        <v>6478</v>
      </c>
      <c r="I28" s="82" t="s">
        <v>3862</v>
      </c>
      <c r="J28" s="82" t="s">
        <v>6435</v>
      </c>
      <c r="K28" s="82" t="s">
        <v>3862</v>
      </c>
      <c r="L28" s="83" t="s">
        <v>6479</v>
      </c>
      <c r="M28" s="83" t="s">
        <v>3862</v>
      </c>
      <c r="N28" s="83" t="s">
        <v>6480</v>
      </c>
    </row>
    <row r="29" customFormat="false" ht="15" hidden="false" customHeight="true" outlineLevel="0" collapsed="false">
      <c r="A29" s="77" t="s">
        <v>6472</v>
      </c>
      <c r="B29" s="77" t="s">
        <v>5450</v>
      </c>
      <c r="C29" s="78" t="s">
        <v>5451</v>
      </c>
      <c r="D29" s="79" t="s">
        <v>5258</v>
      </c>
      <c r="E29" s="80" t="n">
        <v>1</v>
      </c>
      <c r="F29" s="81" t="s">
        <v>6481</v>
      </c>
      <c r="G29" s="81" t="s">
        <v>3862</v>
      </c>
      <c r="H29" s="81" t="s">
        <v>6482</v>
      </c>
      <c r="I29" s="82" t="s">
        <v>3862</v>
      </c>
      <c r="J29" s="82" t="s">
        <v>6435</v>
      </c>
      <c r="K29" s="82" t="s">
        <v>3862</v>
      </c>
      <c r="L29" s="83" t="s">
        <v>6483</v>
      </c>
      <c r="M29" s="83" t="s">
        <v>3862</v>
      </c>
      <c r="N29" s="83" t="s">
        <v>6484</v>
      </c>
    </row>
    <row r="30" customFormat="false" ht="15" hidden="false" customHeight="true" outlineLevel="0" collapsed="false">
      <c r="A30" s="77" t="s">
        <v>6472</v>
      </c>
      <c r="B30" s="77" t="s">
        <v>5459</v>
      </c>
      <c r="C30" s="78" t="s">
        <v>5460</v>
      </c>
      <c r="D30" s="79" t="s">
        <v>5258</v>
      </c>
      <c r="E30" s="80" t="n">
        <v>3</v>
      </c>
      <c r="F30" s="81" t="s">
        <v>6388</v>
      </c>
      <c r="G30" s="81" t="s">
        <v>6388</v>
      </c>
      <c r="H30" s="81" t="s">
        <v>6485</v>
      </c>
      <c r="I30" s="82" t="s">
        <v>6486</v>
      </c>
      <c r="J30" s="82" t="s">
        <v>3862</v>
      </c>
      <c r="K30" s="82" t="s">
        <v>6435</v>
      </c>
      <c r="L30" s="83" t="s">
        <v>3862</v>
      </c>
      <c r="M30" s="83" t="s">
        <v>6487</v>
      </c>
      <c r="N30" s="83" t="s">
        <v>6488</v>
      </c>
    </row>
    <row r="31" customFormat="false" ht="15" hidden="false" customHeight="true" outlineLevel="0" collapsed="false">
      <c r="A31" s="77" t="s">
        <v>6472</v>
      </c>
      <c r="B31" s="77" t="s">
        <v>5468</v>
      </c>
      <c r="C31" s="78" t="s">
        <v>5469</v>
      </c>
      <c r="D31" s="79" t="s">
        <v>5258</v>
      </c>
      <c r="E31" s="80" t="n">
        <v>1</v>
      </c>
      <c r="F31" s="81" t="s">
        <v>6489</v>
      </c>
      <c r="G31" s="81" t="s">
        <v>3862</v>
      </c>
      <c r="H31" s="81" t="s">
        <v>6406</v>
      </c>
      <c r="I31" s="82" t="s">
        <v>3862</v>
      </c>
      <c r="J31" s="82" t="s">
        <v>6490</v>
      </c>
      <c r="K31" s="82" t="s">
        <v>3862</v>
      </c>
      <c r="L31" s="83" t="s">
        <v>6491</v>
      </c>
      <c r="M31" s="83" t="s">
        <v>3862</v>
      </c>
      <c r="N31" s="83" t="s">
        <v>6492</v>
      </c>
    </row>
    <row r="32" customFormat="false" ht="15" hidden="false" customHeight="true" outlineLevel="0" collapsed="false">
      <c r="A32" s="77" t="s">
        <v>6472</v>
      </c>
      <c r="B32" s="77" t="s">
        <v>5477</v>
      </c>
      <c r="C32" s="78" t="s">
        <v>5478</v>
      </c>
      <c r="D32" s="79" t="s">
        <v>5258</v>
      </c>
      <c r="E32" s="80" t="n">
        <v>1</v>
      </c>
      <c r="F32" s="81" t="s">
        <v>6493</v>
      </c>
      <c r="G32" s="81" t="s">
        <v>3862</v>
      </c>
      <c r="H32" s="81" t="s">
        <v>6494</v>
      </c>
      <c r="I32" s="82" t="s">
        <v>3862</v>
      </c>
      <c r="J32" s="82" t="s">
        <v>6495</v>
      </c>
      <c r="K32" s="82" t="s">
        <v>3862</v>
      </c>
      <c r="L32" s="83" t="s">
        <v>6406</v>
      </c>
      <c r="M32" s="83" t="s">
        <v>3862</v>
      </c>
      <c r="N32" s="83" t="s">
        <v>6496</v>
      </c>
    </row>
    <row r="33" customFormat="false" ht="15" hidden="false" customHeight="true" outlineLevel="0" collapsed="false">
      <c r="A33" s="77" t="s">
        <v>6472</v>
      </c>
      <c r="B33" s="77" t="s">
        <v>5486</v>
      </c>
      <c r="C33" s="78" t="s">
        <v>5487</v>
      </c>
      <c r="D33" s="79" t="s">
        <v>5258</v>
      </c>
      <c r="E33" s="80" t="n">
        <v>1</v>
      </c>
      <c r="F33" s="81" t="s">
        <v>6497</v>
      </c>
      <c r="G33" s="81" t="s">
        <v>3862</v>
      </c>
      <c r="H33" s="81" t="s">
        <v>6494</v>
      </c>
      <c r="I33" s="82" t="s">
        <v>3862</v>
      </c>
      <c r="J33" s="82" t="s">
        <v>6495</v>
      </c>
      <c r="K33" s="82" t="s">
        <v>3862</v>
      </c>
      <c r="L33" s="83" t="s">
        <v>6406</v>
      </c>
      <c r="M33" s="83" t="s">
        <v>3862</v>
      </c>
      <c r="N33" s="83" t="s">
        <v>6498</v>
      </c>
    </row>
  </sheetData>
  <mergeCells count="2">
    <mergeCell ref="A1:N1"/>
    <mergeCell ref="A2:N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0"/>
    <col collapsed="false" customWidth="true" hidden="false" outlineLevel="0" max="2" min="2" style="30" width="34"/>
    <col collapsed="false" customWidth="true" hidden="false" outlineLevel="0" max="3" min="3" style="30" width="31"/>
    <col collapsed="false" customWidth="true" hidden="false" outlineLevel="0" max="4" min="4" style="30" width="9"/>
    <col collapsed="false" customWidth="true" hidden="false" outlineLevel="0" max="5" min="5" style="30" width="45"/>
    <col collapsed="false" customWidth="true" hidden="false" outlineLevel="0" max="6" min="6" style="30" width="35"/>
    <col collapsed="false" customWidth="true" hidden="false" outlineLevel="0" max="7" min="7" style="30" width="38"/>
    <col collapsed="false" customWidth="true" hidden="false" outlineLevel="0" max="8" min="8" style="30" width="48"/>
    <col collapsed="false" customWidth="true" hidden="false" outlineLevel="0" max="9" min="9" style="30" width="22"/>
  </cols>
  <sheetData>
    <row r="1" customFormat="false" ht="25.5" hidden="false" customHeight="true" outlineLevel="0" collapsed="false">
      <c r="A1" s="8" t="s">
        <v>6499</v>
      </c>
      <c r="B1" s="8"/>
      <c r="C1" s="8"/>
      <c r="D1" s="8"/>
      <c r="E1" s="8"/>
      <c r="F1" s="8"/>
      <c r="G1" s="8"/>
      <c r="H1" s="8"/>
      <c r="I1" s="8"/>
    </row>
    <row r="2" customFormat="false" ht="31.5" hidden="false" customHeight="true" outlineLevel="0" collapsed="false">
      <c r="A2" s="9" t="s">
        <v>6500</v>
      </c>
      <c r="B2" s="9"/>
      <c r="C2" s="9"/>
      <c r="D2" s="9"/>
      <c r="E2" s="9"/>
      <c r="F2" s="9"/>
      <c r="G2" s="9"/>
      <c r="H2" s="9"/>
      <c r="I2" s="9"/>
    </row>
    <row r="4" customFormat="false" ht="31.5" hidden="false" customHeight="true" outlineLevel="0" collapsed="false">
      <c r="A4" s="76" t="s">
        <v>6346</v>
      </c>
      <c r="B4" s="76" t="s">
        <v>6347</v>
      </c>
      <c r="C4" s="76" t="s">
        <v>6177</v>
      </c>
      <c r="D4" s="76" t="s">
        <v>6348</v>
      </c>
      <c r="E4" s="76" t="s">
        <v>1230</v>
      </c>
      <c r="F4" s="76" t="s">
        <v>6501</v>
      </c>
      <c r="G4" s="76" t="s">
        <v>6502</v>
      </c>
      <c r="H4" s="76" t="s">
        <v>6503</v>
      </c>
      <c r="I4" s="76" t="s">
        <v>4</v>
      </c>
    </row>
    <row r="5" customFormat="false" ht="26.25" hidden="false" customHeight="true" outlineLevel="0" collapsed="false">
      <c r="A5" s="77" t="s">
        <v>6357</v>
      </c>
      <c r="B5" s="77" t="s">
        <v>5255</v>
      </c>
      <c r="C5" s="78" t="s">
        <v>5256</v>
      </c>
      <c r="D5" s="80" t="n">
        <v>1</v>
      </c>
      <c r="E5" s="78" t="s">
        <v>6504</v>
      </c>
      <c r="F5" s="78" t="s">
        <v>6505</v>
      </c>
      <c r="G5" s="78" t="s">
        <v>6506</v>
      </c>
      <c r="H5" s="78" t="s">
        <v>6507</v>
      </c>
      <c r="I5" s="79" t="s">
        <v>6508</v>
      </c>
    </row>
    <row r="6" customFormat="false" ht="26.25" hidden="false" customHeight="true" outlineLevel="0" collapsed="false">
      <c r="A6" s="77" t="s">
        <v>6357</v>
      </c>
      <c r="B6" s="77" t="s">
        <v>5276</v>
      </c>
      <c r="C6" s="78" t="s">
        <v>5277</v>
      </c>
      <c r="D6" s="80" t="n">
        <v>1</v>
      </c>
      <c r="E6" s="78" t="s">
        <v>6509</v>
      </c>
      <c r="F6" s="78" t="s">
        <v>6510</v>
      </c>
      <c r="G6" s="78" t="s">
        <v>6511</v>
      </c>
      <c r="H6" s="78" t="s">
        <v>6512</v>
      </c>
      <c r="I6" s="79" t="s">
        <v>6508</v>
      </c>
    </row>
    <row r="7" customFormat="false" ht="39" hidden="false" customHeight="true" outlineLevel="0" collapsed="false">
      <c r="A7" s="77" t="s">
        <v>6357</v>
      </c>
      <c r="B7" s="77" t="s">
        <v>5269</v>
      </c>
      <c r="C7" s="78" t="s">
        <v>5270</v>
      </c>
      <c r="D7" s="80" t="n">
        <v>1</v>
      </c>
      <c r="E7" s="78" t="s">
        <v>6513</v>
      </c>
      <c r="F7" s="78" t="s">
        <v>6514</v>
      </c>
      <c r="G7" s="78" t="s">
        <v>6515</v>
      </c>
      <c r="H7" s="78" t="s">
        <v>6516</v>
      </c>
      <c r="I7" s="79" t="s">
        <v>6508</v>
      </c>
    </row>
    <row r="8" customFormat="false" ht="26.25" hidden="false" customHeight="true" outlineLevel="0" collapsed="false">
      <c r="A8" s="77" t="s">
        <v>6377</v>
      </c>
      <c r="B8" s="77" t="s">
        <v>5294</v>
      </c>
      <c r="C8" s="78" t="s">
        <v>5295</v>
      </c>
      <c r="D8" s="80" t="n">
        <v>1</v>
      </c>
      <c r="E8" s="78" t="s">
        <v>6517</v>
      </c>
      <c r="F8" s="78" t="s">
        <v>6518</v>
      </c>
      <c r="G8" s="78" t="s">
        <v>6519</v>
      </c>
      <c r="H8" s="78" t="s">
        <v>6520</v>
      </c>
      <c r="I8" s="79" t="s">
        <v>6521</v>
      </c>
    </row>
    <row r="9" customFormat="false" ht="26.25" hidden="false" customHeight="true" outlineLevel="0" collapsed="false">
      <c r="A9" s="77" t="s">
        <v>6377</v>
      </c>
      <c r="B9" s="77" t="s">
        <v>5304</v>
      </c>
      <c r="C9" s="78" t="s">
        <v>4015</v>
      </c>
      <c r="D9" s="80" t="n">
        <v>1</v>
      </c>
      <c r="E9" s="78" t="s">
        <v>6522</v>
      </c>
      <c r="F9" s="78" t="s">
        <v>6523</v>
      </c>
      <c r="G9" s="78" t="s">
        <v>6524</v>
      </c>
      <c r="H9" s="78" t="s">
        <v>6525</v>
      </c>
      <c r="I9" s="79" t="s">
        <v>6521</v>
      </c>
    </row>
    <row r="10" customFormat="false" ht="26.25" hidden="false" customHeight="true" outlineLevel="0" collapsed="false">
      <c r="A10" s="77" t="s">
        <v>6377</v>
      </c>
      <c r="B10" s="77" t="s">
        <v>5312</v>
      </c>
      <c r="C10" s="78" t="s">
        <v>5313</v>
      </c>
      <c r="D10" s="80" t="n">
        <v>2</v>
      </c>
      <c r="E10" s="78" t="s">
        <v>6526</v>
      </c>
      <c r="F10" s="78" t="s">
        <v>6527</v>
      </c>
      <c r="G10" s="78" t="s">
        <v>6528</v>
      </c>
      <c r="H10" s="78" t="s">
        <v>6529</v>
      </c>
      <c r="I10" s="79" t="s">
        <v>6521</v>
      </c>
    </row>
    <row r="11" customFormat="false" ht="26.25" hidden="false" customHeight="true" outlineLevel="0" collapsed="false">
      <c r="A11" s="77" t="s">
        <v>6377</v>
      </c>
      <c r="B11" s="77" t="s">
        <v>5285</v>
      </c>
      <c r="C11" s="78" t="s">
        <v>4009</v>
      </c>
      <c r="D11" s="80" t="n">
        <v>3</v>
      </c>
      <c r="E11" s="78" t="s">
        <v>6530</v>
      </c>
      <c r="F11" s="78" t="s">
        <v>1038</v>
      </c>
      <c r="G11" s="78" t="s">
        <v>6531</v>
      </c>
      <c r="H11" s="78" t="s">
        <v>6532</v>
      </c>
      <c r="I11" s="79" t="s">
        <v>6521</v>
      </c>
    </row>
    <row r="12" customFormat="false" ht="26.25" hidden="false" customHeight="true" outlineLevel="0" collapsed="false">
      <c r="A12" s="77" t="s">
        <v>6400</v>
      </c>
      <c r="B12" s="77" t="s">
        <v>5321</v>
      </c>
      <c r="C12" s="78" t="s">
        <v>3963</v>
      </c>
      <c r="D12" s="80" t="n">
        <v>3</v>
      </c>
      <c r="E12" s="78" t="s">
        <v>6533</v>
      </c>
      <c r="F12" s="78" t="s">
        <v>6534</v>
      </c>
      <c r="G12" s="78" t="s">
        <v>6535</v>
      </c>
      <c r="H12" s="78" t="s">
        <v>6536</v>
      </c>
      <c r="I12" s="79" t="s">
        <v>6521</v>
      </c>
    </row>
    <row r="13" customFormat="false" ht="26.25" hidden="false" customHeight="true" outlineLevel="0" collapsed="false">
      <c r="A13" s="77" t="s">
        <v>6400</v>
      </c>
      <c r="B13" s="77" t="s">
        <v>5329</v>
      </c>
      <c r="C13" s="78" t="s">
        <v>5330</v>
      </c>
      <c r="D13" s="80" t="n">
        <v>3</v>
      </c>
      <c r="E13" s="78" t="s">
        <v>6537</v>
      </c>
      <c r="F13" s="78" t="s">
        <v>6538</v>
      </c>
      <c r="G13" s="78" t="s">
        <v>6539</v>
      </c>
      <c r="H13" s="78" t="s">
        <v>6540</v>
      </c>
      <c r="I13" s="79" t="s">
        <v>6521</v>
      </c>
    </row>
    <row r="14" customFormat="false" ht="26.25" hidden="false" customHeight="true" outlineLevel="0" collapsed="false">
      <c r="A14" s="77" t="s">
        <v>6400</v>
      </c>
      <c r="B14" s="77" t="s">
        <v>5339</v>
      </c>
      <c r="C14" s="78" t="s">
        <v>5340</v>
      </c>
      <c r="D14" s="80" t="n">
        <v>3</v>
      </c>
      <c r="E14" s="78" t="s">
        <v>6541</v>
      </c>
      <c r="F14" s="78" t="s">
        <v>6542</v>
      </c>
      <c r="G14" s="78" t="s">
        <v>6543</v>
      </c>
      <c r="H14" s="78" t="s">
        <v>6544</v>
      </c>
      <c r="I14" s="79" t="s">
        <v>6521</v>
      </c>
    </row>
    <row r="15" customFormat="false" ht="26.25" hidden="false" customHeight="true" outlineLevel="0" collapsed="false">
      <c r="A15" s="77" t="s">
        <v>6400</v>
      </c>
      <c r="B15" s="77" t="s">
        <v>5349</v>
      </c>
      <c r="C15" s="78" t="s">
        <v>3954</v>
      </c>
      <c r="D15" s="80" t="n">
        <v>4</v>
      </c>
      <c r="E15" s="78" t="s">
        <v>6545</v>
      </c>
      <c r="F15" s="78" t="s">
        <v>6546</v>
      </c>
      <c r="G15" s="78" t="s">
        <v>6547</v>
      </c>
      <c r="H15" s="78" t="s">
        <v>6548</v>
      </c>
      <c r="I15" s="79" t="s">
        <v>6521</v>
      </c>
    </row>
    <row r="16" customFormat="false" ht="26.25" hidden="false" customHeight="true" outlineLevel="0" collapsed="false">
      <c r="A16" s="77" t="s">
        <v>6415</v>
      </c>
      <c r="B16" s="77" t="s">
        <v>5358</v>
      </c>
      <c r="C16" s="78" t="s">
        <v>5359</v>
      </c>
      <c r="D16" s="80" t="n">
        <v>2</v>
      </c>
      <c r="E16" s="78" t="s">
        <v>6549</v>
      </c>
      <c r="F16" s="78" t="s">
        <v>6550</v>
      </c>
      <c r="G16" s="78" t="s">
        <v>6551</v>
      </c>
      <c r="H16" s="78" t="s">
        <v>6552</v>
      </c>
      <c r="I16" s="79" t="s">
        <v>6521</v>
      </c>
    </row>
    <row r="17" customFormat="false" ht="39" hidden="false" customHeight="true" outlineLevel="0" collapsed="false">
      <c r="A17" s="77" t="s">
        <v>6415</v>
      </c>
      <c r="B17" s="77" t="s">
        <v>5367</v>
      </c>
      <c r="C17" s="78" t="s">
        <v>5368</v>
      </c>
      <c r="D17" s="80" t="n">
        <v>4</v>
      </c>
      <c r="E17" s="78" t="s">
        <v>6553</v>
      </c>
      <c r="F17" s="78" t="s">
        <v>6554</v>
      </c>
      <c r="G17" s="78" t="s">
        <v>6555</v>
      </c>
      <c r="H17" s="78" t="s">
        <v>6556</v>
      </c>
      <c r="I17" s="79" t="s">
        <v>6521</v>
      </c>
    </row>
    <row r="18" customFormat="false" ht="26.25" hidden="false" customHeight="true" outlineLevel="0" collapsed="false">
      <c r="A18" s="77" t="s">
        <v>6422</v>
      </c>
      <c r="B18" s="77" t="s">
        <v>5375</v>
      </c>
      <c r="C18" s="78" t="s">
        <v>5376</v>
      </c>
      <c r="D18" s="80" t="n">
        <v>1</v>
      </c>
      <c r="E18" s="78" t="s">
        <v>6557</v>
      </c>
      <c r="F18" s="78" t="s">
        <v>6558</v>
      </c>
      <c r="G18" s="78" t="s">
        <v>6559</v>
      </c>
      <c r="H18" s="78" t="s">
        <v>6560</v>
      </c>
      <c r="I18" s="79" t="s">
        <v>6521</v>
      </c>
    </row>
    <row r="19" customFormat="false" ht="26.25" hidden="false" customHeight="true" outlineLevel="0" collapsed="false">
      <c r="A19" s="77" t="s">
        <v>6428</v>
      </c>
      <c r="B19" s="77" t="s">
        <v>5385</v>
      </c>
      <c r="C19" s="78" t="s">
        <v>5386</v>
      </c>
      <c r="D19" s="80" t="n">
        <v>1</v>
      </c>
      <c r="E19" s="78" t="s">
        <v>6561</v>
      </c>
      <c r="F19" s="78" t="s">
        <v>6562</v>
      </c>
      <c r="G19" s="78" t="s">
        <v>6563</v>
      </c>
      <c r="H19" s="78" t="s">
        <v>6564</v>
      </c>
      <c r="I19" s="79" t="s">
        <v>6521</v>
      </c>
    </row>
    <row r="20" customFormat="false" ht="26.25" hidden="false" customHeight="true" outlineLevel="0" collapsed="false">
      <c r="A20" s="77" t="s">
        <v>6428</v>
      </c>
      <c r="B20" s="77" t="s">
        <v>5394</v>
      </c>
      <c r="C20" s="78" t="s">
        <v>5395</v>
      </c>
      <c r="D20" s="80" t="n">
        <v>1</v>
      </c>
      <c r="E20" s="78" t="s">
        <v>6565</v>
      </c>
      <c r="F20" s="78" t="s">
        <v>6566</v>
      </c>
      <c r="G20" s="78" t="s">
        <v>6567</v>
      </c>
      <c r="H20" s="78" t="s">
        <v>6568</v>
      </c>
      <c r="I20" s="79" t="s">
        <v>6521</v>
      </c>
    </row>
    <row r="21" customFormat="false" ht="26.25" hidden="false" customHeight="true" outlineLevel="0" collapsed="false">
      <c r="A21" s="77" t="s">
        <v>6428</v>
      </c>
      <c r="B21" s="77" t="s">
        <v>5403</v>
      </c>
      <c r="C21" s="78" t="s">
        <v>5404</v>
      </c>
      <c r="D21" s="80" t="n">
        <v>1</v>
      </c>
      <c r="E21" s="78" t="s">
        <v>6569</v>
      </c>
      <c r="F21" s="78" t="s">
        <v>6570</v>
      </c>
      <c r="G21" s="78" t="s">
        <v>6571</v>
      </c>
      <c r="H21" s="78" t="s">
        <v>6572</v>
      </c>
      <c r="I21" s="79" t="s">
        <v>6521</v>
      </c>
    </row>
    <row r="22" customFormat="false" ht="39" hidden="false" customHeight="true" outlineLevel="0" collapsed="false">
      <c r="A22" s="77" t="s">
        <v>6428</v>
      </c>
      <c r="B22" s="77" t="s">
        <v>5493</v>
      </c>
      <c r="C22" s="78" t="s">
        <v>5494</v>
      </c>
      <c r="D22" s="80" t="n">
        <v>2</v>
      </c>
      <c r="E22" s="78" t="s">
        <v>6573</v>
      </c>
      <c r="F22" s="78" t="s">
        <v>6574</v>
      </c>
      <c r="G22" s="78" t="s">
        <v>6575</v>
      </c>
      <c r="H22" s="78" t="s">
        <v>6576</v>
      </c>
      <c r="I22" s="79" t="s">
        <v>6521</v>
      </c>
    </row>
    <row r="23" customFormat="false" ht="26.25" hidden="false" customHeight="true" outlineLevel="0" collapsed="false">
      <c r="A23" s="77" t="s">
        <v>6422</v>
      </c>
      <c r="B23" s="77" t="s">
        <v>5413</v>
      </c>
      <c r="C23" s="78" t="s">
        <v>5414</v>
      </c>
      <c r="D23" s="80" t="n">
        <v>4</v>
      </c>
      <c r="E23" s="78" t="s">
        <v>6577</v>
      </c>
      <c r="F23" s="78" t="s">
        <v>6578</v>
      </c>
      <c r="G23" s="78" t="s">
        <v>6579</v>
      </c>
      <c r="H23" s="78" t="s">
        <v>6580</v>
      </c>
      <c r="I23" s="79" t="s">
        <v>6521</v>
      </c>
    </row>
    <row r="24" customFormat="false" ht="39" hidden="false" customHeight="true" outlineLevel="0" collapsed="false">
      <c r="A24" s="77" t="s">
        <v>6455</v>
      </c>
      <c r="B24" s="77" t="s">
        <v>6456</v>
      </c>
      <c r="C24" s="78" t="s">
        <v>6457</v>
      </c>
      <c r="D24" s="80" t="n">
        <v>1</v>
      </c>
      <c r="E24" s="78" t="s">
        <v>6581</v>
      </c>
      <c r="F24" s="78" t="s">
        <v>6582</v>
      </c>
      <c r="G24" s="78" t="s">
        <v>6583</v>
      </c>
      <c r="H24" s="78" t="s">
        <v>6584</v>
      </c>
      <c r="I24" s="79" t="s">
        <v>6521</v>
      </c>
    </row>
    <row r="25" customFormat="false" ht="39" hidden="false" customHeight="true" outlineLevel="0" collapsed="false">
      <c r="A25" s="77" t="s">
        <v>6455</v>
      </c>
      <c r="B25" s="77" t="s">
        <v>5423</v>
      </c>
      <c r="C25" s="78" t="s">
        <v>5424</v>
      </c>
      <c r="D25" s="80" t="n">
        <v>4</v>
      </c>
      <c r="E25" s="78" t="s">
        <v>6585</v>
      </c>
      <c r="F25" s="78" t="s">
        <v>6586</v>
      </c>
      <c r="G25" s="78" t="s">
        <v>6587</v>
      </c>
      <c r="H25" s="78" t="s">
        <v>6588</v>
      </c>
      <c r="I25" s="79" t="s">
        <v>6521</v>
      </c>
    </row>
    <row r="26" customFormat="false" ht="39" hidden="false" customHeight="true" outlineLevel="0" collapsed="false">
      <c r="A26" s="77" t="s">
        <v>6455</v>
      </c>
      <c r="B26" s="77" t="s">
        <v>6467</v>
      </c>
      <c r="C26" s="78" t="s">
        <v>6468</v>
      </c>
      <c r="D26" s="80" t="n">
        <v>7</v>
      </c>
      <c r="E26" s="78" t="s">
        <v>6589</v>
      </c>
      <c r="F26" s="78" t="s">
        <v>6590</v>
      </c>
      <c r="G26" s="78" t="s">
        <v>6591</v>
      </c>
      <c r="H26" s="78" t="s">
        <v>6592</v>
      </c>
      <c r="I26" s="79" t="s">
        <v>6593</v>
      </c>
    </row>
    <row r="27" customFormat="false" ht="26.25" hidden="false" customHeight="true" outlineLevel="0" collapsed="false">
      <c r="A27" s="77" t="s">
        <v>6472</v>
      </c>
      <c r="B27" s="77" t="s">
        <v>5432</v>
      </c>
      <c r="C27" s="78" t="s">
        <v>5433</v>
      </c>
      <c r="D27" s="80" t="n">
        <v>3</v>
      </c>
      <c r="E27" s="78" t="s">
        <v>6594</v>
      </c>
      <c r="F27" s="78" t="s">
        <v>6595</v>
      </c>
      <c r="G27" s="78" t="s">
        <v>6596</v>
      </c>
      <c r="H27" s="78" t="s">
        <v>6597</v>
      </c>
      <c r="I27" s="79" t="s">
        <v>6521</v>
      </c>
    </row>
    <row r="28" customFormat="false" ht="26.25" hidden="false" customHeight="true" outlineLevel="0" collapsed="false">
      <c r="A28" s="77" t="s">
        <v>6472</v>
      </c>
      <c r="B28" s="77" t="s">
        <v>5441</v>
      </c>
      <c r="C28" s="78" t="s">
        <v>5442</v>
      </c>
      <c r="D28" s="80" t="n">
        <v>1</v>
      </c>
      <c r="E28" s="78" t="s">
        <v>6598</v>
      </c>
      <c r="F28" s="78" t="s">
        <v>6599</v>
      </c>
      <c r="G28" s="78" t="s">
        <v>6600</v>
      </c>
      <c r="H28" s="78" t="s">
        <v>6601</v>
      </c>
      <c r="I28" s="79" t="s">
        <v>6521</v>
      </c>
    </row>
    <row r="29" customFormat="false" ht="26.25" hidden="false" customHeight="true" outlineLevel="0" collapsed="false">
      <c r="A29" s="77" t="s">
        <v>6472</v>
      </c>
      <c r="B29" s="77" t="s">
        <v>5450</v>
      </c>
      <c r="C29" s="78" t="s">
        <v>5451</v>
      </c>
      <c r="D29" s="80" t="n">
        <v>1</v>
      </c>
      <c r="E29" s="78" t="s">
        <v>6602</v>
      </c>
      <c r="F29" s="78" t="s">
        <v>6603</v>
      </c>
      <c r="G29" s="78" t="s">
        <v>6604</v>
      </c>
      <c r="H29" s="78" t="s">
        <v>6605</v>
      </c>
      <c r="I29" s="79" t="s">
        <v>6521</v>
      </c>
    </row>
    <row r="30" customFormat="false" ht="26.25" hidden="false" customHeight="true" outlineLevel="0" collapsed="false">
      <c r="A30" s="77" t="s">
        <v>6472</v>
      </c>
      <c r="B30" s="77" t="s">
        <v>5459</v>
      </c>
      <c r="C30" s="78" t="s">
        <v>5460</v>
      </c>
      <c r="D30" s="80" t="n">
        <v>3</v>
      </c>
      <c r="E30" s="78" t="s">
        <v>6606</v>
      </c>
      <c r="F30" s="78" t="s">
        <v>6607</v>
      </c>
      <c r="G30" s="78" t="s">
        <v>6608</v>
      </c>
      <c r="H30" s="78" t="s">
        <v>6609</v>
      </c>
      <c r="I30" s="79" t="s">
        <v>6521</v>
      </c>
    </row>
    <row r="31" customFormat="false" ht="26.25" hidden="false" customHeight="true" outlineLevel="0" collapsed="false">
      <c r="A31" s="77" t="s">
        <v>6472</v>
      </c>
      <c r="B31" s="77" t="s">
        <v>5468</v>
      </c>
      <c r="C31" s="78" t="s">
        <v>5469</v>
      </c>
      <c r="D31" s="80" t="n">
        <v>1</v>
      </c>
      <c r="E31" s="78" t="s">
        <v>6610</v>
      </c>
      <c r="F31" s="78" t="s">
        <v>6611</v>
      </c>
      <c r="G31" s="78" t="s">
        <v>6612</v>
      </c>
      <c r="H31" s="78" t="s">
        <v>6613</v>
      </c>
      <c r="I31" s="79" t="s">
        <v>6521</v>
      </c>
    </row>
    <row r="32" customFormat="false" ht="26.25" hidden="false" customHeight="true" outlineLevel="0" collapsed="false">
      <c r="A32" s="77" t="s">
        <v>6472</v>
      </c>
      <c r="B32" s="77" t="s">
        <v>5477</v>
      </c>
      <c r="C32" s="78" t="s">
        <v>5478</v>
      </c>
      <c r="D32" s="80" t="n">
        <v>1</v>
      </c>
      <c r="E32" s="78" t="s">
        <v>6614</v>
      </c>
      <c r="F32" s="78" t="s">
        <v>6615</v>
      </c>
      <c r="G32" s="78" t="s">
        <v>6616</v>
      </c>
      <c r="H32" s="78" t="s">
        <v>6617</v>
      </c>
      <c r="I32" s="79" t="s">
        <v>6521</v>
      </c>
    </row>
    <row r="33" customFormat="false" ht="26.25" hidden="false" customHeight="true" outlineLevel="0" collapsed="false">
      <c r="A33" s="77" t="s">
        <v>6472</v>
      </c>
      <c r="B33" s="77" t="s">
        <v>5486</v>
      </c>
      <c r="C33" s="78" t="s">
        <v>5487</v>
      </c>
      <c r="D33" s="80" t="n">
        <v>1</v>
      </c>
      <c r="E33" s="78" t="s">
        <v>6618</v>
      </c>
      <c r="F33" s="78" t="s">
        <v>6619</v>
      </c>
      <c r="G33" s="78" t="s">
        <v>6616</v>
      </c>
      <c r="H33" s="78" t="s">
        <v>6617</v>
      </c>
      <c r="I33" s="79" t="s">
        <v>6521</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4"/>
    <col collapsed="false" customWidth="true" hidden="false" outlineLevel="0" max="2" min="2" style="30" width="12"/>
    <col collapsed="false" customWidth="true" hidden="false" outlineLevel="0" max="3" min="3" style="30" width="90"/>
  </cols>
  <sheetData>
    <row r="1" customFormat="false" ht="25.5" hidden="false" customHeight="true" outlineLevel="0" collapsed="false">
      <c r="A1" s="8" t="s">
        <v>6620</v>
      </c>
      <c r="B1" s="8"/>
      <c r="C1" s="8"/>
    </row>
    <row r="2" customFormat="false" ht="31.5" hidden="false" customHeight="true" outlineLevel="0" collapsed="false">
      <c r="A2" s="9" t="s">
        <v>6621</v>
      </c>
      <c r="B2" s="9"/>
      <c r="C2" s="9"/>
    </row>
    <row r="4" customFormat="false" ht="31.5" hidden="false" customHeight="true" outlineLevel="0" collapsed="false">
      <c r="A4" s="76" t="s">
        <v>6346</v>
      </c>
      <c r="B4" s="76" t="s">
        <v>6622</v>
      </c>
      <c r="C4" s="76" t="s">
        <v>6623</v>
      </c>
    </row>
    <row r="5" customFormat="false" ht="27.75" hidden="false" customHeight="true" outlineLevel="0" collapsed="false">
      <c r="A5" s="84" t="s">
        <v>6357</v>
      </c>
      <c r="B5" s="85" t="n">
        <v>1</v>
      </c>
      <c r="C5" s="86" t="s">
        <v>6624</v>
      </c>
    </row>
    <row r="6" customFormat="false" ht="15" hidden="false" customHeight="true" outlineLevel="0" collapsed="false">
      <c r="A6" s="84" t="s">
        <v>6357</v>
      </c>
      <c r="B6" s="85" t="n">
        <v>2</v>
      </c>
      <c r="C6" s="86" t="s">
        <v>6625</v>
      </c>
    </row>
    <row r="7" customFormat="false" ht="15" hidden="false" customHeight="true" outlineLevel="0" collapsed="false">
      <c r="A7" s="84" t="s">
        <v>6357</v>
      </c>
      <c r="B7" s="85" t="n">
        <v>3</v>
      </c>
      <c r="C7" s="86" t="s">
        <v>6626</v>
      </c>
    </row>
    <row r="8" customFormat="false" ht="27.75" hidden="false" customHeight="true" outlineLevel="0" collapsed="false">
      <c r="A8" s="84" t="s">
        <v>6357</v>
      </c>
      <c r="B8" s="85" t="n">
        <v>4</v>
      </c>
      <c r="C8" s="86" t="s">
        <v>6627</v>
      </c>
    </row>
    <row r="9" customFormat="false" ht="15" hidden="false" customHeight="true" outlineLevel="0" collapsed="false">
      <c r="A9" s="84" t="s">
        <v>6377</v>
      </c>
      <c r="B9" s="85" t="n">
        <v>1</v>
      </c>
      <c r="C9" s="86" t="s">
        <v>6628</v>
      </c>
    </row>
    <row r="10" customFormat="false" ht="27.75" hidden="false" customHeight="true" outlineLevel="0" collapsed="false">
      <c r="A10" s="84" t="s">
        <v>6377</v>
      </c>
      <c r="B10" s="85" t="n">
        <v>2</v>
      </c>
      <c r="C10" s="86" t="s">
        <v>6629</v>
      </c>
    </row>
    <row r="11" customFormat="false" ht="15" hidden="false" customHeight="true" outlineLevel="0" collapsed="false">
      <c r="A11" s="84" t="s">
        <v>6377</v>
      </c>
      <c r="B11" s="85" t="n">
        <v>3</v>
      </c>
      <c r="C11" s="86" t="s">
        <v>6630</v>
      </c>
    </row>
    <row r="12" customFormat="false" ht="15" hidden="false" customHeight="true" outlineLevel="0" collapsed="false">
      <c r="A12" s="84" t="s">
        <v>6400</v>
      </c>
      <c r="B12" s="85" t="n">
        <v>1</v>
      </c>
      <c r="C12" s="86" t="s">
        <v>6631</v>
      </c>
    </row>
    <row r="13" customFormat="false" ht="15" hidden="false" customHeight="true" outlineLevel="0" collapsed="false">
      <c r="A13" s="84" t="s">
        <v>6400</v>
      </c>
      <c r="B13" s="85" t="n">
        <v>2</v>
      </c>
      <c r="C13" s="86" t="s">
        <v>6632</v>
      </c>
    </row>
    <row r="14" customFormat="false" ht="15" hidden="false" customHeight="true" outlineLevel="0" collapsed="false">
      <c r="A14" s="84" t="s">
        <v>6400</v>
      </c>
      <c r="B14" s="85" t="n">
        <v>3</v>
      </c>
      <c r="C14" s="86" t="s">
        <v>6633</v>
      </c>
    </row>
    <row r="15" customFormat="false" ht="27.75" hidden="false" customHeight="true" outlineLevel="0" collapsed="false">
      <c r="A15" s="84" t="s">
        <v>6415</v>
      </c>
      <c r="B15" s="85" t="n">
        <v>1</v>
      </c>
      <c r="C15" s="86" t="s">
        <v>6634</v>
      </c>
    </row>
    <row r="16" customFormat="false" ht="15" hidden="false" customHeight="true" outlineLevel="0" collapsed="false">
      <c r="A16" s="84" t="s">
        <v>6415</v>
      </c>
      <c r="B16" s="85" t="n">
        <v>2</v>
      </c>
      <c r="C16" s="86" t="s">
        <v>6635</v>
      </c>
    </row>
    <row r="17" customFormat="false" ht="27.75" hidden="false" customHeight="true" outlineLevel="0" collapsed="false">
      <c r="A17" s="84" t="s">
        <v>6422</v>
      </c>
      <c r="B17" s="85" t="n">
        <v>1</v>
      </c>
      <c r="C17" s="86" t="s">
        <v>6636</v>
      </c>
    </row>
    <row r="18" customFormat="false" ht="27.75" hidden="false" customHeight="true" outlineLevel="0" collapsed="false">
      <c r="A18" s="84" t="s">
        <v>6422</v>
      </c>
      <c r="B18" s="85" t="n">
        <v>2</v>
      </c>
      <c r="C18" s="86" t="s">
        <v>6637</v>
      </c>
    </row>
    <row r="19" customFormat="false" ht="27.75" hidden="false" customHeight="true" outlineLevel="0" collapsed="false">
      <c r="A19" s="84" t="s">
        <v>6428</v>
      </c>
      <c r="B19" s="85" t="n">
        <v>1</v>
      </c>
      <c r="C19" s="86" t="s">
        <v>6638</v>
      </c>
    </row>
    <row r="20" customFormat="false" ht="15" hidden="false" customHeight="true" outlineLevel="0" collapsed="false">
      <c r="A20" s="84" t="s">
        <v>6428</v>
      </c>
      <c r="B20" s="85" t="n">
        <v>2</v>
      </c>
      <c r="C20" s="86" t="s">
        <v>6639</v>
      </c>
    </row>
    <row r="21" customFormat="false" ht="27.75" hidden="false" customHeight="true" outlineLevel="0" collapsed="false">
      <c r="A21" s="84" t="s">
        <v>6428</v>
      </c>
      <c r="B21" s="85" t="n">
        <v>3</v>
      </c>
      <c r="C21" s="86" t="s">
        <v>6640</v>
      </c>
    </row>
    <row r="22" customFormat="false" ht="27.75" hidden="false" customHeight="true" outlineLevel="0" collapsed="false">
      <c r="A22" s="84" t="s">
        <v>6455</v>
      </c>
      <c r="B22" s="85" t="n">
        <v>1</v>
      </c>
      <c r="C22" s="86" t="s">
        <v>6641</v>
      </c>
    </row>
    <row r="23" customFormat="false" ht="15" hidden="false" customHeight="true" outlineLevel="0" collapsed="false">
      <c r="A23" s="84" t="s">
        <v>6455</v>
      </c>
      <c r="B23" s="85" t="n">
        <v>2</v>
      </c>
      <c r="C23" s="86" t="s">
        <v>6642</v>
      </c>
    </row>
    <row r="24" customFormat="false" ht="27.75" hidden="false" customHeight="true" outlineLevel="0" collapsed="false">
      <c r="A24" s="84" t="s">
        <v>6455</v>
      </c>
      <c r="B24" s="85" t="n">
        <v>3</v>
      </c>
      <c r="C24" s="86" t="s">
        <v>6643</v>
      </c>
    </row>
    <row r="25" customFormat="false" ht="15" hidden="false" customHeight="true" outlineLevel="0" collapsed="false">
      <c r="A25" s="84" t="s">
        <v>6455</v>
      </c>
      <c r="B25" s="85" t="n">
        <v>4</v>
      </c>
      <c r="C25" s="86" t="s">
        <v>6644</v>
      </c>
    </row>
    <row r="26" customFormat="false" ht="15" hidden="false" customHeight="true" outlineLevel="0" collapsed="false">
      <c r="A26" s="84" t="s">
        <v>6472</v>
      </c>
      <c r="B26" s="85" t="n">
        <v>1</v>
      </c>
      <c r="C26" s="86" t="s">
        <v>6645</v>
      </c>
    </row>
    <row r="27" customFormat="false" ht="27.75" hidden="false" customHeight="true" outlineLevel="0" collapsed="false">
      <c r="A27" s="84" t="s">
        <v>6472</v>
      </c>
      <c r="B27" s="85" t="n">
        <v>2</v>
      </c>
      <c r="C27" s="86" t="s">
        <v>6646</v>
      </c>
    </row>
  </sheetData>
  <mergeCells count="2">
    <mergeCell ref="A1:C1"/>
    <mergeCell ref="A2:C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35"/>
    <col collapsed="false" customWidth="true" hidden="false" outlineLevel="0" max="2" min="2" style="30" width="31"/>
    <col collapsed="false" customWidth="true" hidden="false" outlineLevel="0" max="4" min="3" style="30" width="12"/>
    <col collapsed="false" customWidth="true" hidden="false" outlineLevel="0" max="5" min="5" style="30" width="18"/>
    <col collapsed="false" customWidth="true" hidden="false" outlineLevel="0" max="6" min="6" style="30" width="22"/>
    <col collapsed="false" customWidth="true" hidden="false" outlineLevel="0" max="7" min="7" style="30" width="10"/>
    <col collapsed="false" customWidth="true" hidden="false" outlineLevel="0" max="8" min="8" style="30" width="24"/>
    <col collapsed="false" customWidth="true" hidden="false" outlineLevel="0" max="9" min="9" style="30" width="72"/>
  </cols>
  <sheetData>
    <row r="1" customFormat="false" ht="25.5" hidden="false" customHeight="true" outlineLevel="0" collapsed="false">
      <c r="A1" s="8" t="s">
        <v>6647</v>
      </c>
      <c r="B1" s="8"/>
      <c r="C1" s="8"/>
      <c r="D1" s="8"/>
      <c r="E1" s="8"/>
      <c r="F1" s="8"/>
      <c r="G1" s="8"/>
      <c r="H1" s="8"/>
      <c r="I1" s="8"/>
    </row>
    <row r="2" customFormat="false" ht="31.5" hidden="false" customHeight="true" outlineLevel="0" collapsed="false">
      <c r="A2" s="9" t="s">
        <v>6648</v>
      </c>
      <c r="B2" s="9"/>
      <c r="C2" s="9"/>
      <c r="D2" s="9"/>
      <c r="E2" s="9"/>
      <c r="F2" s="9"/>
      <c r="G2" s="9"/>
      <c r="H2" s="9"/>
      <c r="I2" s="9"/>
    </row>
    <row r="4" customFormat="false" ht="31.5" hidden="false" customHeight="true" outlineLevel="0" collapsed="false">
      <c r="A4" s="76" t="s">
        <v>6649</v>
      </c>
      <c r="B4" s="76" t="s">
        <v>6177</v>
      </c>
      <c r="C4" s="76" t="s">
        <v>6650</v>
      </c>
      <c r="D4" s="76" t="s">
        <v>6651</v>
      </c>
      <c r="E4" s="76" t="s">
        <v>6652</v>
      </c>
      <c r="F4" s="76" t="s">
        <v>6346</v>
      </c>
      <c r="G4" s="76" t="s">
        <v>6179</v>
      </c>
      <c r="H4" s="76" t="s">
        <v>4</v>
      </c>
      <c r="I4" s="76" t="s">
        <v>6653</v>
      </c>
    </row>
    <row r="5" customFormat="false" ht="45" hidden="false" customHeight="true" outlineLevel="0" collapsed="false">
      <c r="A5" s="77" t="s">
        <v>5255</v>
      </c>
      <c r="B5" s="78" t="s">
        <v>5256</v>
      </c>
      <c r="C5" s="80" t="n">
        <v>1</v>
      </c>
      <c r="D5" s="80" t="n">
        <v>1</v>
      </c>
      <c r="E5" s="80" t="s">
        <v>6654</v>
      </c>
      <c r="F5" s="77" t="s">
        <v>6357</v>
      </c>
      <c r="G5" s="87" t="n">
        <v>1</v>
      </c>
      <c r="H5" s="79" t="s">
        <v>6508</v>
      </c>
      <c r="I5" s="78" t="s">
        <v>6655</v>
      </c>
    </row>
    <row r="6" customFormat="false" ht="45" hidden="false" customHeight="true" outlineLevel="0" collapsed="false">
      <c r="A6" s="77" t="s">
        <v>5269</v>
      </c>
      <c r="B6" s="78" t="s">
        <v>5270</v>
      </c>
      <c r="C6" s="80" t="n">
        <v>3</v>
      </c>
      <c r="D6" s="80" t="n">
        <v>1</v>
      </c>
      <c r="E6" s="80" t="s">
        <v>6656</v>
      </c>
      <c r="F6" s="77" t="s">
        <v>6357</v>
      </c>
      <c r="G6" s="87" t="n">
        <v>1</v>
      </c>
      <c r="H6" s="79" t="s">
        <v>6508</v>
      </c>
      <c r="I6" s="78" t="s">
        <v>6657</v>
      </c>
    </row>
    <row r="7" customFormat="false" ht="45" hidden="false" customHeight="true" outlineLevel="0" collapsed="false">
      <c r="A7" s="77" t="s">
        <v>5276</v>
      </c>
      <c r="B7" s="78" t="s">
        <v>5277</v>
      </c>
      <c r="C7" s="80" t="n">
        <v>2</v>
      </c>
      <c r="D7" s="80" t="n">
        <v>1</v>
      </c>
      <c r="E7" s="80" t="s">
        <v>6656</v>
      </c>
      <c r="F7" s="77" t="s">
        <v>6357</v>
      </c>
      <c r="G7" s="87" t="n">
        <v>1</v>
      </c>
      <c r="H7" s="79" t="s">
        <v>6508</v>
      </c>
      <c r="I7" s="78" t="s">
        <v>6658</v>
      </c>
    </row>
    <row r="8" customFormat="false" ht="15" hidden="false" customHeight="true" outlineLevel="0" collapsed="false">
      <c r="A8" s="77" t="s">
        <v>5285</v>
      </c>
      <c r="B8" s="78" t="s">
        <v>4009</v>
      </c>
      <c r="C8" s="80" t="n">
        <v>2</v>
      </c>
      <c r="D8" s="80" t="n">
        <v>3</v>
      </c>
      <c r="E8" s="80" t="s">
        <v>6659</v>
      </c>
      <c r="F8" s="77" t="s">
        <v>6377</v>
      </c>
      <c r="G8" s="87" t="n">
        <v>2</v>
      </c>
      <c r="H8" s="79" t="s">
        <v>6521</v>
      </c>
      <c r="I8" s="78" t="s">
        <v>6660</v>
      </c>
    </row>
    <row r="9" customFormat="false" ht="26.25" hidden="false" customHeight="true" outlineLevel="0" collapsed="false">
      <c r="A9" s="77" t="s">
        <v>5294</v>
      </c>
      <c r="B9" s="78" t="s">
        <v>5295</v>
      </c>
      <c r="C9" s="80" t="n">
        <v>1</v>
      </c>
      <c r="D9" s="80" t="n">
        <v>1</v>
      </c>
      <c r="E9" s="80" t="s">
        <v>6654</v>
      </c>
      <c r="F9" s="77" t="s">
        <v>6377</v>
      </c>
      <c r="G9" s="87" t="n">
        <v>1</v>
      </c>
      <c r="H9" s="79" t="s">
        <v>6521</v>
      </c>
      <c r="I9" s="78" t="s">
        <v>6661</v>
      </c>
    </row>
    <row r="10" customFormat="false" ht="26.25" hidden="false" customHeight="true" outlineLevel="0" collapsed="false">
      <c r="A10" s="77" t="s">
        <v>5304</v>
      </c>
      <c r="B10" s="78" t="s">
        <v>4015</v>
      </c>
      <c r="C10" s="80" t="n">
        <v>1</v>
      </c>
      <c r="D10" s="80" t="n">
        <v>1</v>
      </c>
      <c r="E10" s="80" t="s">
        <v>6654</v>
      </c>
      <c r="F10" s="77" t="s">
        <v>6377</v>
      </c>
      <c r="G10" s="87" t="n">
        <v>1</v>
      </c>
      <c r="H10" s="79" t="s">
        <v>6662</v>
      </c>
      <c r="I10" s="78" t="s">
        <v>6663</v>
      </c>
    </row>
    <row r="11" customFormat="false" ht="26.25" hidden="false" customHeight="true" outlineLevel="0" collapsed="false">
      <c r="A11" s="77" t="s">
        <v>5312</v>
      </c>
      <c r="B11" s="78" t="s">
        <v>5313</v>
      </c>
      <c r="C11" s="80" t="n">
        <v>2</v>
      </c>
      <c r="D11" s="80" t="n">
        <v>2</v>
      </c>
      <c r="E11" s="80" t="s">
        <v>6654</v>
      </c>
      <c r="F11" s="77" t="s">
        <v>6377</v>
      </c>
      <c r="G11" s="87" t="n">
        <v>1</v>
      </c>
      <c r="H11" s="79" t="s">
        <v>6521</v>
      </c>
      <c r="I11" s="78" t="s">
        <v>6661</v>
      </c>
    </row>
    <row r="12" customFormat="false" ht="15" hidden="false" customHeight="true" outlineLevel="0" collapsed="false">
      <c r="A12" s="77" t="s">
        <v>5321</v>
      </c>
      <c r="B12" s="78" t="s">
        <v>3963</v>
      </c>
      <c r="C12" s="80" t="n">
        <v>1</v>
      </c>
      <c r="D12" s="80" t="n">
        <v>3</v>
      </c>
      <c r="E12" s="80" t="s">
        <v>6659</v>
      </c>
      <c r="F12" s="77" t="s">
        <v>6400</v>
      </c>
      <c r="G12" s="87" t="n">
        <v>1</v>
      </c>
      <c r="H12" s="79" t="s">
        <v>6521</v>
      </c>
      <c r="I12" s="78" t="s">
        <v>6664</v>
      </c>
    </row>
    <row r="13" customFormat="false" ht="15" hidden="false" customHeight="true" outlineLevel="0" collapsed="false">
      <c r="A13" s="77" t="s">
        <v>5329</v>
      </c>
      <c r="B13" s="78" t="s">
        <v>5330</v>
      </c>
      <c r="C13" s="80" t="n">
        <v>2</v>
      </c>
      <c r="D13" s="80" t="n">
        <v>3</v>
      </c>
      <c r="E13" s="80" t="s">
        <v>6659</v>
      </c>
      <c r="F13" s="77" t="s">
        <v>6400</v>
      </c>
      <c r="G13" s="87" t="n">
        <v>1</v>
      </c>
      <c r="H13" s="79" t="s">
        <v>6521</v>
      </c>
      <c r="I13" s="78" t="s">
        <v>6665</v>
      </c>
    </row>
    <row r="14" customFormat="false" ht="15" hidden="false" customHeight="true" outlineLevel="0" collapsed="false">
      <c r="A14" s="77" t="s">
        <v>5339</v>
      </c>
      <c r="B14" s="78" t="s">
        <v>5340</v>
      </c>
      <c r="C14" s="80" t="n">
        <v>2</v>
      </c>
      <c r="D14" s="80" t="n">
        <v>3</v>
      </c>
      <c r="E14" s="80" t="s">
        <v>6659</v>
      </c>
      <c r="F14" s="77" t="s">
        <v>6400</v>
      </c>
      <c r="G14" s="87" t="n">
        <v>1</v>
      </c>
      <c r="H14" s="79" t="s">
        <v>6521</v>
      </c>
      <c r="I14" s="78" t="s">
        <v>6666</v>
      </c>
    </row>
    <row r="15" customFormat="false" ht="15" hidden="false" customHeight="true" outlineLevel="0" collapsed="false">
      <c r="A15" s="77" t="s">
        <v>5349</v>
      </c>
      <c r="B15" s="78" t="s">
        <v>3954</v>
      </c>
      <c r="C15" s="80" t="n">
        <v>3</v>
      </c>
      <c r="D15" s="80" t="n">
        <v>4</v>
      </c>
      <c r="E15" s="80" t="s">
        <v>6659</v>
      </c>
      <c r="F15" s="77" t="s">
        <v>6400</v>
      </c>
      <c r="G15" s="87" t="n">
        <v>1</v>
      </c>
      <c r="H15" s="79" t="s">
        <v>6521</v>
      </c>
      <c r="I15" s="78" t="s">
        <v>6667</v>
      </c>
    </row>
    <row r="16" customFormat="false" ht="26.25" hidden="false" customHeight="true" outlineLevel="0" collapsed="false">
      <c r="A16" s="77" t="s">
        <v>5358</v>
      </c>
      <c r="B16" s="78" t="s">
        <v>5359</v>
      </c>
      <c r="C16" s="80" t="n">
        <v>1</v>
      </c>
      <c r="D16" s="80" t="n">
        <v>2</v>
      </c>
      <c r="E16" s="80" t="s">
        <v>6659</v>
      </c>
      <c r="F16" s="77" t="s">
        <v>6415</v>
      </c>
      <c r="G16" s="87" t="n">
        <v>1</v>
      </c>
      <c r="H16" s="79" t="s">
        <v>6668</v>
      </c>
      <c r="I16" s="78" t="s">
        <v>6669</v>
      </c>
    </row>
    <row r="17" customFormat="false" ht="26.25" hidden="false" customHeight="true" outlineLevel="0" collapsed="false">
      <c r="A17" s="77" t="s">
        <v>5367</v>
      </c>
      <c r="B17" s="78" t="s">
        <v>5368</v>
      </c>
      <c r="C17" s="80" t="n">
        <v>3</v>
      </c>
      <c r="D17" s="80" t="n">
        <v>4</v>
      </c>
      <c r="E17" s="80" t="s">
        <v>6659</v>
      </c>
      <c r="F17" s="77" t="s">
        <v>6415</v>
      </c>
      <c r="G17" s="87" t="n">
        <v>1</v>
      </c>
      <c r="H17" s="79" t="s">
        <v>6521</v>
      </c>
      <c r="I17" s="78" t="s">
        <v>6661</v>
      </c>
    </row>
    <row r="18" customFormat="false" ht="26.25" hidden="false" customHeight="true" outlineLevel="0" collapsed="false">
      <c r="A18" s="77" t="s">
        <v>5375</v>
      </c>
      <c r="B18" s="78" t="s">
        <v>5376</v>
      </c>
      <c r="C18" s="80" t="n">
        <v>2</v>
      </c>
      <c r="D18" s="80" t="n">
        <v>1</v>
      </c>
      <c r="E18" s="80" t="s">
        <v>6656</v>
      </c>
      <c r="F18" s="77" t="s">
        <v>6422</v>
      </c>
      <c r="G18" s="87" t="n">
        <v>1</v>
      </c>
      <c r="H18" s="79" t="s">
        <v>6521</v>
      </c>
      <c r="I18" s="78" t="s">
        <v>6670</v>
      </c>
    </row>
    <row r="19" customFormat="false" ht="26.25" hidden="false" customHeight="true" outlineLevel="0" collapsed="false">
      <c r="A19" s="77" t="s">
        <v>5385</v>
      </c>
      <c r="B19" s="78" t="s">
        <v>5386</v>
      </c>
      <c r="C19" s="80" t="n">
        <v>1</v>
      </c>
      <c r="D19" s="80" t="n">
        <v>1</v>
      </c>
      <c r="E19" s="80" t="s">
        <v>6654</v>
      </c>
      <c r="F19" s="77" t="s">
        <v>6428</v>
      </c>
      <c r="G19" s="87" t="n">
        <v>1</v>
      </c>
      <c r="H19" s="79" t="s">
        <v>6521</v>
      </c>
      <c r="I19" s="78" t="s">
        <v>6661</v>
      </c>
    </row>
    <row r="20" customFormat="false" ht="15" hidden="false" customHeight="true" outlineLevel="0" collapsed="false">
      <c r="A20" s="77" t="s">
        <v>5394</v>
      </c>
      <c r="B20" s="78" t="s">
        <v>5395</v>
      </c>
      <c r="C20" s="80" t="n">
        <v>2</v>
      </c>
      <c r="D20" s="80" t="n">
        <v>1</v>
      </c>
      <c r="E20" s="80" t="s">
        <v>6656</v>
      </c>
      <c r="F20" s="77" t="s">
        <v>6428</v>
      </c>
      <c r="G20" s="87" t="n">
        <v>1</v>
      </c>
      <c r="H20" s="79" t="s">
        <v>6521</v>
      </c>
      <c r="I20" s="78" t="s">
        <v>6671</v>
      </c>
    </row>
    <row r="21" customFormat="false" ht="26.25" hidden="false" customHeight="true" outlineLevel="0" collapsed="false">
      <c r="A21" s="77" t="s">
        <v>5403</v>
      </c>
      <c r="B21" s="78" t="s">
        <v>5404</v>
      </c>
      <c r="C21" s="80" t="n">
        <v>2</v>
      </c>
      <c r="D21" s="80" t="n">
        <v>1</v>
      </c>
      <c r="E21" s="80" t="s">
        <v>6656</v>
      </c>
      <c r="F21" s="77" t="s">
        <v>6428</v>
      </c>
      <c r="G21" s="87" t="n">
        <v>1</v>
      </c>
      <c r="H21" s="79" t="s">
        <v>6521</v>
      </c>
      <c r="I21" s="78" t="s">
        <v>6672</v>
      </c>
    </row>
    <row r="22" customFormat="false" ht="15" hidden="false" customHeight="true" outlineLevel="0" collapsed="false">
      <c r="A22" s="77" t="s">
        <v>5413</v>
      </c>
      <c r="B22" s="78" t="s">
        <v>5414</v>
      </c>
      <c r="C22" s="80" t="n">
        <v>3</v>
      </c>
      <c r="D22" s="80" t="n">
        <v>4</v>
      </c>
      <c r="E22" s="80" t="s">
        <v>6659</v>
      </c>
      <c r="F22" s="77" t="s">
        <v>6422</v>
      </c>
      <c r="G22" s="87" t="n">
        <v>2</v>
      </c>
      <c r="H22" s="79" t="s">
        <v>6521</v>
      </c>
      <c r="I22" s="78" t="s">
        <v>6673</v>
      </c>
    </row>
    <row r="23" customFormat="false" ht="15" hidden="false" customHeight="true" outlineLevel="0" collapsed="false">
      <c r="A23" s="77" t="s">
        <v>5423</v>
      </c>
      <c r="B23" s="78" t="s">
        <v>5424</v>
      </c>
      <c r="C23" s="80" t="n">
        <v>2</v>
      </c>
      <c r="D23" s="80" t="n">
        <v>4</v>
      </c>
      <c r="E23" s="80" t="s">
        <v>6659</v>
      </c>
      <c r="F23" s="77" t="s">
        <v>6455</v>
      </c>
      <c r="G23" s="87" t="n">
        <v>1</v>
      </c>
      <c r="H23" s="79" t="s">
        <v>6521</v>
      </c>
      <c r="I23" s="78" t="s">
        <v>6674</v>
      </c>
    </row>
    <row r="24" customFormat="false" ht="26.25" hidden="false" customHeight="true" outlineLevel="0" collapsed="false">
      <c r="A24" s="77" t="s">
        <v>5432</v>
      </c>
      <c r="B24" s="78" t="s">
        <v>5433</v>
      </c>
      <c r="C24" s="80" t="n">
        <v>3</v>
      </c>
      <c r="D24" s="80" t="n">
        <v>3</v>
      </c>
      <c r="E24" s="80" t="s">
        <v>6654</v>
      </c>
      <c r="F24" s="77" t="s">
        <v>6472</v>
      </c>
      <c r="G24" s="87" t="n">
        <v>2</v>
      </c>
      <c r="H24" s="79" t="s">
        <v>6521</v>
      </c>
      <c r="I24" s="78" t="s">
        <v>6661</v>
      </c>
    </row>
    <row r="25" customFormat="false" ht="26.25" hidden="false" customHeight="true" outlineLevel="0" collapsed="false">
      <c r="A25" s="77" t="s">
        <v>5441</v>
      </c>
      <c r="B25" s="78" t="s">
        <v>5442</v>
      </c>
      <c r="C25" s="80" t="n">
        <v>1</v>
      </c>
      <c r="D25" s="80" t="n">
        <v>1</v>
      </c>
      <c r="E25" s="80" t="s">
        <v>6654</v>
      </c>
      <c r="F25" s="77" t="s">
        <v>6472</v>
      </c>
      <c r="G25" s="87" t="n">
        <v>1</v>
      </c>
      <c r="H25" s="79" t="s">
        <v>6521</v>
      </c>
      <c r="I25" s="78" t="s">
        <v>6661</v>
      </c>
    </row>
    <row r="26" customFormat="false" ht="26.25" hidden="false" customHeight="true" outlineLevel="0" collapsed="false">
      <c r="A26" s="77" t="s">
        <v>5450</v>
      </c>
      <c r="B26" s="78" t="s">
        <v>5451</v>
      </c>
      <c r="C26" s="80" t="n">
        <v>1</v>
      </c>
      <c r="D26" s="80" t="n">
        <v>1</v>
      </c>
      <c r="E26" s="80" t="s">
        <v>6654</v>
      </c>
      <c r="F26" s="77" t="s">
        <v>6472</v>
      </c>
      <c r="G26" s="87" t="n">
        <v>1</v>
      </c>
      <c r="H26" s="79" t="s">
        <v>6521</v>
      </c>
      <c r="I26" s="78" t="s">
        <v>6661</v>
      </c>
    </row>
    <row r="27" customFormat="false" ht="15" hidden="false" customHeight="true" outlineLevel="0" collapsed="false">
      <c r="A27" s="77" t="s">
        <v>5459</v>
      </c>
      <c r="B27" s="78" t="s">
        <v>5460</v>
      </c>
      <c r="C27" s="80" t="n">
        <v>2</v>
      </c>
      <c r="D27" s="80" t="n">
        <v>3</v>
      </c>
      <c r="E27" s="80" t="s">
        <v>6659</v>
      </c>
      <c r="F27" s="77" t="s">
        <v>6472</v>
      </c>
      <c r="G27" s="87" t="n">
        <v>2</v>
      </c>
      <c r="H27" s="79" t="s">
        <v>6521</v>
      </c>
      <c r="I27" s="78" t="s">
        <v>6675</v>
      </c>
    </row>
    <row r="28" customFormat="false" ht="26.25" hidden="false" customHeight="true" outlineLevel="0" collapsed="false">
      <c r="A28" s="77" t="s">
        <v>5468</v>
      </c>
      <c r="B28" s="78" t="s">
        <v>5469</v>
      </c>
      <c r="C28" s="80" t="n">
        <v>1</v>
      </c>
      <c r="D28" s="80" t="n">
        <v>1</v>
      </c>
      <c r="E28" s="80" t="s">
        <v>6654</v>
      </c>
      <c r="F28" s="77" t="s">
        <v>6472</v>
      </c>
      <c r="G28" s="87" t="n">
        <v>1</v>
      </c>
      <c r="H28" s="79" t="s">
        <v>6521</v>
      </c>
      <c r="I28" s="78" t="s">
        <v>6661</v>
      </c>
    </row>
    <row r="29" customFormat="false" ht="26.25" hidden="false" customHeight="true" outlineLevel="0" collapsed="false">
      <c r="A29" s="77" t="s">
        <v>5477</v>
      </c>
      <c r="B29" s="78" t="s">
        <v>5478</v>
      </c>
      <c r="C29" s="80" t="n">
        <v>1</v>
      </c>
      <c r="D29" s="80" t="n">
        <v>1</v>
      </c>
      <c r="E29" s="80" t="s">
        <v>6654</v>
      </c>
      <c r="F29" s="77" t="s">
        <v>6472</v>
      </c>
      <c r="G29" s="87" t="n">
        <v>1</v>
      </c>
      <c r="H29" s="79" t="s">
        <v>6521</v>
      </c>
      <c r="I29" s="78" t="s">
        <v>6661</v>
      </c>
    </row>
    <row r="30" customFormat="false" ht="26.25" hidden="false" customHeight="true" outlineLevel="0" collapsed="false">
      <c r="A30" s="77" t="s">
        <v>5486</v>
      </c>
      <c r="B30" s="78" t="s">
        <v>5487</v>
      </c>
      <c r="C30" s="80" t="n">
        <v>1</v>
      </c>
      <c r="D30" s="80" t="n">
        <v>1</v>
      </c>
      <c r="E30" s="80" t="s">
        <v>6654</v>
      </c>
      <c r="F30" s="77" t="s">
        <v>6472</v>
      </c>
      <c r="G30" s="87" t="n">
        <v>1</v>
      </c>
      <c r="H30" s="79" t="s">
        <v>6521</v>
      </c>
      <c r="I30" s="78" t="s">
        <v>6661</v>
      </c>
    </row>
    <row r="31" customFormat="false" ht="26.25" hidden="false" customHeight="true" outlineLevel="0" collapsed="false">
      <c r="A31" s="77" t="s">
        <v>5493</v>
      </c>
      <c r="B31" s="78" t="s">
        <v>5494</v>
      </c>
      <c r="C31" s="80" t="n">
        <v>2</v>
      </c>
      <c r="D31" s="80" t="n">
        <v>2</v>
      </c>
      <c r="E31" s="80" t="s">
        <v>6654</v>
      </c>
      <c r="F31" s="77" t="s">
        <v>6428</v>
      </c>
      <c r="G31" s="87" t="n">
        <v>1</v>
      </c>
      <c r="H31" s="79" t="s">
        <v>6521</v>
      </c>
      <c r="I31" s="78" t="s">
        <v>6661</v>
      </c>
    </row>
    <row r="32" customFormat="false" ht="26.25" hidden="false" customHeight="true" outlineLevel="0" collapsed="false">
      <c r="A32" s="77" t="s">
        <v>6467</v>
      </c>
      <c r="B32" s="78" t="s">
        <v>6468</v>
      </c>
      <c r="C32" s="80"/>
      <c r="D32" s="80" t="n">
        <v>7</v>
      </c>
      <c r="E32" s="80" t="s">
        <v>6676</v>
      </c>
      <c r="F32" s="77" t="s">
        <v>6455</v>
      </c>
      <c r="G32" s="87"/>
      <c r="H32" s="79" t="s">
        <v>6593</v>
      </c>
      <c r="I32" s="78" t="s">
        <v>6677</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38"/>
    <col collapsed="false" customWidth="true" hidden="false" outlineLevel="0" max="2" min="2" style="30" width="8"/>
    <col collapsed="false" customWidth="true" hidden="false" outlineLevel="0" max="3" min="3" style="30" width="14"/>
    <col collapsed="false" customWidth="true" hidden="false" outlineLevel="0" max="4" min="4" style="30" width="36"/>
    <col collapsed="false" customWidth="true" hidden="false" outlineLevel="0" max="5" min="5" style="30" width="28"/>
    <col collapsed="false" customWidth="true" hidden="false" outlineLevel="0" max="6" min="6" style="30" width="48"/>
  </cols>
  <sheetData>
    <row r="1" customFormat="false" ht="25.5" hidden="false" customHeight="true" outlineLevel="0" collapsed="false">
      <c r="A1" s="8" t="s">
        <v>6678</v>
      </c>
      <c r="B1" s="8"/>
      <c r="C1" s="8"/>
      <c r="D1" s="8"/>
      <c r="E1" s="8"/>
      <c r="F1" s="8"/>
    </row>
    <row r="2" customFormat="false" ht="31.5" hidden="false" customHeight="true" outlineLevel="0" collapsed="false">
      <c r="A2" s="9" t="s">
        <v>6679</v>
      </c>
      <c r="B2" s="9"/>
      <c r="C2" s="9"/>
      <c r="D2" s="9"/>
      <c r="E2" s="9"/>
      <c r="F2" s="9"/>
    </row>
    <row r="4" customFormat="false" ht="31.5" hidden="false" customHeight="true" outlineLevel="0" collapsed="false">
      <c r="A4" s="76" t="s">
        <v>6680</v>
      </c>
      <c r="B4" s="76" t="s">
        <v>6178</v>
      </c>
      <c r="C4" s="76" t="s">
        <v>6181</v>
      </c>
      <c r="D4" s="76" t="s">
        <v>6681</v>
      </c>
      <c r="E4" s="76" t="s">
        <v>6682</v>
      </c>
      <c r="F4" s="76" t="s">
        <v>6683</v>
      </c>
    </row>
    <row r="5" customFormat="false" ht="15" hidden="false" customHeight="true" outlineLevel="0" collapsed="false">
      <c r="A5" s="88" t="s">
        <v>6190</v>
      </c>
      <c r="B5" s="89" t="n">
        <v>1</v>
      </c>
      <c r="C5" s="89" t="b">
        <f aca="false">TRUE()</f>
        <v>1</v>
      </c>
      <c r="D5" s="88"/>
      <c r="E5" s="89" t="s">
        <v>6684</v>
      </c>
      <c r="F5" s="88" t="s">
        <v>6685</v>
      </c>
    </row>
    <row r="6" customFormat="false" ht="15" hidden="false" customHeight="true" outlineLevel="0" collapsed="false">
      <c r="A6" s="88" t="s">
        <v>6195</v>
      </c>
      <c r="B6" s="89" t="n">
        <v>2</v>
      </c>
      <c r="C6" s="89" t="b">
        <f aca="false">TRUE()</f>
        <v>1</v>
      </c>
      <c r="D6" s="88"/>
      <c r="E6" s="89" t="s">
        <v>6684</v>
      </c>
      <c r="F6" s="88" t="s">
        <v>6685</v>
      </c>
    </row>
    <row r="7" customFormat="false" ht="15" hidden="false" customHeight="true" outlineLevel="0" collapsed="false">
      <c r="A7" s="77" t="s">
        <v>6197</v>
      </c>
      <c r="B7" s="87" t="n">
        <v>1</v>
      </c>
      <c r="C7" s="87" t="b">
        <f aca="false">FALSE()</f>
        <v>0</v>
      </c>
      <c r="D7" s="78" t="s">
        <v>5255</v>
      </c>
      <c r="E7" s="79" t="s">
        <v>6684</v>
      </c>
      <c r="F7" s="78" t="s">
        <v>6685</v>
      </c>
    </row>
    <row r="8" customFormat="false" ht="15" hidden="false" customHeight="true" outlineLevel="0" collapsed="false">
      <c r="A8" s="77" t="s">
        <v>6203</v>
      </c>
      <c r="B8" s="87" t="n">
        <v>1</v>
      </c>
      <c r="C8" s="87" t="b">
        <f aca="false">FALSE()</f>
        <v>0</v>
      </c>
      <c r="D8" s="78" t="s">
        <v>5269</v>
      </c>
      <c r="E8" s="79" t="s">
        <v>6684</v>
      </c>
      <c r="F8" s="78" t="s">
        <v>6685</v>
      </c>
    </row>
    <row r="9" customFormat="false" ht="15" hidden="false" customHeight="true" outlineLevel="0" collapsed="false">
      <c r="A9" s="77" t="s">
        <v>6206</v>
      </c>
      <c r="B9" s="87" t="n">
        <v>1</v>
      </c>
      <c r="C9" s="87" t="b">
        <f aca="false">FALSE()</f>
        <v>0</v>
      </c>
      <c r="D9" s="78" t="s">
        <v>5304</v>
      </c>
      <c r="E9" s="79" t="s">
        <v>6684</v>
      </c>
      <c r="F9" s="78" t="s">
        <v>6685</v>
      </c>
    </row>
    <row r="10" customFormat="false" ht="15" hidden="false" customHeight="true" outlineLevel="0" collapsed="false">
      <c r="A10" s="77" t="s">
        <v>6209</v>
      </c>
      <c r="B10" s="87" t="n">
        <v>1</v>
      </c>
      <c r="C10" s="87" t="b">
        <f aca="false">FALSE()</f>
        <v>0</v>
      </c>
      <c r="D10" s="78" t="s">
        <v>5321</v>
      </c>
      <c r="E10" s="79" t="s">
        <v>6684</v>
      </c>
      <c r="F10" s="78" t="s">
        <v>6685</v>
      </c>
    </row>
    <row r="11" customFormat="false" ht="15" hidden="false" customHeight="true" outlineLevel="0" collapsed="false">
      <c r="A11" s="77" t="s">
        <v>6212</v>
      </c>
      <c r="B11" s="87" t="n">
        <v>1</v>
      </c>
      <c r="C11" s="87" t="b">
        <f aca="false">FALSE()</f>
        <v>0</v>
      </c>
      <c r="D11" s="78" t="s">
        <v>5358</v>
      </c>
      <c r="E11" s="79" t="s">
        <v>6684</v>
      </c>
      <c r="F11" s="78" t="s">
        <v>6685</v>
      </c>
    </row>
    <row r="12" customFormat="false" ht="15" hidden="false" customHeight="true" outlineLevel="0" collapsed="false">
      <c r="A12" s="77" t="s">
        <v>6215</v>
      </c>
      <c r="B12" s="87" t="n">
        <v>1</v>
      </c>
      <c r="C12" s="87" t="b">
        <f aca="false">FALSE()</f>
        <v>0</v>
      </c>
      <c r="D12" s="78" t="s">
        <v>5477</v>
      </c>
      <c r="E12" s="79" t="s">
        <v>6684</v>
      </c>
      <c r="F12" s="78" t="s">
        <v>6685</v>
      </c>
    </row>
    <row r="13" customFormat="false" ht="15" hidden="false" customHeight="true" outlineLevel="0" collapsed="false">
      <c r="A13" s="77" t="s">
        <v>6218</v>
      </c>
      <c r="B13" s="87" t="n">
        <v>1</v>
      </c>
      <c r="C13" s="87" t="b">
        <f aca="false">FALSE()</f>
        <v>0</v>
      </c>
      <c r="D13" s="78" t="s">
        <v>5486</v>
      </c>
      <c r="E13" s="79" t="s">
        <v>6684</v>
      </c>
      <c r="F13" s="78" t="s">
        <v>6685</v>
      </c>
    </row>
    <row r="14" customFormat="false" ht="15" hidden="false" customHeight="true" outlineLevel="0" collapsed="false">
      <c r="A14" s="77" t="s">
        <v>6220</v>
      </c>
      <c r="B14" s="87" t="n">
        <v>2</v>
      </c>
      <c r="C14" s="87" t="b">
        <f aca="false">FALSE()</f>
        <v>0</v>
      </c>
      <c r="D14" s="78" t="s">
        <v>5255</v>
      </c>
      <c r="E14" s="79" t="s">
        <v>6684</v>
      </c>
      <c r="F14" s="78" t="s">
        <v>6685</v>
      </c>
    </row>
    <row r="15" customFormat="false" ht="15" hidden="false" customHeight="true" outlineLevel="0" collapsed="false">
      <c r="A15" s="77" t="s">
        <v>6223</v>
      </c>
      <c r="B15" s="87" t="n">
        <v>2</v>
      </c>
      <c r="C15" s="87" t="b">
        <f aca="false">FALSE()</f>
        <v>0</v>
      </c>
      <c r="D15" s="78" t="s">
        <v>5269</v>
      </c>
      <c r="E15" s="79" t="s">
        <v>6684</v>
      </c>
      <c r="F15" s="78" t="s">
        <v>6685</v>
      </c>
    </row>
    <row r="16" customFormat="false" ht="15" hidden="false" customHeight="true" outlineLevel="0" collapsed="false">
      <c r="A16" s="77" t="s">
        <v>6226</v>
      </c>
      <c r="B16" s="87" t="n">
        <v>2</v>
      </c>
      <c r="C16" s="87" t="b">
        <f aca="false">FALSE()</f>
        <v>0</v>
      </c>
      <c r="D16" s="78" t="s">
        <v>5304</v>
      </c>
      <c r="E16" s="79" t="s">
        <v>6684</v>
      </c>
      <c r="F16" s="78" t="s">
        <v>6685</v>
      </c>
    </row>
    <row r="17" customFormat="false" ht="15" hidden="false" customHeight="true" outlineLevel="0" collapsed="false">
      <c r="A17" s="77" t="s">
        <v>6229</v>
      </c>
      <c r="B17" s="87" t="n">
        <v>2</v>
      </c>
      <c r="C17" s="87" t="b">
        <f aca="false">FALSE()</f>
        <v>0</v>
      </c>
      <c r="D17" s="78" t="s">
        <v>5321</v>
      </c>
      <c r="E17" s="79" t="s">
        <v>6684</v>
      </c>
      <c r="F17" s="78" t="s">
        <v>6685</v>
      </c>
    </row>
    <row r="18" customFormat="false" ht="15" hidden="false" customHeight="true" outlineLevel="0" collapsed="false">
      <c r="A18" s="77" t="s">
        <v>6232</v>
      </c>
      <c r="B18" s="87" t="n">
        <v>2</v>
      </c>
      <c r="C18" s="87" t="b">
        <f aca="false">FALSE()</f>
        <v>0</v>
      </c>
      <c r="D18" s="78" t="s">
        <v>5358</v>
      </c>
      <c r="E18" s="79" t="s">
        <v>6684</v>
      </c>
      <c r="F18" s="78" t="s">
        <v>6685</v>
      </c>
    </row>
    <row r="19" customFormat="false" ht="15" hidden="false" customHeight="true" outlineLevel="0" collapsed="false">
      <c r="A19" s="77" t="s">
        <v>6234</v>
      </c>
      <c r="B19" s="87" t="n">
        <v>2</v>
      </c>
      <c r="C19" s="87" t="b">
        <f aca="false">FALSE()</f>
        <v>0</v>
      </c>
      <c r="D19" s="78" t="s">
        <v>5477</v>
      </c>
      <c r="E19" s="79" t="s">
        <v>6684</v>
      </c>
      <c r="F19" s="78" t="s">
        <v>6685</v>
      </c>
    </row>
    <row r="20" customFormat="false" ht="15" hidden="false" customHeight="true" outlineLevel="0" collapsed="false">
      <c r="A20" s="77" t="s">
        <v>6236</v>
      </c>
      <c r="B20" s="87" t="n">
        <v>2</v>
      </c>
      <c r="C20" s="87" t="b">
        <f aca="false">FALSE()</f>
        <v>0</v>
      </c>
      <c r="D20" s="78" t="s">
        <v>5486</v>
      </c>
      <c r="E20" s="79" t="s">
        <v>6684</v>
      </c>
      <c r="F20" s="78" t="s">
        <v>6685</v>
      </c>
    </row>
    <row r="21" customFormat="false" ht="15" hidden="false" customHeight="true" outlineLevel="0" collapsed="false">
      <c r="A21" s="77" t="s">
        <v>6238</v>
      </c>
      <c r="B21" s="87" t="n">
        <v>2</v>
      </c>
      <c r="C21" s="87" t="b">
        <f aca="false">FALSE()</f>
        <v>0</v>
      </c>
      <c r="D21" s="78" t="s">
        <v>5276</v>
      </c>
      <c r="E21" s="79" t="s">
        <v>6684</v>
      </c>
      <c r="F21" s="78" t="s">
        <v>6685</v>
      </c>
    </row>
    <row r="22" customFormat="false" ht="15" hidden="false" customHeight="true" outlineLevel="0" collapsed="false">
      <c r="A22" s="77" t="s">
        <v>6241</v>
      </c>
      <c r="B22" s="87" t="n">
        <v>2</v>
      </c>
      <c r="C22" s="87" t="b">
        <f aca="false">FALSE()</f>
        <v>0</v>
      </c>
      <c r="D22" s="78" t="s">
        <v>5285</v>
      </c>
      <c r="E22" s="79" t="s">
        <v>6684</v>
      </c>
      <c r="F22" s="78" t="s">
        <v>6685</v>
      </c>
    </row>
    <row r="23" customFormat="false" ht="15" hidden="false" customHeight="true" outlineLevel="0" collapsed="false">
      <c r="A23" s="77" t="s">
        <v>6244</v>
      </c>
      <c r="B23" s="87" t="n">
        <v>2</v>
      </c>
      <c r="C23" s="87" t="b">
        <f aca="false">FALSE()</f>
        <v>0</v>
      </c>
      <c r="D23" s="78" t="s">
        <v>5312</v>
      </c>
      <c r="E23" s="79" t="s">
        <v>6684</v>
      </c>
      <c r="F23" s="78" t="s">
        <v>6685</v>
      </c>
    </row>
    <row r="24" customFormat="false" ht="15" hidden="false" customHeight="true" outlineLevel="0" collapsed="false">
      <c r="A24" s="77" t="s">
        <v>6247</v>
      </c>
      <c r="B24" s="87" t="n">
        <v>2</v>
      </c>
      <c r="C24" s="87" t="b">
        <f aca="false">FALSE()</f>
        <v>0</v>
      </c>
      <c r="D24" s="78" t="s">
        <v>5329</v>
      </c>
      <c r="E24" s="79" t="s">
        <v>6684</v>
      </c>
      <c r="F24" s="78" t="s">
        <v>6685</v>
      </c>
    </row>
    <row r="25" customFormat="false" ht="15" hidden="false" customHeight="true" outlineLevel="0" collapsed="false">
      <c r="A25" s="77" t="s">
        <v>6250</v>
      </c>
      <c r="B25" s="87" t="n">
        <v>2</v>
      </c>
      <c r="C25" s="87" t="b">
        <f aca="false">FALSE()</f>
        <v>0</v>
      </c>
      <c r="D25" s="78" t="s">
        <v>5339</v>
      </c>
      <c r="E25" s="79" t="s">
        <v>6684</v>
      </c>
      <c r="F25" s="78" t="s">
        <v>6685</v>
      </c>
    </row>
    <row r="26" customFormat="false" ht="15" hidden="false" customHeight="true" outlineLevel="0" collapsed="false">
      <c r="A26" s="77" t="s">
        <v>6253</v>
      </c>
      <c r="B26" s="87" t="n">
        <v>2</v>
      </c>
      <c r="C26" s="87" t="b">
        <f aca="false">FALSE()</f>
        <v>0</v>
      </c>
      <c r="D26" s="78" t="s">
        <v>5375</v>
      </c>
      <c r="E26" s="79" t="s">
        <v>6684</v>
      </c>
      <c r="F26" s="78" t="s">
        <v>6685</v>
      </c>
    </row>
    <row r="27" customFormat="false" ht="15" hidden="false" customHeight="true" outlineLevel="0" collapsed="false">
      <c r="A27" s="77" t="s">
        <v>6255</v>
      </c>
      <c r="B27" s="87" t="n">
        <v>2</v>
      </c>
      <c r="C27" s="87" t="b">
        <f aca="false">FALSE()</f>
        <v>0</v>
      </c>
      <c r="D27" s="78" t="s">
        <v>5423</v>
      </c>
      <c r="E27" s="79" t="s">
        <v>6684</v>
      </c>
      <c r="F27" s="78" t="s">
        <v>6685</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0"/>
    <col collapsed="false" customWidth="true" hidden="false" outlineLevel="0" max="2" min="2" style="30" width="31"/>
    <col collapsed="false" customWidth="true" hidden="false" outlineLevel="0" max="3" min="3" style="30" width="38"/>
    <col collapsed="false" customWidth="true" hidden="false" outlineLevel="0" max="4" min="4" style="30" width="62"/>
    <col collapsed="false" customWidth="true" hidden="false" outlineLevel="0" max="5" min="5" style="30" width="20"/>
  </cols>
  <sheetData>
    <row r="1" customFormat="false" ht="25.5" hidden="false" customHeight="true" outlineLevel="0" collapsed="false">
      <c r="A1" s="8" t="s">
        <v>6686</v>
      </c>
      <c r="B1" s="8"/>
      <c r="C1" s="8"/>
      <c r="D1" s="8"/>
      <c r="E1" s="8"/>
    </row>
    <row r="2" customFormat="false" ht="31.5" hidden="false" customHeight="true" outlineLevel="0" collapsed="false">
      <c r="A2" s="9" t="s">
        <v>6687</v>
      </c>
      <c r="B2" s="9"/>
      <c r="C2" s="9"/>
      <c r="D2" s="9"/>
      <c r="E2" s="9"/>
    </row>
    <row r="4" customFormat="false" ht="31.5" hidden="false" customHeight="true" outlineLevel="0" collapsed="false">
      <c r="A4" s="76" t="s">
        <v>3789</v>
      </c>
      <c r="B4" s="76" t="s">
        <v>5762</v>
      </c>
      <c r="C4" s="76" t="s">
        <v>3668</v>
      </c>
      <c r="D4" s="76" t="s">
        <v>5695</v>
      </c>
      <c r="E4" s="76" t="s">
        <v>4</v>
      </c>
    </row>
    <row r="5" customFormat="false" ht="15" hidden="false" customHeight="true" outlineLevel="0" collapsed="false">
      <c r="A5" s="84" t="s">
        <v>4695</v>
      </c>
      <c r="B5" s="86" t="s">
        <v>6688</v>
      </c>
      <c r="C5" s="86" t="s">
        <v>6689</v>
      </c>
      <c r="D5" s="86" t="s">
        <v>6690</v>
      </c>
      <c r="E5" s="85" t="s">
        <v>5156</v>
      </c>
    </row>
    <row r="6" customFormat="false" ht="27.75" hidden="false" customHeight="true" outlineLevel="0" collapsed="false">
      <c r="A6" s="84" t="s">
        <v>4695</v>
      </c>
      <c r="B6" s="86" t="s">
        <v>6691</v>
      </c>
      <c r="C6" s="86" t="s">
        <v>6692</v>
      </c>
      <c r="D6" s="86" t="s">
        <v>6693</v>
      </c>
      <c r="E6" s="90" t="s">
        <v>3799</v>
      </c>
    </row>
    <row r="7" customFormat="false" ht="15" hidden="false" customHeight="true" outlineLevel="0" collapsed="false">
      <c r="A7" s="84" t="s">
        <v>3808</v>
      </c>
      <c r="B7" s="86" t="s">
        <v>6694</v>
      </c>
      <c r="C7" s="86" t="n">
        <v>11</v>
      </c>
      <c r="D7" s="86" t="s">
        <v>6695</v>
      </c>
      <c r="E7" s="85" t="s">
        <v>6696</v>
      </c>
    </row>
    <row r="8" customFormat="false" ht="15" hidden="false" customHeight="true" outlineLevel="0" collapsed="false">
      <c r="A8" s="84" t="s">
        <v>6697</v>
      </c>
      <c r="B8" s="86" t="s">
        <v>6698</v>
      </c>
      <c r="C8" s="86" t="n">
        <v>29</v>
      </c>
      <c r="D8" s="86" t="s">
        <v>6699</v>
      </c>
      <c r="E8" s="85" t="s">
        <v>6696</v>
      </c>
    </row>
    <row r="9" customFormat="false" ht="15" hidden="false" customHeight="true" outlineLevel="0" collapsed="false">
      <c r="A9" s="84" t="s">
        <v>6700</v>
      </c>
      <c r="B9" s="86" t="s">
        <v>6701</v>
      </c>
      <c r="C9" s="86" t="n">
        <v>27</v>
      </c>
      <c r="D9" s="86" t="s">
        <v>6702</v>
      </c>
      <c r="E9" s="85" t="s">
        <v>6696</v>
      </c>
    </row>
    <row r="10" customFormat="false" ht="15" hidden="false" customHeight="true" outlineLevel="0" collapsed="false">
      <c r="A10" s="84" t="s">
        <v>6700</v>
      </c>
      <c r="B10" s="86" t="s">
        <v>6703</v>
      </c>
      <c r="C10" s="86" t="n">
        <v>1</v>
      </c>
      <c r="D10" s="86" t="s">
        <v>6704</v>
      </c>
      <c r="E10" s="85" t="s">
        <v>6705</v>
      </c>
    </row>
    <row r="11" customFormat="false" ht="15" hidden="false" customHeight="true" outlineLevel="0" collapsed="false">
      <c r="A11" s="84" t="s">
        <v>6700</v>
      </c>
      <c r="B11" s="86" t="s">
        <v>6207</v>
      </c>
      <c r="C11" s="86" t="s">
        <v>6706</v>
      </c>
      <c r="D11" s="86" t="s">
        <v>6707</v>
      </c>
      <c r="E11" s="90" t="s">
        <v>3799</v>
      </c>
    </row>
    <row r="12" customFormat="false" ht="15" hidden="false" customHeight="true" outlineLevel="0" collapsed="false">
      <c r="A12" s="84" t="s">
        <v>6700</v>
      </c>
      <c r="B12" s="86" t="s">
        <v>3963</v>
      </c>
      <c r="C12" s="86" t="s">
        <v>6708</v>
      </c>
      <c r="D12" s="86" t="s">
        <v>6709</v>
      </c>
      <c r="E12" s="90" t="s">
        <v>3799</v>
      </c>
    </row>
    <row r="13" customFormat="false" ht="15" hidden="false" customHeight="true" outlineLevel="0" collapsed="false">
      <c r="A13" s="84" t="s">
        <v>6700</v>
      </c>
      <c r="B13" s="86" t="s">
        <v>6710</v>
      </c>
      <c r="C13" s="86" t="s">
        <v>6711</v>
      </c>
      <c r="D13" s="86" t="s">
        <v>6712</v>
      </c>
      <c r="E13" s="90" t="s">
        <v>3799</v>
      </c>
    </row>
    <row r="14" customFormat="false" ht="27.75" hidden="false" customHeight="true" outlineLevel="0" collapsed="false">
      <c r="A14" s="84" t="s">
        <v>6700</v>
      </c>
      <c r="B14" s="86" t="s">
        <v>6713</v>
      </c>
      <c r="C14" s="86" t="s">
        <v>6708</v>
      </c>
      <c r="D14" s="86" t="s">
        <v>6714</v>
      </c>
      <c r="E14" s="90" t="s">
        <v>3799</v>
      </c>
    </row>
    <row r="15" customFormat="false" ht="15" hidden="false" customHeight="true" outlineLevel="0" collapsed="false">
      <c r="A15" s="84" t="s">
        <v>6700</v>
      </c>
      <c r="B15" s="86" t="s">
        <v>6715</v>
      </c>
      <c r="C15" s="86" t="s">
        <v>6716</v>
      </c>
      <c r="D15" s="86" t="s">
        <v>6717</v>
      </c>
      <c r="E15" s="90" t="s">
        <v>3799</v>
      </c>
    </row>
    <row r="16" customFormat="false" ht="27.75" hidden="false" customHeight="true" outlineLevel="0" collapsed="false">
      <c r="A16" s="84" t="s">
        <v>514</v>
      </c>
      <c r="B16" s="86" t="s">
        <v>6718</v>
      </c>
      <c r="C16" s="86" t="s">
        <v>6719</v>
      </c>
      <c r="D16" s="86" t="s">
        <v>6720</v>
      </c>
      <c r="E16" s="85" t="s">
        <v>5156</v>
      </c>
    </row>
    <row r="17" customFormat="false" ht="15" hidden="false" customHeight="true" outlineLevel="0" collapsed="false">
      <c r="A17" s="84" t="s">
        <v>6721</v>
      </c>
      <c r="B17" s="86" t="s">
        <v>6722</v>
      </c>
      <c r="C17" s="86" t="s">
        <v>6723</v>
      </c>
      <c r="D17" s="86" t="s">
        <v>6724</v>
      </c>
      <c r="E17" s="85" t="s">
        <v>5156</v>
      </c>
    </row>
    <row r="18" customFormat="false" ht="15" hidden="false" customHeight="true" outlineLevel="0" collapsed="false">
      <c r="A18" s="84" t="s">
        <v>6725</v>
      </c>
      <c r="B18" s="86" t="s">
        <v>6726</v>
      </c>
      <c r="C18" s="86" t="s">
        <v>6727</v>
      </c>
      <c r="D18" s="86" t="s">
        <v>6728</v>
      </c>
      <c r="E18" s="85" t="s">
        <v>4249</v>
      </c>
    </row>
    <row r="19" customFormat="false" ht="15" hidden="false" customHeight="true" outlineLevel="0" collapsed="false">
      <c r="A19" s="84" t="s">
        <v>4255</v>
      </c>
      <c r="B19" s="86" t="s">
        <v>6729</v>
      </c>
      <c r="C19" s="86" t="s">
        <v>4080</v>
      </c>
      <c r="D19" s="86" t="s">
        <v>6730</v>
      </c>
      <c r="E19" s="85" t="s">
        <v>6731</v>
      </c>
    </row>
    <row r="20" customFormat="false" ht="15" hidden="false" customHeight="true" outlineLevel="0" collapsed="false">
      <c r="A20" s="84" t="s">
        <v>6732</v>
      </c>
      <c r="B20" s="86" t="s">
        <v>4808</v>
      </c>
      <c r="C20" s="86" t="n">
        <v>24</v>
      </c>
      <c r="D20" s="86" t="s">
        <v>6733</v>
      </c>
      <c r="E20" s="85" t="s">
        <v>6734</v>
      </c>
    </row>
    <row r="21" customFormat="false" ht="15" hidden="false" customHeight="true" outlineLevel="0" collapsed="false">
      <c r="A21" s="84" t="s">
        <v>6732</v>
      </c>
      <c r="B21" s="86" t="s">
        <v>5769</v>
      </c>
      <c r="C21" s="86" t="n">
        <v>6013</v>
      </c>
      <c r="D21" s="86" t="s">
        <v>6735</v>
      </c>
      <c r="E21" s="85" t="s">
        <v>6734</v>
      </c>
    </row>
  </sheetData>
  <mergeCells count="2">
    <mergeCell ref="A1:E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16"/>
    <col collapsed="false" customWidth="true" hidden="false" outlineLevel="0" max="2" min="2" style="30" width="30"/>
    <col collapsed="false" customWidth="true" hidden="false" outlineLevel="0" max="4" min="3" style="30" width="16"/>
    <col collapsed="false" customWidth="true" hidden="false" outlineLevel="0" max="5" min="5" style="30" width="70"/>
  </cols>
  <sheetData>
    <row r="1" customFormat="false" ht="25.5" hidden="false" customHeight="true" outlineLevel="0" collapsed="false">
      <c r="A1" s="8" t="s">
        <v>6736</v>
      </c>
      <c r="B1" s="8"/>
      <c r="C1" s="8"/>
      <c r="D1" s="8"/>
      <c r="E1" s="8"/>
    </row>
    <row r="2" customFormat="false" ht="31.5" hidden="false" customHeight="true" outlineLevel="0" collapsed="false">
      <c r="A2" s="9" t="s">
        <v>6737</v>
      </c>
      <c r="B2" s="9"/>
      <c r="C2" s="9"/>
      <c r="D2" s="9"/>
      <c r="E2" s="9"/>
    </row>
    <row r="4" customFormat="false" ht="31.5" hidden="false" customHeight="true" outlineLevel="0" collapsed="false">
      <c r="A4" s="76" t="s">
        <v>6178</v>
      </c>
      <c r="B4" s="76" t="s">
        <v>6738</v>
      </c>
      <c r="C4" s="76" t="s">
        <v>42</v>
      </c>
      <c r="D4" s="76" t="s">
        <v>6739</v>
      </c>
      <c r="E4" s="76" t="s">
        <v>6740</v>
      </c>
    </row>
    <row r="5" customFormat="false" ht="15" hidden="false" customHeight="true" outlineLevel="0" collapsed="false">
      <c r="A5" s="84" t="n">
        <v>1</v>
      </c>
      <c r="B5" s="86" t="s">
        <v>1318</v>
      </c>
      <c r="C5" s="86" t="n">
        <v>1</v>
      </c>
      <c r="D5" s="86" t="n">
        <v>1</v>
      </c>
      <c r="E5" s="85" t="s">
        <v>6741</v>
      </c>
    </row>
    <row r="6" customFormat="false" ht="27.75" hidden="false" customHeight="true" outlineLevel="0" collapsed="false">
      <c r="A6" s="84" t="n">
        <v>2</v>
      </c>
      <c r="B6" s="86" t="s">
        <v>1330</v>
      </c>
      <c r="C6" s="86" t="n">
        <v>1</v>
      </c>
      <c r="D6" s="86" t="n">
        <v>1</v>
      </c>
      <c r="E6" s="90" t="s">
        <v>6742</v>
      </c>
    </row>
    <row r="7" customFormat="false" ht="15" hidden="false" customHeight="true" outlineLevel="0" collapsed="false">
      <c r="A7" s="84" t="n">
        <v>3</v>
      </c>
      <c r="B7" s="86" t="s">
        <v>1342</v>
      </c>
      <c r="C7" s="86" t="n">
        <v>2</v>
      </c>
      <c r="D7" s="86" t="n">
        <v>2</v>
      </c>
      <c r="E7" s="85" t="s">
        <v>6743</v>
      </c>
    </row>
    <row r="8" customFormat="false" ht="15" hidden="false" customHeight="true" outlineLevel="0" collapsed="false">
      <c r="A8" s="84" t="n">
        <v>4</v>
      </c>
      <c r="B8" s="86" t="s">
        <v>1354</v>
      </c>
      <c r="C8" s="86" t="n">
        <v>2</v>
      </c>
      <c r="D8" s="86" t="n">
        <v>2</v>
      </c>
      <c r="E8" s="85" t="s">
        <v>6744</v>
      </c>
    </row>
    <row r="9" customFormat="false" ht="15" hidden="false" customHeight="true" outlineLevel="0" collapsed="false">
      <c r="A9" s="84" t="n">
        <v>5</v>
      </c>
      <c r="B9" s="86" t="s">
        <v>1366</v>
      </c>
      <c r="C9" s="86" t="n">
        <v>2</v>
      </c>
      <c r="D9" s="86" t="n">
        <v>3</v>
      </c>
      <c r="E9" s="85" t="s">
        <v>6745</v>
      </c>
    </row>
    <row r="10" customFormat="false" ht="15" hidden="false" customHeight="true" outlineLevel="0" collapsed="false">
      <c r="A10" s="84" t="n">
        <v>6</v>
      </c>
      <c r="B10" s="86" t="s">
        <v>1378</v>
      </c>
      <c r="C10" s="86" t="n">
        <v>3</v>
      </c>
      <c r="D10" s="86" t="n">
        <v>3</v>
      </c>
      <c r="E10" s="85" t="s">
        <v>6746</v>
      </c>
    </row>
    <row r="11" customFormat="false" ht="15" hidden="false" customHeight="true" outlineLevel="0" collapsed="false">
      <c r="A11" s="84" t="n">
        <v>7</v>
      </c>
      <c r="B11" s="86" t="s">
        <v>1390</v>
      </c>
      <c r="C11" s="86" t="n">
        <v>3</v>
      </c>
      <c r="D11" s="86" t="n">
        <v>3</v>
      </c>
      <c r="E11" s="90" t="s">
        <v>6747</v>
      </c>
    </row>
    <row r="12" customFormat="false" ht="15" hidden="false" customHeight="true" outlineLevel="0" collapsed="false">
      <c r="A12" s="84" t="n">
        <v>8</v>
      </c>
      <c r="B12" s="86" t="s">
        <v>1402</v>
      </c>
      <c r="C12" s="86" t="n">
        <v>3</v>
      </c>
      <c r="D12" s="86" t="n">
        <v>4</v>
      </c>
      <c r="E12" s="90" t="s">
        <v>6748</v>
      </c>
    </row>
    <row r="13" customFormat="false" ht="15" hidden="false" customHeight="true" outlineLevel="0" collapsed="false">
      <c r="A13" s="84" t="n">
        <v>9</v>
      </c>
      <c r="B13" s="86" t="s">
        <v>1414</v>
      </c>
      <c r="C13" s="86" t="n">
        <v>4</v>
      </c>
      <c r="D13" s="86" t="n">
        <v>4</v>
      </c>
      <c r="E13" s="90" t="s">
        <v>6749</v>
      </c>
    </row>
    <row r="14" customFormat="false" ht="27.75" hidden="false" customHeight="true" outlineLevel="0" collapsed="false">
      <c r="A14" s="84"/>
      <c r="B14" s="86"/>
      <c r="C14" s="86"/>
      <c r="D14" s="86"/>
      <c r="E14" s="90"/>
    </row>
    <row r="15" customFormat="false" ht="15" hidden="false" customHeight="true" outlineLevel="0" collapsed="false">
      <c r="A15" s="84" t="s">
        <v>6750</v>
      </c>
      <c r="B15" s="86" t="s">
        <v>6751</v>
      </c>
      <c r="C15" s="86" t="s">
        <v>6752</v>
      </c>
      <c r="D15" s="86" t="s">
        <v>6753</v>
      </c>
      <c r="E15" s="90" t="s">
        <v>6754</v>
      </c>
    </row>
    <row r="16" customFormat="false" ht="27.75" hidden="false" customHeight="true" outlineLevel="0" collapsed="false">
      <c r="A16" s="84" t="s">
        <v>6755</v>
      </c>
      <c r="B16" s="86" t="s">
        <v>6756</v>
      </c>
      <c r="C16" s="86" t="s">
        <v>4080</v>
      </c>
      <c r="D16" s="86" t="s">
        <v>6757</v>
      </c>
      <c r="E16" s="85" t="s">
        <v>6758</v>
      </c>
    </row>
    <row r="17" customFormat="false" ht="15" hidden="false" customHeight="true" outlineLevel="0" collapsed="false">
      <c r="A17" s="84" t="s">
        <v>4255</v>
      </c>
      <c r="B17" s="86" t="s">
        <v>6729</v>
      </c>
      <c r="C17" s="86" t="s">
        <v>4080</v>
      </c>
      <c r="D17" s="86" t="s">
        <v>6759</v>
      </c>
      <c r="E17" s="85" t="s">
        <v>6760</v>
      </c>
    </row>
    <row r="18" customFormat="false" ht="15" hidden="false" customHeight="true" outlineLevel="0" collapsed="false">
      <c r="A18" s="84"/>
      <c r="B18" s="86"/>
      <c r="C18" s="86"/>
      <c r="D18" s="86"/>
      <c r="E18" s="85"/>
    </row>
    <row r="19" customFormat="false" ht="15" hidden="false" customHeight="true" outlineLevel="0" collapsed="false">
      <c r="A19" s="84"/>
      <c r="B19" s="86"/>
      <c r="C19" s="86"/>
      <c r="D19" s="86"/>
      <c r="E19" s="85"/>
    </row>
    <row r="20" customFormat="false" ht="15" hidden="false" customHeight="true" outlineLevel="0" collapsed="false">
      <c r="A20" s="84"/>
      <c r="B20" s="86"/>
      <c r="C20" s="86"/>
      <c r="D20" s="86"/>
      <c r="E20" s="85"/>
    </row>
    <row r="21" customFormat="false" ht="15" hidden="false" customHeight="true" outlineLevel="0" collapsed="false">
      <c r="A21" s="84"/>
      <c r="B21" s="86"/>
      <c r="C21" s="86"/>
      <c r="D21" s="86"/>
      <c r="E21" s="85"/>
    </row>
  </sheetData>
  <mergeCells count="2">
    <mergeCell ref="A1:E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4"/>
    <col collapsed="false" customWidth="true" hidden="false" outlineLevel="0" max="2" min="2" style="30" width="7"/>
    <col collapsed="false" customWidth="true" hidden="false" outlineLevel="0" max="4" min="3" style="30" width="22"/>
    <col collapsed="false" customWidth="true" hidden="false" outlineLevel="0" max="5" min="5" style="30" width="18"/>
    <col collapsed="false" customWidth="true" hidden="false" outlineLevel="0" max="6" min="6" style="30" width="52"/>
    <col collapsed="false" customWidth="true" hidden="false" outlineLevel="0" max="7" min="7" style="30" width="66"/>
    <col collapsed="false" customWidth="true" hidden="false" outlineLevel="0" max="8" min="8" style="30" width="24"/>
    <col collapsed="false" customWidth="true" hidden="false" outlineLevel="0" max="9" min="9" style="30" width="72"/>
  </cols>
  <sheetData>
    <row r="1" customFormat="false" ht="25.5" hidden="false" customHeight="true" outlineLevel="0" collapsed="false">
      <c r="A1" s="8" t="s">
        <v>6761</v>
      </c>
      <c r="B1" s="8"/>
      <c r="C1" s="8"/>
      <c r="D1" s="8"/>
      <c r="E1" s="8"/>
      <c r="F1" s="8"/>
      <c r="G1" s="8"/>
      <c r="H1" s="8"/>
      <c r="I1" s="8"/>
    </row>
    <row r="2" customFormat="false" ht="31.5" hidden="false" customHeight="true" outlineLevel="0" collapsed="false">
      <c r="A2" s="9" t="s">
        <v>6762</v>
      </c>
      <c r="B2" s="9"/>
      <c r="C2" s="9"/>
      <c r="D2" s="9"/>
      <c r="E2" s="9"/>
      <c r="F2" s="9"/>
      <c r="G2" s="9"/>
      <c r="H2" s="9"/>
      <c r="I2" s="9"/>
    </row>
    <row r="4" customFormat="false" ht="31.5" hidden="false" customHeight="true" outlineLevel="0" collapsed="false">
      <c r="A4" s="76" t="s">
        <v>5774</v>
      </c>
      <c r="B4" s="76" t="s">
        <v>6178</v>
      </c>
      <c r="C4" s="76" t="s">
        <v>3794</v>
      </c>
      <c r="D4" s="76" t="s">
        <v>6763</v>
      </c>
      <c r="E4" s="76" t="s">
        <v>6764</v>
      </c>
      <c r="F4" s="76" t="s">
        <v>6765</v>
      </c>
      <c r="G4" s="76" t="s">
        <v>6766</v>
      </c>
      <c r="H4" s="76" t="s">
        <v>4</v>
      </c>
      <c r="I4" s="76"/>
    </row>
    <row r="5" customFormat="false" ht="26.25" hidden="false" customHeight="true" outlineLevel="0" collapsed="false">
      <c r="A5" s="77" t="s">
        <v>6767</v>
      </c>
      <c r="B5" s="78" t="n">
        <v>1</v>
      </c>
      <c r="C5" s="80" t="s">
        <v>6768</v>
      </c>
      <c r="D5" s="80" t="s">
        <v>6769</v>
      </c>
      <c r="E5" s="80" t="s">
        <v>6769</v>
      </c>
      <c r="F5" s="77" t="s">
        <v>5256</v>
      </c>
      <c r="G5" s="87" t="s">
        <v>6770</v>
      </c>
      <c r="H5" s="79" t="s">
        <v>6771</v>
      </c>
      <c r="I5" s="78"/>
    </row>
    <row r="6" customFormat="false" ht="15" hidden="false" customHeight="true" outlineLevel="0" collapsed="false">
      <c r="A6" s="77" t="s">
        <v>6772</v>
      </c>
      <c r="B6" s="78" t="n">
        <v>1</v>
      </c>
      <c r="C6" s="80" t="s">
        <v>6773</v>
      </c>
      <c r="D6" s="80" t="s">
        <v>6769</v>
      </c>
      <c r="E6" s="80" t="s">
        <v>6769</v>
      </c>
      <c r="F6" s="77" t="s">
        <v>5386</v>
      </c>
      <c r="G6" s="87" t="s">
        <v>6774</v>
      </c>
      <c r="H6" s="79" t="s">
        <v>6771</v>
      </c>
      <c r="I6" s="78"/>
    </row>
    <row r="7" customFormat="false" ht="26.25" hidden="false" customHeight="true" outlineLevel="0" collapsed="false">
      <c r="A7" s="77" t="s">
        <v>6775</v>
      </c>
      <c r="B7" s="78" t="n">
        <v>2</v>
      </c>
      <c r="C7" s="80" t="s">
        <v>6776</v>
      </c>
      <c r="D7" s="80" t="s">
        <v>6769</v>
      </c>
      <c r="E7" s="80" t="s">
        <v>6769</v>
      </c>
      <c r="F7" s="77" t="s">
        <v>5313</v>
      </c>
      <c r="G7" s="87" t="s">
        <v>6777</v>
      </c>
      <c r="H7" s="79" t="s">
        <v>6771</v>
      </c>
      <c r="I7" s="78"/>
    </row>
    <row r="8" customFormat="false" ht="15" hidden="false" customHeight="true" outlineLevel="0" collapsed="false">
      <c r="A8" s="77" t="s">
        <v>6778</v>
      </c>
      <c r="B8" s="78" t="n">
        <v>2</v>
      </c>
      <c r="C8" s="80" t="s">
        <v>6779</v>
      </c>
      <c r="D8" s="80" t="s">
        <v>6769</v>
      </c>
      <c r="E8" s="80" t="s">
        <v>6769</v>
      </c>
      <c r="F8" s="77" t="s">
        <v>5395</v>
      </c>
      <c r="G8" s="87" t="s">
        <v>6780</v>
      </c>
      <c r="H8" s="79" t="s">
        <v>6771</v>
      </c>
      <c r="I8" s="78"/>
    </row>
    <row r="9" customFormat="false" ht="26.25" hidden="false" customHeight="true" outlineLevel="0" collapsed="false">
      <c r="A9" s="77" t="s">
        <v>6781</v>
      </c>
      <c r="B9" s="78" t="n">
        <v>3</v>
      </c>
      <c r="C9" s="80" t="s">
        <v>1257</v>
      </c>
      <c r="D9" s="80" t="s">
        <v>6782</v>
      </c>
      <c r="E9" s="80" t="s">
        <v>6782</v>
      </c>
      <c r="F9" s="77" t="s">
        <v>6783</v>
      </c>
      <c r="G9" s="87" t="s">
        <v>6784</v>
      </c>
      <c r="H9" s="79" t="s">
        <v>6771</v>
      </c>
      <c r="I9" s="78"/>
    </row>
    <row r="10" customFormat="false" ht="26.25" hidden="false" customHeight="true" outlineLevel="0" collapsed="false">
      <c r="A10" s="77" t="s">
        <v>6785</v>
      </c>
      <c r="B10" s="78" t="n">
        <v>3</v>
      </c>
      <c r="C10" s="80" t="s">
        <v>6786</v>
      </c>
      <c r="D10" s="80" t="s">
        <v>6782</v>
      </c>
      <c r="E10" s="80" t="s">
        <v>6782</v>
      </c>
      <c r="F10" s="77" t="s">
        <v>4009</v>
      </c>
      <c r="G10" s="87" t="s">
        <v>6787</v>
      </c>
      <c r="H10" s="79" t="s">
        <v>6771</v>
      </c>
      <c r="I10" s="78"/>
    </row>
    <row r="11" customFormat="false" ht="26.25" hidden="false" customHeight="true" outlineLevel="0" collapsed="false">
      <c r="A11" s="77" t="s">
        <v>6788</v>
      </c>
      <c r="B11" s="78" t="n">
        <v>4</v>
      </c>
      <c r="C11" s="80" t="s">
        <v>6789</v>
      </c>
      <c r="D11" s="80" t="s">
        <v>6782</v>
      </c>
      <c r="E11" s="80" t="s">
        <v>6782</v>
      </c>
      <c r="F11" s="77" t="s">
        <v>6790</v>
      </c>
      <c r="G11" s="87" t="s">
        <v>6791</v>
      </c>
      <c r="H11" s="79" t="s">
        <v>6771</v>
      </c>
      <c r="I11" s="78"/>
    </row>
    <row r="12" customFormat="false" ht="15" hidden="false" customHeight="true" outlineLevel="0" collapsed="false">
      <c r="A12" s="77" t="s">
        <v>6792</v>
      </c>
      <c r="B12" s="78" t="n">
        <v>4</v>
      </c>
      <c r="C12" s="80" t="s">
        <v>6793</v>
      </c>
      <c r="D12" s="80" t="s">
        <v>6782</v>
      </c>
      <c r="E12" s="80" t="s">
        <v>6782</v>
      </c>
      <c r="F12" s="77" t="s">
        <v>5414</v>
      </c>
      <c r="G12" s="87" t="s">
        <v>6794</v>
      </c>
      <c r="H12" s="79" t="s">
        <v>6771</v>
      </c>
      <c r="I12" s="78"/>
    </row>
    <row r="13" customFormat="false" ht="15" hidden="false" customHeight="true" outlineLevel="0" collapsed="false">
      <c r="A13" s="77" t="s">
        <v>6795</v>
      </c>
      <c r="B13" s="78" t="n">
        <v>5</v>
      </c>
      <c r="C13" s="80" t="s">
        <v>6796</v>
      </c>
      <c r="D13" s="80" t="s">
        <v>6782</v>
      </c>
      <c r="E13" s="80" t="s">
        <v>6797</v>
      </c>
      <c r="F13" s="77" t="s">
        <v>6798</v>
      </c>
      <c r="G13" s="87" t="s">
        <v>6799</v>
      </c>
      <c r="H13" s="79" t="s">
        <v>6771</v>
      </c>
      <c r="I13" s="78"/>
    </row>
    <row r="14" customFormat="false" ht="15" hidden="false" customHeight="true" outlineLevel="0" collapsed="false">
      <c r="A14" s="77" t="s">
        <v>6800</v>
      </c>
      <c r="B14" s="78" t="n">
        <v>5</v>
      </c>
      <c r="C14" s="80" t="s">
        <v>6801</v>
      </c>
      <c r="D14" s="80" t="s">
        <v>6782</v>
      </c>
      <c r="E14" s="80" t="s">
        <v>6797</v>
      </c>
      <c r="F14" s="77" t="s">
        <v>6802</v>
      </c>
      <c r="G14" s="87" t="s">
        <v>6803</v>
      </c>
      <c r="H14" s="79" t="s">
        <v>6771</v>
      </c>
      <c r="I14" s="78"/>
    </row>
    <row r="15" customFormat="false" ht="15" hidden="false" customHeight="true" outlineLevel="0" collapsed="false">
      <c r="A15" s="77" t="s">
        <v>6804</v>
      </c>
      <c r="B15" s="78" t="n">
        <v>6</v>
      </c>
      <c r="C15" s="80" t="s">
        <v>6805</v>
      </c>
      <c r="D15" s="80" t="s">
        <v>6797</v>
      </c>
      <c r="E15" s="80" t="s">
        <v>6797</v>
      </c>
      <c r="F15" s="77" t="s">
        <v>6806</v>
      </c>
      <c r="G15" s="87" t="s">
        <v>6807</v>
      </c>
      <c r="H15" s="79" t="s">
        <v>6771</v>
      </c>
      <c r="I15" s="78"/>
    </row>
    <row r="16" customFormat="false" ht="26.25" hidden="false" customHeight="true" outlineLevel="0" collapsed="false">
      <c r="A16" s="77" t="s">
        <v>6808</v>
      </c>
      <c r="B16" s="78" t="n">
        <v>6</v>
      </c>
      <c r="C16" s="80" t="s">
        <v>6809</v>
      </c>
      <c r="D16" s="80" t="s">
        <v>6797</v>
      </c>
      <c r="E16" s="80" t="s">
        <v>6797</v>
      </c>
      <c r="F16" s="77" t="s">
        <v>6810</v>
      </c>
      <c r="G16" s="87" t="s">
        <v>6811</v>
      </c>
      <c r="H16" s="79" t="s">
        <v>6771</v>
      </c>
      <c r="I16" s="78"/>
    </row>
    <row r="17" customFormat="false" ht="26.25" hidden="false" customHeight="true" outlineLevel="0" collapsed="false">
      <c r="A17" s="77" t="s">
        <v>6812</v>
      </c>
      <c r="B17" s="78" t="n">
        <v>7</v>
      </c>
      <c r="C17" s="80" t="s">
        <v>6813</v>
      </c>
      <c r="D17" s="80" t="s">
        <v>6797</v>
      </c>
      <c r="E17" s="80" t="s">
        <v>6797</v>
      </c>
      <c r="F17" s="77" t="s">
        <v>6814</v>
      </c>
      <c r="G17" s="87" t="s">
        <v>6815</v>
      </c>
      <c r="H17" s="79" t="s">
        <v>6771</v>
      </c>
      <c r="I17" s="78"/>
    </row>
    <row r="18" customFormat="false" ht="26.25" hidden="false" customHeight="true" outlineLevel="0" collapsed="false">
      <c r="A18" s="77" t="s">
        <v>6816</v>
      </c>
      <c r="B18" s="78" t="n">
        <v>7</v>
      </c>
      <c r="C18" s="80" t="s">
        <v>6817</v>
      </c>
      <c r="D18" s="80" t="s">
        <v>6797</v>
      </c>
      <c r="E18" s="80" t="s">
        <v>6797</v>
      </c>
      <c r="F18" s="77" t="s">
        <v>6818</v>
      </c>
      <c r="G18" s="87" t="s">
        <v>6819</v>
      </c>
      <c r="H18" s="79" t="s">
        <v>6771</v>
      </c>
      <c r="I18" s="78"/>
    </row>
    <row r="19" customFormat="false" ht="26.25" hidden="false" customHeight="true" outlineLevel="0" collapsed="false">
      <c r="A19" s="77" t="s">
        <v>6820</v>
      </c>
      <c r="B19" s="78" t="n">
        <v>8</v>
      </c>
      <c r="C19" s="80" t="s">
        <v>6821</v>
      </c>
      <c r="D19" s="80" t="s">
        <v>6797</v>
      </c>
      <c r="E19" s="80" t="s">
        <v>6822</v>
      </c>
      <c r="F19" s="77" t="s">
        <v>6823</v>
      </c>
      <c r="G19" s="87" t="s">
        <v>6824</v>
      </c>
      <c r="H19" s="79" t="s">
        <v>6771</v>
      </c>
      <c r="I19" s="78"/>
    </row>
    <row r="20" customFormat="false" ht="15" hidden="false" customHeight="true" outlineLevel="0" collapsed="false">
      <c r="A20" s="77" t="s">
        <v>6825</v>
      </c>
      <c r="B20" s="78" t="n">
        <v>8</v>
      </c>
      <c r="C20" s="80" t="s">
        <v>6826</v>
      </c>
      <c r="D20" s="80" t="s">
        <v>6797</v>
      </c>
      <c r="E20" s="80" t="s">
        <v>6822</v>
      </c>
      <c r="F20" s="77" t="s">
        <v>6827</v>
      </c>
      <c r="G20" s="87" t="s">
        <v>6828</v>
      </c>
      <c r="H20" s="79" t="s">
        <v>6771</v>
      </c>
      <c r="I20" s="78"/>
    </row>
    <row r="21" customFormat="false" ht="26.25" hidden="false" customHeight="true" outlineLevel="0" collapsed="false">
      <c r="A21" s="77" t="s">
        <v>6829</v>
      </c>
      <c r="B21" s="78" t="n">
        <v>9</v>
      </c>
      <c r="C21" s="80" t="s">
        <v>6830</v>
      </c>
      <c r="D21" s="80" t="s">
        <v>6822</v>
      </c>
      <c r="E21" s="80" t="s">
        <v>6822</v>
      </c>
      <c r="F21" s="77" t="s">
        <v>6831</v>
      </c>
      <c r="G21" s="87" t="s">
        <v>6832</v>
      </c>
      <c r="H21" s="79" t="s">
        <v>6771</v>
      </c>
      <c r="I21" s="78"/>
    </row>
    <row r="22" customFormat="false" ht="15" hidden="false" customHeight="true" outlineLevel="0" collapsed="false">
      <c r="A22" s="77" t="s">
        <v>6833</v>
      </c>
      <c r="B22" s="78" t="n">
        <v>9</v>
      </c>
      <c r="C22" s="80" t="s">
        <v>6834</v>
      </c>
      <c r="D22" s="80" t="s">
        <v>6822</v>
      </c>
      <c r="E22" s="80" t="s">
        <v>6822</v>
      </c>
      <c r="F22" s="77" t="s">
        <v>6823</v>
      </c>
      <c r="G22" s="87" t="s">
        <v>6835</v>
      </c>
      <c r="H22" s="79" t="s">
        <v>6771</v>
      </c>
      <c r="I22" s="78"/>
    </row>
    <row r="23" customFormat="false" ht="15" hidden="false" customHeight="true" outlineLevel="0" collapsed="false">
      <c r="A23" s="77"/>
      <c r="B23" s="78"/>
      <c r="C23" s="80"/>
      <c r="D23" s="80"/>
      <c r="E23" s="80"/>
      <c r="F23" s="77"/>
      <c r="G23" s="87"/>
      <c r="H23" s="79"/>
      <c r="I23" s="78"/>
    </row>
    <row r="24" customFormat="false" ht="26.25" hidden="false" customHeight="true" outlineLevel="0" collapsed="false">
      <c r="A24" s="77"/>
      <c r="B24" s="78"/>
      <c r="C24" s="80"/>
      <c r="D24" s="80"/>
      <c r="E24" s="80"/>
      <c r="F24" s="77"/>
      <c r="G24" s="87"/>
      <c r="H24" s="79"/>
      <c r="I24" s="78"/>
    </row>
    <row r="25" customFormat="false" ht="26.25" hidden="false" customHeight="true" outlineLevel="0" collapsed="false">
      <c r="A25" s="77"/>
      <c r="B25" s="78"/>
      <c r="C25" s="80"/>
      <c r="D25" s="80"/>
      <c r="E25" s="80"/>
      <c r="F25" s="77"/>
      <c r="G25" s="87"/>
      <c r="H25" s="79"/>
      <c r="I25" s="78"/>
    </row>
    <row r="26" customFormat="false" ht="26.25" hidden="false" customHeight="true" outlineLevel="0" collapsed="false">
      <c r="A26" s="77"/>
      <c r="B26" s="78"/>
      <c r="C26" s="80"/>
      <c r="D26" s="80"/>
      <c r="E26" s="80"/>
      <c r="F26" s="77"/>
      <c r="G26" s="87"/>
      <c r="H26" s="79"/>
      <c r="I26" s="78"/>
    </row>
    <row r="27" customFormat="false" ht="15" hidden="false" customHeight="true" outlineLevel="0" collapsed="false">
      <c r="A27" s="77"/>
      <c r="B27" s="78"/>
      <c r="C27" s="80"/>
      <c r="D27" s="80"/>
      <c r="E27" s="80"/>
      <c r="F27" s="77"/>
      <c r="G27" s="87"/>
      <c r="H27" s="79"/>
      <c r="I27" s="78"/>
    </row>
    <row r="28" customFormat="false" ht="26.25" hidden="false" customHeight="true" outlineLevel="0" collapsed="false">
      <c r="A28" s="77"/>
      <c r="B28" s="78"/>
      <c r="C28" s="80"/>
      <c r="D28" s="80"/>
      <c r="E28" s="80"/>
      <c r="F28" s="77"/>
      <c r="G28" s="87"/>
      <c r="H28" s="79"/>
      <c r="I28" s="78"/>
    </row>
    <row r="29" customFormat="false" ht="26.25" hidden="false" customHeight="true" outlineLevel="0" collapsed="false">
      <c r="A29" s="77"/>
      <c r="B29" s="78"/>
      <c r="C29" s="80"/>
      <c r="D29" s="80"/>
      <c r="E29" s="80"/>
      <c r="F29" s="77"/>
      <c r="G29" s="87"/>
      <c r="H29" s="79"/>
      <c r="I29" s="78"/>
    </row>
    <row r="30" customFormat="false" ht="26.25" hidden="false" customHeight="true" outlineLevel="0" collapsed="false">
      <c r="A30" s="77"/>
      <c r="B30" s="78"/>
      <c r="C30" s="80"/>
      <c r="D30" s="80"/>
      <c r="E30" s="80"/>
      <c r="F30" s="77"/>
      <c r="G30" s="87"/>
      <c r="H30" s="79"/>
      <c r="I30" s="78"/>
    </row>
    <row r="31" customFormat="false" ht="26.25" hidden="false" customHeight="true" outlineLevel="0" collapsed="false">
      <c r="A31" s="77"/>
      <c r="B31" s="78"/>
      <c r="C31" s="80"/>
      <c r="D31" s="80"/>
      <c r="E31" s="80"/>
      <c r="F31" s="77"/>
      <c r="G31" s="87"/>
      <c r="H31" s="79"/>
      <c r="I31" s="78"/>
    </row>
    <row r="32" customFormat="false" ht="26.25" hidden="false" customHeight="true" outlineLevel="0" collapsed="false">
      <c r="A32" s="77"/>
      <c r="B32" s="78"/>
      <c r="C32" s="80"/>
      <c r="D32" s="80"/>
      <c r="E32" s="80"/>
      <c r="F32" s="77"/>
      <c r="G32" s="87"/>
      <c r="H32" s="79"/>
      <c r="I32" s="78"/>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4"/>
    <col collapsed="false" customWidth="true" hidden="false" outlineLevel="0" max="2" min="2" style="30" width="8"/>
    <col collapsed="false" customWidth="true" hidden="false" outlineLevel="0" max="3" min="3" style="30" width="13"/>
    <col collapsed="false" customWidth="true" hidden="false" outlineLevel="0" max="4" min="4" style="30" width="14"/>
    <col collapsed="false" customWidth="true" hidden="false" outlineLevel="0" max="5" min="5" style="30" width="17"/>
    <col collapsed="false" customWidth="true" hidden="false" outlineLevel="0" max="6" min="6" style="30" width="18"/>
    <col collapsed="false" customWidth="true" hidden="false" outlineLevel="0" max="8" min="7" style="30" width="14"/>
    <col collapsed="false" customWidth="true" hidden="false" outlineLevel="0" max="9" min="9" style="30" width="66"/>
  </cols>
  <sheetData>
    <row r="1" customFormat="false" ht="21.75" hidden="false" customHeight="true" outlineLevel="0" collapsed="false">
      <c r="A1" s="8" t="s">
        <v>6836</v>
      </c>
      <c r="B1" s="8"/>
      <c r="C1" s="8"/>
      <c r="D1" s="8"/>
      <c r="E1" s="8"/>
      <c r="F1" s="8"/>
      <c r="G1" s="8"/>
      <c r="H1" s="8"/>
      <c r="I1" s="8"/>
    </row>
    <row r="2" customFormat="false" ht="15" hidden="false" customHeight="true" outlineLevel="0" collapsed="false">
      <c r="A2" s="9" t="s">
        <v>6837</v>
      </c>
      <c r="B2" s="9"/>
      <c r="C2" s="9"/>
      <c r="D2" s="9"/>
      <c r="E2" s="9"/>
      <c r="F2" s="9"/>
      <c r="G2" s="9"/>
      <c r="H2" s="9"/>
      <c r="I2" s="9"/>
    </row>
    <row r="4" customFormat="false" ht="26.25" hidden="false" customHeight="true" outlineLevel="0" collapsed="false">
      <c r="A4" s="76" t="s">
        <v>6838</v>
      </c>
      <c r="B4" s="76" t="s">
        <v>6178</v>
      </c>
      <c r="C4" s="76" t="s">
        <v>6839</v>
      </c>
      <c r="D4" s="76" t="s">
        <v>6840</v>
      </c>
      <c r="E4" s="76" t="s">
        <v>6841</v>
      </c>
      <c r="F4" s="76" t="s">
        <v>6842</v>
      </c>
      <c r="G4" s="76" t="s">
        <v>6843</v>
      </c>
      <c r="H4" s="76" t="s">
        <v>3884</v>
      </c>
      <c r="I4" s="76" t="s">
        <v>6844</v>
      </c>
    </row>
    <row r="5" customFormat="false" ht="27.75" hidden="false" customHeight="true" outlineLevel="0" collapsed="false">
      <c r="A5" s="84" t="s">
        <v>720</v>
      </c>
      <c r="B5" s="86" t="n">
        <v>1</v>
      </c>
      <c r="C5" s="86" t="n">
        <v>10</v>
      </c>
      <c r="D5" s="86" t="n">
        <v>10</v>
      </c>
      <c r="E5" s="85" t="n">
        <v>20</v>
      </c>
      <c r="F5" s="85" t="n">
        <v>1</v>
      </c>
      <c r="G5" s="85" t="n">
        <v>1</v>
      </c>
      <c r="H5" s="85" t="n">
        <v>50</v>
      </c>
      <c r="I5" s="85" t="s">
        <v>6845</v>
      </c>
    </row>
    <row r="6" customFormat="false" ht="27.75" hidden="false" customHeight="true" outlineLevel="0" collapsed="false">
      <c r="A6" s="84" t="s">
        <v>732</v>
      </c>
      <c r="B6" s="86" t="n">
        <v>1</v>
      </c>
      <c r="C6" s="86" t="n">
        <v>12</v>
      </c>
      <c r="D6" s="86" t="n">
        <v>10</v>
      </c>
      <c r="E6" s="85" t="n">
        <v>22</v>
      </c>
      <c r="F6" s="85" t="n">
        <v>1</v>
      </c>
      <c r="G6" s="85" t="n">
        <v>2</v>
      </c>
      <c r="H6" s="85" t="s">
        <v>3851</v>
      </c>
      <c r="I6" s="85" t="s">
        <v>6846</v>
      </c>
    </row>
    <row r="7" customFormat="false" ht="27.75" hidden="false" customHeight="true" outlineLevel="0" collapsed="false">
      <c r="A7" s="84" t="s">
        <v>727</v>
      </c>
      <c r="B7" s="86" t="n">
        <v>1</v>
      </c>
      <c r="C7" s="86" t="n">
        <v>15</v>
      </c>
      <c r="D7" s="86" t="n">
        <v>10</v>
      </c>
      <c r="E7" s="85" t="n">
        <v>25</v>
      </c>
      <c r="F7" s="85" t="n">
        <v>1</v>
      </c>
      <c r="G7" s="85" t="n">
        <v>1</v>
      </c>
      <c r="H7" s="85" t="n">
        <v>25</v>
      </c>
      <c r="I7" s="85" t="s">
        <v>6847</v>
      </c>
    </row>
    <row r="8" customFormat="false" ht="27.75" hidden="false" customHeight="true" outlineLevel="0" collapsed="false">
      <c r="A8" s="84" t="s">
        <v>720</v>
      </c>
      <c r="B8" s="86" t="n">
        <v>2</v>
      </c>
      <c r="C8" s="86" t="n">
        <v>13</v>
      </c>
      <c r="D8" s="86" t="n">
        <v>12</v>
      </c>
      <c r="E8" s="85" t="n">
        <v>25</v>
      </c>
      <c r="F8" s="85" t="n">
        <v>1</v>
      </c>
      <c r="G8" s="85" t="n">
        <v>1</v>
      </c>
      <c r="H8" s="85" t="n">
        <v>60</v>
      </c>
      <c r="I8" s="85" t="s">
        <v>6848</v>
      </c>
    </row>
    <row r="9" customFormat="false" ht="27.75" hidden="false" customHeight="true" outlineLevel="0" collapsed="false">
      <c r="A9" s="84" t="s">
        <v>732</v>
      </c>
      <c r="B9" s="86" t="n">
        <v>2</v>
      </c>
      <c r="C9" s="86" t="n">
        <v>16</v>
      </c>
      <c r="D9" s="86" t="n">
        <v>12</v>
      </c>
      <c r="E9" s="85" t="n">
        <v>28</v>
      </c>
      <c r="F9" s="85" t="n">
        <v>1</v>
      </c>
      <c r="G9" s="85" t="n">
        <v>2</v>
      </c>
      <c r="H9" s="85" t="s">
        <v>3851</v>
      </c>
      <c r="I9" s="85" t="s">
        <v>6849</v>
      </c>
    </row>
    <row r="10" customFormat="false" ht="15" hidden="false" customHeight="true" outlineLevel="0" collapsed="false">
      <c r="A10" s="84" t="s">
        <v>727</v>
      </c>
      <c r="B10" s="86" t="n">
        <v>2</v>
      </c>
      <c r="C10" s="86" t="n">
        <v>20</v>
      </c>
      <c r="D10" s="86" t="n">
        <v>12</v>
      </c>
      <c r="E10" s="85" t="n">
        <v>32</v>
      </c>
      <c r="F10" s="85" t="n">
        <v>1</v>
      </c>
      <c r="G10" s="85" t="n">
        <v>1</v>
      </c>
      <c r="H10" s="85" t="n">
        <v>30</v>
      </c>
      <c r="I10" s="85" t="s">
        <v>6850</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4"/>
    <col collapsed="false" customWidth="true" hidden="false" outlineLevel="0" max="2" min="2" style="30" width="7"/>
    <col collapsed="false" customWidth="true" hidden="false" outlineLevel="0" max="5" min="3" style="30" width="8"/>
    <col collapsed="false" customWidth="true" hidden="false" outlineLevel="0" max="6" min="6" style="30" width="9"/>
    <col collapsed="false" customWidth="true" hidden="false" outlineLevel="0" max="7" min="7" style="30" width="12"/>
    <col collapsed="false" customWidth="true" hidden="false" outlineLevel="0" max="9" min="8" style="30" width="11"/>
    <col collapsed="false" customWidth="true" hidden="false" outlineLevel="0" max="11" min="10" style="30" width="13"/>
    <col collapsed="false" customWidth="true" hidden="false" outlineLevel="0" max="12" min="12" style="30" width="12"/>
    <col collapsed="false" customWidth="true" hidden="false" outlineLevel="0" max="13" min="13" style="30" width="16"/>
    <col collapsed="false" customWidth="true" hidden="false" outlineLevel="0" max="14" min="14" style="30" width="62"/>
  </cols>
  <sheetData>
    <row r="1" customFormat="false" ht="21.75" hidden="false" customHeight="true" outlineLevel="0" collapsed="false">
      <c r="A1" s="8" t="s">
        <v>6851</v>
      </c>
      <c r="B1" s="8"/>
      <c r="C1" s="8"/>
      <c r="D1" s="8"/>
      <c r="E1" s="8"/>
      <c r="F1" s="8"/>
      <c r="G1" s="8"/>
      <c r="H1" s="8"/>
      <c r="I1" s="8"/>
      <c r="J1" s="8"/>
      <c r="K1" s="8"/>
      <c r="L1" s="8"/>
      <c r="M1" s="8"/>
      <c r="N1" s="8"/>
    </row>
    <row r="2" customFormat="false" ht="15" hidden="false" customHeight="true" outlineLevel="0" collapsed="false">
      <c r="A2" s="9" t="s">
        <v>6852</v>
      </c>
      <c r="B2" s="9"/>
      <c r="C2" s="9"/>
      <c r="D2" s="9"/>
      <c r="E2" s="9"/>
      <c r="F2" s="9"/>
      <c r="G2" s="9"/>
      <c r="H2" s="9"/>
      <c r="I2" s="9"/>
      <c r="J2" s="9"/>
      <c r="K2" s="9"/>
      <c r="L2" s="9"/>
      <c r="M2" s="9"/>
      <c r="N2" s="9"/>
    </row>
    <row r="4" customFormat="false" ht="26.25" hidden="false" customHeight="true" outlineLevel="0" collapsed="false">
      <c r="A4" s="76" t="s">
        <v>5774</v>
      </c>
      <c r="B4" s="76" t="s">
        <v>6178</v>
      </c>
      <c r="C4" s="76" t="s">
        <v>36</v>
      </c>
      <c r="D4" s="76" t="s">
        <v>103</v>
      </c>
      <c r="E4" s="76" t="s">
        <v>97</v>
      </c>
      <c r="F4" s="76" t="s">
        <v>108</v>
      </c>
      <c r="G4" s="76" t="s">
        <v>6853</v>
      </c>
      <c r="H4" s="76" t="s">
        <v>6854</v>
      </c>
      <c r="I4" s="76" t="s">
        <v>6855</v>
      </c>
      <c r="J4" s="76" t="s">
        <v>6856</v>
      </c>
      <c r="K4" s="76" t="s">
        <v>6857</v>
      </c>
      <c r="L4" s="76" t="s">
        <v>6858</v>
      </c>
      <c r="M4" s="76" t="s">
        <v>6859</v>
      </c>
      <c r="N4" s="76" t="s">
        <v>6860</v>
      </c>
    </row>
    <row r="5" customFormat="false" ht="27.75" hidden="false" customHeight="true" outlineLevel="0" collapsed="false">
      <c r="A5" s="84" t="s">
        <v>6861</v>
      </c>
      <c r="B5" s="86" t="n">
        <v>1</v>
      </c>
      <c r="C5" s="86" t="n">
        <v>12</v>
      </c>
      <c r="D5" s="86" t="n">
        <v>4</v>
      </c>
      <c r="E5" s="85" t="n">
        <v>0</v>
      </c>
      <c r="F5" s="85" t="n">
        <v>2</v>
      </c>
      <c r="G5" s="85" t="n">
        <v>5</v>
      </c>
      <c r="H5" s="85" t="n">
        <v>10</v>
      </c>
      <c r="I5" s="85" t="n">
        <v>1</v>
      </c>
      <c r="J5" s="85" t="n">
        <v>2</v>
      </c>
      <c r="K5" s="85" t="n">
        <v>20</v>
      </c>
      <c r="L5" s="85" t="n">
        <v>25</v>
      </c>
      <c r="M5" s="85" t="n">
        <v>55</v>
      </c>
      <c r="N5" s="85" t="s">
        <v>6862</v>
      </c>
    </row>
    <row r="6" customFormat="false" ht="27.75" hidden="false" customHeight="true" outlineLevel="0" collapsed="false">
      <c r="A6" s="84" t="s">
        <v>6168</v>
      </c>
      <c r="B6" s="86" t="n">
        <v>2</v>
      </c>
      <c r="C6" s="86" t="n">
        <v>12</v>
      </c>
      <c r="D6" s="86" t="n">
        <v>5</v>
      </c>
      <c r="E6" s="85" t="n">
        <v>0</v>
      </c>
      <c r="F6" s="85" t="n">
        <v>2</v>
      </c>
      <c r="G6" s="85" t="n">
        <v>6</v>
      </c>
      <c r="H6" s="85" t="n">
        <v>12</v>
      </c>
      <c r="I6" s="85" t="n">
        <v>2</v>
      </c>
      <c r="J6" s="85" t="n">
        <v>3</v>
      </c>
      <c r="K6" s="85" t="n">
        <v>23</v>
      </c>
      <c r="L6" s="85" t="n">
        <v>28</v>
      </c>
      <c r="M6" s="85" t="n">
        <v>60</v>
      </c>
      <c r="N6" s="85" t="s">
        <v>6863</v>
      </c>
    </row>
  </sheetData>
  <mergeCells count="2">
    <mergeCell ref="A1:N1"/>
    <mergeCell ref="A2:N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31"/>
    <col collapsed="false" customWidth="true" hidden="false" outlineLevel="0" max="2" min="2" style="30" width="28"/>
    <col collapsed="false" customWidth="true" hidden="false" outlineLevel="0" max="3" min="3" style="30" width="30"/>
    <col collapsed="false" customWidth="true" hidden="false" outlineLevel="0" max="4" min="4" style="30" width="7"/>
    <col collapsed="false" customWidth="true" hidden="false" outlineLevel="0" max="5" min="5" style="30" width="10"/>
    <col collapsed="false" customWidth="true" hidden="false" outlineLevel="0" max="6" min="6" style="30" width="20"/>
    <col collapsed="false" customWidth="true" hidden="false" outlineLevel="0" max="7" min="7" style="30" width="38"/>
    <col collapsed="false" customWidth="true" hidden="false" outlineLevel="0" max="8" min="8" style="30" width="22"/>
  </cols>
  <sheetData>
    <row r="1" customFormat="false" ht="21.75" hidden="false" customHeight="true" outlineLevel="0" collapsed="false">
      <c r="A1" s="8" t="s">
        <v>6864</v>
      </c>
      <c r="B1" s="8"/>
      <c r="C1" s="8"/>
      <c r="D1" s="8"/>
      <c r="E1" s="8"/>
      <c r="F1" s="8"/>
      <c r="G1" s="8"/>
      <c r="H1" s="8"/>
    </row>
    <row r="2" customFormat="false" ht="15" hidden="false" customHeight="true" outlineLevel="0" collapsed="false">
      <c r="A2" s="9" t="s">
        <v>6865</v>
      </c>
      <c r="B2" s="9"/>
      <c r="C2" s="9"/>
      <c r="D2" s="9"/>
      <c r="E2" s="9"/>
      <c r="F2" s="9"/>
      <c r="G2" s="9"/>
      <c r="H2" s="9"/>
    </row>
    <row r="4" customFormat="false" ht="15" hidden="false" customHeight="true" outlineLevel="0" collapsed="false">
      <c r="A4" s="76" t="s">
        <v>6866</v>
      </c>
      <c r="B4" s="76" t="s">
        <v>6681</v>
      </c>
      <c r="C4" s="76" t="s">
        <v>6177</v>
      </c>
      <c r="D4" s="76" t="s">
        <v>6178</v>
      </c>
      <c r="E4" s="76" t="s">
        <v>6179</v>
      </c>
      <c r="F4" s="76" t="s">
        <v>6867</v>
      </c>
      <c r="G4" s="76" t="s">
        <v>6868</v>
      </c>
      <c r="H4" s="76" t="s">
        <v>6869</v>
      </c>
    </row>
    <row r="5" customFormat="false" ht="15" hidden="false" customHeight="true" outlineLevel="0" collapsed="false">
      <c r="A5" s="84" t="s">
        <v>6870</v>
      </c>
      <c r="B5" s="86" t="s">
        <v>5255</v>
      </c>
      <c r="C5" s="86" t="s">
        <v>6198</v>
      </c>
      <c r="D5" s="86" t="n">
        <v>1</v>
      </c>
      <c r="E5" s="85" t="n">
        <v>1</v>
      </c>
      <c r="F5" s="85" t="s">
        <v>6199</v>
      </c>
      <c r="G5" s="85" t="s">
        <v>6871</v>
      </c>
      <c r="H5" s="85" t="s">
        <v>6872</v>
      </c>
    </row>
    <row r="6" customFormat="false" ht="15" hidden="false" customHeight="true" outlineLevel="0" collapsed="false">
      <c r="A6" s="84" t="s">
        <v>6873</v>
      </c>
      <c r="B6" s="86" t="s">
        <v>5276</v>
      </c>
      <c r="C6" s="86" t="s">
        <v>6874</v>
      </c>
      <c r="D6" s="86" t="n">
        <v>1</v>
      </c>
      <c r="E6" s="85" t="n">
        <v>1</v>
      </c>
      <c r="F6" s="85" t="s">
        <v>6199</v>
      </c>
      <c r="G6" s="85" t="s">
        <v>6875</v>
      </c>
      <c r="H6" s="85" t="s">
        <v>6872</v>
      </c>
    </row>
    <row r="7" customFormat="false" ht="15" hidden="false" customHeight="true" outlineLevel="0" collapsed="false">
      <c r="A7" s="84" t="s">
        <v>6876</v>
      </c>
      <c r="B7" s="86" t="s">
        <v>5269</v>
      </c>
      <c r="C7" s="86" t="s">
        <v>6204</v>
      </c>
      <c r="D7" s="86" t="n">
        <v>1</v>
      </c>
      <c r="E7" s="85" t="n">
        <v>1</v>
      </c>
      <c r="F7" s="85" t="s">
        <v>6199</v>
      </c>
      <c r="G7" s="85" t="s">
        <v>6877</v>
      </c>
      <c r="H7" s="85" t="s">
        <v>6872</v>
      </c>
    </row>
    <row r="8" customFormat="false" ht="15" hidden="false" customHeight="true" outlineLevel="0" collapsed="false">
      <c r="A8" s="84" t="s">
        <v>6878</v>
      </c>
      <c r="B8" s="86" t="s">
        <v>5255</v>
      </c>
      <c r="C8" s="86" t="s">
        <v>6221</v>
      </c>
      <c r="D8" s="86" t="n">
        <v>2</v>
      </c>
      <c r="E8" s="85" t="n">
        <v>1</v>
      </c>
      <c r="F8" s="85" t="s">
        <v>6199</v>
      </c>
      <c r="G8" s="85" t="s">
        <v>6879</v>
      </c>
      <c r="H8" s="85" t="s">
        <v>6872</v>
      </c>
    </row>
    <row r="9" customFormat="false" ht="15" hidden="false" customHeight="true" outlineLevel="0" collapsed="false">
      <c r="A9" s="84" t="s">
        <v>6880</v>
      </c>
      <c r="B9" s="86" t="s">
        <v>5276</v>
      </c>
      <c r="C9" s="86" t="s">
        <v>6239</v>
      </c>
      <c r="D9" s="86" t="n">
        <v>2</v>
      </c>
      <c r="E9" s="85" t="n">
        <v>1</v>
      </c>
      <c r="F9" s="85" t="s">
        <v>6199</v>
      </c>
      <c r="G9" s="85" t="s">
        <v>6881</v>
      </c>
      <c r="H9" s="85" t="s">
        <v>6872</v>
      </c>
    </row>
    <row r="10" customFormat="false" ht="15" hidden="false" customHeight="true" outlineLevel="0" collapsed="false">
      <c r="A10" s="84" t="s">
        <v>6882</v>
      </c>
      <c r="B10" s="86" t="s">
        <v>5269</v>
      </c>
      <c r="C10" s="86" t="s">
        <v>6224</v>
      </c>
      <c r="D10" s="86" t="n">
        <v>2</v>
      </c>
      <c r="E10" s="85" t="n">
        <v>1</v>
      </c>
      <c r="F10" s="85" t="s">
        <v>6199</v>
      </c>
      <c r="G10" s="85" t="s">
        <v>6883</v>
      </c>
      <c r="H10" s="85" t="s">
        <v>6872</v>
      </c>
    </row>
    <row r="11" customFormat="false" ht="15" hidden="false" customHeight="true" outlineLevel="0" collapsed="false">
      <c r="A11" s="84" t="s">
        <v>6884</v>
      </c>
      <c r="B11" s="86" t="s">
        <v>5304</v>
      </c>
      <c r="C11" s="86" t="s">
        <v>6207</v>
      </c>
      <c r="D11" s="86" t="n">
        <v>1</v>
      </c>
      <c r="E11" s="85" t="n">
        <v>1</v>
      </c>
      <c r="F11" s="85" t="s">
        <v>6199</v>
      </c>
      <c r="G11" s="85" t="s">
        <v>6885</v>
      </c>
      <c r="H11" s="85" t="s">
        <v>6872</v>
      </c>
    </row>
    <row r="12" customFormat="false" ht="15" hidden="false" customHeight="true" outlineLevel="0" collapsed="false">
      <c r="A12" s="84" t="s">
        <v>6886</v>
      </c>
      <c r="B12" s="86" t="s">
        <v>5358</v>
      </c>
      <c r="C12" s="86" t="s">
        <v>6213</v>
      </c>
      <c r="D12" s="86" t="n">
        <v>1</v>
      </c>
      <c r="E12" s="85" t="n">
        <v>1</v>
      </c>
      <c r="F12" s="85" t="s">
        <v>6199</v>
      </c>
      <c r="G12" s="85" t="s">
        <v>6887</v>
      </c>
      <c r="H12" s="85" t="s">
        <v>6872</v>
      </c>
    </row>
    <row r="13" customFormat="false" ht="27.75" hidden="false" customHeight="true" outlineLevel="0" collapsed="false">
      <c r="A13" s="84" t="s">
        <v>6888</v>
      </c>
      <c r="B13" s="86" t="s">
        <v>5375</v>
      </c>
      <c r="C13" s="86" t="s">
        <v>6889</v>
      </c>
      <c r="D13" s="86" t="n">
        <v>1</v>
      </c>
      <c r="E13" s="85" t="n">
        <v>1</v>
      </c>
      <c r="F13" s="85" t="s">
        <v>6199</v>
      </c>
      <c r="G13" s="85" t="s">
        <v>6890</v>
      </c>
      <c r="H13" s="85" t="s">
        <v>6872</v>
      </c>
    </row>
    <row r="14" customFormat="false" ht="27.75" hidden="false" customHeight="true" outlineLevel="0" collapsed="false">
      <c r="A14" s="84" t="s">
        <v>6891</v>
      </c>
      <c r="B14" s="86" t="s">
        <v>5477</v>
      </c>
      <c r="C14" s="86" t="s">
        <v>6216</v>
      </c>
      <c r="D14" s="86" t="n">
        <v>1</v>
      </c>
      <c r="E14" s="85" t="n">
        <v>1</v>
      </c>
      <c r="F14" s="85" t="s">
        <v>6217</v>
      </c>
      <c r="G14" s="85" t="s">
        <v>6892</v>
      </c>
      <c r="H14" s="85" t="s">
        <v>6872</v>
      </c>
    </row>
    <row r="15" customFormat="false" ht="27.75" hidden="false" customHeight="true" outlineLevel="0" collapsed="false">
      <c r="A15" s="84" t="s">
        <v>6893</v>
      </c>
      <c r="B15" s="86" t="s">
        <v>5486</v>
      </c>
      <c r="C15" s="86" t="s">
        <v>6219</v>
      </c>
      <c r="D15" s="86" t="n">
        <v>1</v>
      </c>
      <c r="E15" s="85" t="n">
        <v>1</v>
      </c>
      <c r="F15" s="85" t="s">
        <v>6217</v>
      </c>
      <c r="G15" s="85" t="s">
        <v>6894</v>
      </c>
      <c r="H15" s="85" t="s">
        <v>6872</v>
      </c>
    </row>
    <row r="16" customFormat="false" ht="15" hidden="false" customHeight="true" outlineLevel="0" collapsed="false">
      <c r="A16" s="84" t="s">
        <v>6895</v>
      </c>
      <c r="B16" s="86" t="s">
        <v>5304</v>
      </c>
      <c r="C16" s="86" t="s">
        <v>6227</v>
      </c>
      <c r="D16" s="86" t="n">
        <v>2</v>
      </c>
      <c r="E16" s="85" t="n">
        <v>1</v>
      </c>
      <c r="F16" s="85" t="s">
        <v>6199</v>
      </c>
      <c r="G16" s="85" t="s">
        <v>6896</v>
      </c>
      <c r="H16" s="85" t="s">
        <v>6872</v>
      </c>
    </row>
    <row r="17" customFormat="false" ht="15" hidden="false" customHeight="true" outlineLevel="0" collapsed="false">
      <c r="A17" s="84" t="s">
        <v>6897</v>
      </c>
      <c r="B17" s="86" t="s">
        <v>5358</v>
      </c>
      <c r="C17" s="86" t="s">
        <v>6233</v>
      </c>
      <c r="D17" s="86" t="n">
        <v>2</v>
      </c>
      <c r="E17" s="85" t="n">
        <v>1</v>
      </c>
      <c r="F17" s="85" t="s">
        <v>6199</v>
      </c>
      <c r="G17" s="85" t="s">
        <v>6887</v>
      </c>
      <c r="H17" s="85" t="s">
        <v>6872</v>
      </c>
    </row>
    <row r="18" customFormat="false" ht="27.75" hidden="false" customHeight="true" outlineLevel="0" collapsed="false">
      <c r="A18" s="84" t="s">
        <v>6898</v>
      </c>
      <c r="B18" s="86" t="s">
        <v>5375</v>
      </c>
      <c r="C18" s="86" t="s">
        <v>6254</v>
      </c>
      <c r="D18" s="86" t="n">
        <v>2</v>
      </c>
      <c r="E18" s="85" t="n">
        <v>1</v>
      </c>
      <c r="F18" s="85" t="s">
        <v>6199</v>
      </c>
      <c r="G18" s="85" t="s">
        <v>6890</v>
      </c>
      <c r="H18" s="85" t="s">
        <v>6872</v>
      </c>
    </row>
    <row r="19" customFormat="false" ht="27.75" hidden="false" customHeight="true" outlineLevel="0" collapsed="false">
      <c r="A19" s="84" t="s">
        <v>6899</v>
      </c>
      <c r="B19" s="86" t="s">
        <v>5477</v>
      </c>
      <c r="C19" s="86" t="s">
        <v>6235</v>
      </c>
      <c r="D19" s="86" t="n">
        <v>2</v>
      </c>
      <c r="E19" s="85" t="n">
        <v>1</v>
      </c>
      <c r="F19" s="85" t="s">
        <v>6217</v>
      </c>
      <c r="G19" s="85" t="s">
        <v>6900</v>
      </c>
      <c r="H19" s="85" t="s">
        <v>6872</v>
      </c>
    </row>
    <row r="20" customFormat="false" ht="27.75" hidden="false" customHeight="true" outlineLevel="0" collapsed="false">
      <c r="A20" s="84" t="s">
        <v>6901</v>
      </c>
      <c r="B20" s="86" t="s">
        <v>5486</v>
      </c>
      <c r="C20" s="86" t="s">
        <v>6237</v>
      </c>
      <c r="D20" s="86" t="n">
        <v>2</v>
      </c>
      <c r="E20" s="85" t="n">
        <v>1</v>
      </c>
      <c r="F20" s="85" t="s">
        <v>6217</v>
      </c>
      <c r="G20" s="85" t="s">
        <v>6902</v>
      </c>
      <c r="H20" s="85" t="s">
        <v>6872</v>
      </c>
    </row>
    <row r="21" customFormat="false" ht="15" hidden="false" customHeight="true" outlineLevel="0" collapsed="false">
      <c r="A21" s="84" t="s">
        <v>6903</v>
      </c>
      <c r="B21" s="86" t="s">
        <v>5312</v>
      </c>
      <c r="C21" s="86" t="s">
        <v>6245</v>
      </c>
      <c r="D21" s="86" t="n">
        <v>2</v>
      </c>
      <c r="E21" s="85" t="n">
        <v>1</v>
      </c>
      <c r="F21" s="85" t="s">
        <v>6199</v>
      </c>
      <c r="G21" s="85" t="s">
        <v>6904</v>
      </c>
      <c r="H21" s="85" t="s">
        <v>6872</v>
      </c>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31"/>
    <col collapsed="false" customWidth="true" hidden="false" outlineLevel="0" max="2" min="2" style="30" width="28"/>
    <col collapsed="false" customWidth="true" hidden="false" outlineLevel="0" max="3" min="3" style="30" width="30"/>
    <col collapsed="false" customWidth="true" hidden="false" outlineLevel="0" max="4" min="4" style="30" width="7"/>
    <col collapsed="false" customWidth="true" hidden="false" outlineLevel="0" max="5" min="5" style="30" width="10"/>
    <col collapsed="false" customWidth="true" hidden="false" outlineLevel="0" max="6" min="6" style="30" width="20"/>
    <col collapsed="false" customWidth="true" hidden="false" outlineLevel="0" max="7" min="7" style="30" width="38"/>
    <col collapsed="false" customWidth="true" hidden="false" outlineLevel="0" max="8" min="8" style="30" width="22"/>
  </cols>
  <sheetData>
    <row r="1" customFormat="false" ht="21.75" hidden="false" customHeight="true" outlineLevel="0" collapsed="false">
      <c r="A1" s="8" t="s">
        <v>6905</v>
      </c>
      <c r="B1" s="8"/>
      <c r="C1" s="8"/>
      <c r="D1" s="8"/>
      <c r="E1" s="8"/>
      <c r="F1" s="8"/>
      <c r="G1" s="8"/>
      <c r="H1" s="8"/>
    </row>
    <row r="2" customFormat="false" ht="27.75" hidden="false" customHeight="true" outlineLevel="0" collapsed="false">
      <c r="A2" s="9" t="s">
        <v>6906</v>
      </c>
      <c r="B2" s="9"/>
      <c r="C2" s="9"/>
      <c r="D2" s="9"/>
      <c r="E2" s="9"/>
      <c r="F2" s="9"/>
      <c r="G2" s="9"/>
      <c r="H2" s="9"/>
    </row>
    <row r="4" customFormat="false" ht="15" hidden="false" customHeight="true" outlineLevel="0" collapsed="false">
      <c r="A4" s="76" t="s">
        <v>6866</v>
      </c>
      <c r="B4" s="76" t="s">
        <v>6681</v>
      </c>
      <c r="C4" s="76" t="s">
        <v>6177</v>
      </c>
      <c r="D4" s="76" t="s">
        <v>6178</v>
      </c>
      <c r="E4" s="76" t="s">
        <v>6179</v>
      </c>
      <c r="F4" s="76" t="s">
        <v>6867</v>
      </c>
      <c r="G4" s="76" t="s">
        <v>6868</v>
      </c>
      <c r="H4" s="76" t="s">
        <v>6869</v>
      </c>
    </row>
    <row r="5" customFormat="false" ht="15" hidden="false" customHeight="true" outlineLevel="0" collapsed="false">
      <c r="A5" s="84" t="s">
        <v>6907</v>
      </c>
      <c r="B5" s="86" t="s">
        <v>5358</v>
      </c>
      <c r="C5" s="86" t="s">
        <v>6213</v>
      </c>
      <c r="D5" s="86" t="n">
        <v>1</v>
      </c>
      <c r="E5" s="85" t="n">
        <v>1</v>
      </c>
      <c r="F5" s="85" t="s">
        <v>6199</v>
      </c>
      <c r="G5" s="85" t="s">
        <v>6908</v>
      </c>
      <c r="H5" s="85" t="s">
        <v>6872</v>
      </c>
    </row>
    <row r="6" customFormat="false" ht="15" hidden="false" customHeight="true" outlineLevel="0" collapsed="false">
      <c r="A6" s="84" t="s">
        <v>6909</v>
      </c>
      <c r="B6" s="86" t="s">
        <v>5269</v>
      </c>
      <c r="C6" s="86" t="s">
        <v>6204</v>
      </c>
      <c r="D6" s="86" t="n">
        <v>1</v>
      </c>
      <c r="E6" s="85" t="n">
        <v>1</v>
      </c>
      <c r="F6" s="85" t="s">
        <v>6199</v>
      </c>
      <c r="G6" s="85" t="s">
        <v>6910</v>
      </c>
      <c r="H6" s="85" t="s">
        <v>6872</v>
      </c>
    </row>
    <row r="7" customFormat="false" ht="15" hidden="false" customHeight="true" outlineLevel="0" collapsed="false">
      <c r="A7" s="84" t="s">
        <v>6911</v>
      </c>
      <c r="B7" s="86" t="s">
        <v>5304</v>
      </c>
      <c r="C7" s="86" t="s">
        <v>6207</v>
      </c>
      <c r="D7" s="86" t="n">
        <v>1</v>
      </c>
      <c r="E7" s="85" t="n">
        <v>1</v>
      </c>
      <c r="F7" s="85" t="s">
        <v>6199</v>
      </c>
      <c r="G7" s="85" t="s">
        <v>6912</v>
      </c>
      <c r="H7" s="85" t="s">
        <v>6872</v>
      </c>
    </row>
    <row r="8" customFormat="false" ht="15" hidden="false" customHeight="true" outlineLevel="0" collapsed="false">
      <c r="A8" s="84" t="s">
        <v>6913</v>
      </c>
      <c r="B8" s="86" t="s">
        <v>5276</v>
      </c>
      <c r="C8" s="86" t="s">
        <v>6874</v>
      </c>
      <c r="D8" s="86" t="n">
        <v>1</v>
      </c>
      <c r="E8" s="85" t="n">
        <v>1</v>
      </c>
      <c r="F8" s="85" t="s">
        <v>6199</v>
      </c>
      <c r="G8" s="85" t="s">
        <v>6914</v>
      </c>
      <c r="H8" s="85" t="s">
        <v>6872</v>
      </c>
    </row>
    <row r="9" customFormat="false" ht="27.75" hidden="false" customHeight="true" outlineLevel="0" collapsed="false">
      <c r="A9" s="84" t="s">
        <v>6915</v>
      </c>
      <c r="B9" s="86" t="s">
        <v>5375</v>
      </c>
      <c r="C9" s="86" t="s">
        <v>6889</v>
      </c>
      <c r="D9" s="86" t="n">
        <v>1</v>
      </c>
      <c r="E9" s="85" t="n">
        <v>1</v>
      </c>
      <c r="F9" s="85" t="s">
        <v>6199</v>
      </c>
      <c r="G9" s="85" t="s">
        <v>6916</v>
      </c>
      <c r="H9" s="85" t="s">
        <v>6872</v>
      </c>
    </row>
    <row r="10" customFormat="false" ht="27.75" hidden="false" customHeight="true" outlineLevel="0" collapsed="false">
      <c r="A10" s="84" t="s">
        <v>6917</v>
      </c>
      <c r="B10" s="86" t="s">
        <v>5477</v>
      </c>
      <c r="C10" s="86" t="s">
        <v>6216</v>
      </c>
      <c r="D10" s="86" t="n">
        <v>1</v>
      </c>
      <c r="E10" s="85" t="n">
        <v>1</v>
      </c>
      <c r="F10" s="85" t="s">
        <v>6217</v>
      </c>
      <c r="G10" s="85" t="s">
        <v>6918</v>
      </c>
      <c r="H10" s="85" t="s">
        <v>6872</v>
      </c>
    </row>
    <row r="11" customFormat="false" ht="15" hidden="false" customHeight="true" outlineLevel="0" collapsed="false">
      <c r="A11" s="84" t="s">
        <v>6919</v>
      </c>
      <c r="B11" s="86" t="s">
        <v>5255</v>
      </c>
      <c r="C11" s="86" t="s">
        <v>6198</v>
      </c>
      <c r="D11" s="86" t="n">
        <v>1</v>
      </c>
      <c r="E11" s="85" t="n">
        <v>1</v>
      </c>
      <c r="F11" s="85" t="s">
        <v>6199</v>
      </c>
      <c r="G11" s="85" t="s">
        <v>6920</v>
      </c>
      <c r="H11" s="85" t="s">
        <v>6872</v>
      </c>
    </row>
    <row r="12" customFormat="false" ht="27.75" hidden="false" customHeight="true" outlineLevel="0" collapsed="false">
      <c r="A12" s="84" t="s">
        <v>6921</v>
      </c>
      <c r="B12" s="86" t="s">
        <v>5486</v>
      </c>
      <c r="C12" s="86" t="s">
        <v>6219</v>
      </c>
      <c r="D12" s="86" t="n">
        <v>1</v>
      </c>
      <c r="E12" s="85" t="n">
        <v>1</v>
      </c>
      <c r="F12" s="85" t="s">
        <v>6217</v>
      </c>
      <c r="G12" s="85" t="s">
        <v>6922</v>
      </c>
      <c r="H12" s="85" t="s">
        <v>6872</v>
      </c>
    </row>
    <row r="13" customFormat="false" ht="15" hidden="false" customHeight="true" outlineLevel="0" collapsed="false">
      <c r="A13" s="84" t="s">
        <v>6923</v>
      </c>
      <c r="B13" s="86" t="s">
        <v>5358</v>
      </c>
      <c r="C13" s="86" t="s">
        <v>6233</v>
      </c>
      <c r="D13" s="86" t="n">
        <v>2</v>
      </c>
      <c r="E13" s="85" t="n">
        <v>1</v>
      </c>
      <c r="F13" s="85" t="s">
        <v>6199</v>
      </c>
      <c r="G13" s="85" t="s">
        <v>6924</v>
      </c>
      <c r="H13" s="85" t="s">
        <v>6872</v>
      </c>
    </row>
    <row r="14" customFormat="false" ht="15" hidden="false" customHeight="true" outlineLevel="0" collapsed="false">
      <c r="A14" s="84" t="s">
        <v>6925</v>
      </c>
      <c r="B14" s="86" t="s">
        <v>5269</v>
      </c>
      <c r="C14" s="86" t="s">
        <v>6224</v>
      </c>
      <c r="D14" s="86" t="n">
        <v>2</v>
      </c>
      <c r="E14" s="85" t="n">
        <v>1</v>
      </c>
      <c r="F14" s="85" t="s">
        <v>6199</v>
      </c>
      <c r="G14" s="85" t="s">
        <v>6926</v>
      </c>
      <c r="H14" s="85" t="s">
        <v>6872</v>
      </c>
    </row>
    <row r="15" customFormat="false" ht="15" hidden="false" customHeight="true" outlineLevel="0" collapsed="false">
      <c r="A15" s="84" t="s">
        <v>6927</v>
      </c>
      <c r="B15" s="86" t="s">
        <v>5304</v>
      </c>
      <c r="C15" s="86" t="s">
        <v>6227</v>
      </c>
      <c r="D15" s="86" t="n">
        <v>2</v>
      </c>
      <c r="E15" s="85" t="n">
        <v>1</v>
      </c>
      <c r="F15" s="85" t="s">
        <v>6199</v>
      </c>
      <c r="G15" s="85" t="s">
        <v>6912</v>
      </c>
      <c r="H15" s="85" t="s">
        <v>6872</v>
      </c>
    </row>
    <row r="16" customFormat="false" ht="15" hidden="false" customHeight="true" outlineLevel="0" collapsed="false">
      <c r="A16" s="84" t="s">
        <v>6928</v>
      </c>
      <c r="B16" s="86" t="s">
        <v>5276</v>
      </c>
      <c r="C16" s="86" t="s">
        <v>6239</v>
      </c>
      <c r="D16" s="86" t="n">
        <v>2</v>
      </c>
      <c r="E16" s="85" t="n">
        <v>1</v>
      </c>
      <c r="F16" s="85" t="s">
        <v>6199</v>
      </c>
      <c r="G16" s="85" t="s">
        <v>6929</v>
      </c>
      <c r="H16" s="85" t="s">
        <v>6872</v>
      </c>
    </row>
    <row r="17" customFormat="false" ht="27.75" hidden="false" customHeight="true" outlineLevel="0" collapsed="false">
      <c r="A17" s="84" t="s">
        <v>6930</v>
      </c>
      <c r="B17" s="86" t="s">
        <v>5375</v>
      </c>
      <c r="C17" s="86" t="s">
        <v>6254</v>
      </c>
      <c r="D17" s="86" t="n">
        <v>2</v>
      </c>
      <c r="E17" s="85" t="n">
        <v>1</v>
      </c>
      <c r="F17" s="85" t="s">
        <v>6199</v>
      </c>
      <c r="G17" s="85" t="s">
        <v>6916</v>
      </c>
      <c r="H17" s="85" t="s">
        <v>6872</v>
      </c>
    </row>
    <row r="18" customFormat="false" ht="27.75" hidden="false" customHeight="true" outlineLevel="0" collapsed="false">
      <c r="A18" s="84" t="s">
        <v>6931</v>
      </c>
      <c r="B18" s="86" t="s">
        <v>5477</v>
      </c>
      <c r="C18" s="86" t="s">
        <v>6235</v>
      </c>
      <c r="D18" s="86" t="n">
        <v>2</v>
      </c>
      <c r="E18" s="85" t="n">
        <v>1</v>
      </c>
      <c r="F18" s="85" t="s">
        <v>6217</v>
      </c>
      <c r="G18" s="85" t="s">
        <v>6932</v>
      </c>
      <c r="H18" s="85" t="s">
        <v>6872</v>
      </c>
    </row>
    <row r="19" customFormat="false" ht="15" hidden="false" customHeight="true" outlineLevel="0" collapsed="false">
      <c r="A19" s="84" t="s">
        <v>6933</v>
      </c>
      <c r="B19" s="86" t="s">
        <v>5255</v>
      </c>
      <c r="C19" s="86" t="s">
        <v>6221</v>
      </c>
      <c r="D19" s="86" t="n">
        <v>2</v>
      </c>
      <c r="E19" s="85" t="n">
        <v>1</v>
      </c>
      <c r="F19" s="85" t="s">
        <v>6199</v>
      </c>
      <c r="G19" s="85" t="s">
        <v>6934</v>
      </c>
      <c r="H19" s="85" t="s">
        <v>6872</v>
      </c>
    </row>
    <row r="20" customFormat="false" ht="27.75" hidden="false" customHeight="true" outlineLevel="0" collapsed="false">
      <c r="A20" s="84" t="s">
        <v>6935</v>
      </c>
      <c r="B20" s="86" t="s">
        <v>5486</v>
      </c>
      <c r="C20" s="86" t="s">
        <v>6237</v>
      </c>
      <c r="D20" s="86" t="n">
        <v>2</v>
      </c>
      <c r="E20" s="85" t="n">
        <v>1</v>
      </c>
      <c r="F20" s="85" t="s">
        <v>6217</v>
      </c>
      <c r="G20" s="85" t="s">
        <v>6936</v>
      </c>
      <c r="H20" s="85" t="s">
        <v>6872</v>
      </c>
    </row>
    <row r="21" customFormat="false" ht="15" hidden="false" customHeight="true" outlineLevel="0" collapsed="false">
      <c r="A21" s="84" t="s">
        <v>6937</v>
      </c>
      <c r="B21" s="86" t="s">
        <v>5312</v>
      </c>
      <c r="C21" s="86" t="s">
        <v>6245</v>
      </c>
      <c r="D21" s="86" t="n">
        <v>2</v>
      </c>
      <c r="E21" s="85" t="n">
        <v>1</v>
      </c>
      <c r="F21" s="85" t="s">
        <v>6199</v>
      </c>
      <c r="G21" s="85" t="s">
        <v>6938</v>
      </c>
      <c r="H21" s="85" t="s">
        <v>6872</v>
      </c>
    </row>
    <row r="22" customFormat="false" ht="15" hidden="false" customHeight="true" outlineLevel="0" collapsed="false">
      <c r="A22" s="84" t="s">
        <v>6939</v>
      </c>
      <c r="B22" s="86"/>
      <c r="C22" s="86" t="s">
        <v>6940</v>
      </c>
      <c r="D22" s="86" t="n">
        <v>1</v>
      </c>
      <c r="E22" s="85" t="n">
        <v>0</v>
      </c>
      <c r="F22" s="85" t="s">
        <v>6193</v>
      </c>
      <c r="G22" s="85" t="s">
        <v>6941</v>
      </c>
      <c r="H22" s="85" t="s">
        <v>6942</v>
      </c>
    </row>
    <row r="23" customFormat="false" ht="15" hidden="false" customHeight="true" outlineLevel="0" collapsed="false">
      <c r="A23" s="84" t="s">
        <v>6943</v>
      </c>
      <c r="B23" s="86"/>
      <c r="C23" s="86" t="s">
        <v>6944</v>
      </c>
      <c r="D23" s="86" t="n">
        <v>2</v>
      </c>
      <c r="E23" s="85" t="n">
        <v>0</v>
      </c>
      <c r="F23" s="85" t="s">
        <v>6193</v>
      </c>
      <c r="G23" s="85" t="s">
        <v>6941</v>
      </c>
      <c r="H23" s="85" t="s">
        <v>6942</v>
      </c>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4"/>
    <col collapsed="false" customWidth="true" hidden="false" outlineLevel="0" max="2" min="2" style="30" width="10"/>
    <col collapsed="false" customWidth="true" hidden="false" outlineLevel="0" max="3" min="3" style="30" width="20"/>
    <col collapsed="false" customWidth="true" hidden="false" outlineLevel="0" max="4" min="4" style="30" width="22"/>
    <col collapsed="false" customWidth="true" hidden="false" outlineLevel="0" max="5" min="5" style="30" width="18"/>
    <col collapsed="false" customWidth="true" hidden="false" outlineLevel="0" max="6" min="6" style="30" width="28"/>
    <col collapsed="false" customWidth="true" hidden="false" outlineLevel="0" max="8" min="7" style="30" width="26"/>
    <col collapsed="false" customWidth="true" hidden="false" outlineLevel="0" max="9" min="9" style="30" width="34"/>
  </cols>
  <sheetData>
    <row r="1" customFormat="false" ht="21.75" hidden="false" customHeight="true" outlineLevel="0" collapsed="false">
      <c r="A1" s="8" t="s">
        <v>6945</v>
      </c>
      <c r="B1" s="8"/>
      <c r="C1" s="8"/>
      <c r="D1" s="8"/>
      <c r="E1" s="8"/>
      <c r="F1" s="8"/>
      <c r="G1" s="8"/>
      <c r="H1" s="8"/>
      <c r="I1" s="8"/>
    </row>
    <row r="2" customFormat="false" ht="15" hidden="false" customHeight="true" outlineLevel="0" collapsed="false">
      <c r="A2" s="9" t="s">
        <v>6946</v>
      </c>
      <c r="B2" s="9"/>
      <c r="C2" s="9"/>
      <c r="D2" s="9"/>
      <c r="E2" s="9"/>
      <c r="F2" s="9"/>
      <c r="G2" s="9"/>
      <c r="H2" s="9"/>
      <c r="I2" s="9"/>
    </row>
    <row r="4" customFormat="false" ht="15" hidden="false" customHeight="true" outlineLevel="0" collapsed="false">
      <c r="A4" s="76" t="s">
        <v>6947</v>
      </c>
      <c r="B4" s="76" t="s">
        <v>6348</v>
      </c>
      <c r="C4" s="76" t="s">
        <v>6948</v>
      </c>
      <c r="D4" s="76" t="s">
        <v>6949</v>
      </c>
      <c r="E4" s="76" t="s">
        <v>6950</v>
      </c>
      <c r="F4" s="76" t="s">
        <v>6951</v>
      </c>
      <c r="G4" s="76" t="s">
        <v>6952</v>
      </c>
      <c r="H4" s="76" t="s">
        <v>6953</v>
      </c>
      <c r="I4" s="76" t="s">
        <v>6954</v>
      </c>
    </row>
    <row r="5" customFormat="false" ht="42" hidden="false" customHeight="true" outlineLevel="0" collapsed="false">
      <c r="A5" s="84" t="s">
        <v>4015</v>
      </c>
      <c r="B5" s="86" t="n">
        <v>1</v>
      </c>
      <c r="C5" s="86" t="s">
        <v>6955</v>
      </c>
      <c r="D5" s="86" t="s">
        <v>6956</v>
      </c>
      <c r="E5" s="85" t="s">
        <v>6957</v>
      </c>
      <c r="F5" s="85" t="s">
        <v>6958</v>
      </c>
      <c r="G5" s="85" t="s">
        <v>6959</v>
      </c>
      <c r="H5" s="85" t="s">
        <v>6960</v>
      </c>
      <c r="I5" s="85" t="s">
        <v>6961</v>
      </c>
    </row>
    <row r="6" customFormat="false" ht="42" hidden="false" customHeight="true" outlineLevel="0" collapsed="false">
      <c r="A6" s="84" t="s">
        <v>5313</v>
      </c>
      <c r="B6" s="86" t="n">
        <v>2</v>
      </c>
      <c r="C6" s="86" t="s">
        <v>6962</v>
      </c>
      <c r="D6" s="86" t="s">
        <v>6963</v>
      </c>
      <c r="E6" s="85" t="s">
        <v>6964</v>
      </c>
      <c r="F6" s="85" t="s">
        <v>6965</v>
      </c>
      <c r="G6" s="85" t="s">
        <v>6966</v>
      </c>
      <c r="H6" s="85" t="s">
        <v>6967</v>
      </c>
      <c r="I6" s="85" t="s">
        <v>6968</v>
      </c>
    </row>
    <row r="7" customFormat="false" ht="42" hidden="false" customHeight="true" outlineLevel="0" collapsed="false">
      <c r="A7" s="84" t="s">
        <v>727</v>
      </c>
      <c r="B7" s="86" t="n">
        <v>1</v>
      </c>
      <c r="C7" s="86" t="s">
        <v>6969</v>
      </c>
      <c r="D7" s="86" t="s">
        <v>6970</v>
      </c>
      <c r="E7" s="85" t="s">
        <v>6971</v>
      </c>
      <c r="F7" s="85" t="s">
        <v>6972</v>
      </c>
      <c r="G7" s="85" t="s">
        <v>6973</v>
      </c>
      <c r="H7" s="85" t="s">
        <v>6974</v>
      </c>
      <c r="I7" s="85" t="s">
        <v>6975</v>
      </c>
    </row>
    <row r="8" customFormat="false" ht="42" hidden="false" customHeight="true" outlineLevel="0" collapsed="false">
      <c r="A8" s="84" t="s">
        <v>5478</v>
      </c>
      <c r="B8" s="86" t="n">
        <v>1</v>
      </c>
      <c r="C8" s="86" t="s">
        <v>6976</v>
      </c>
      <c r="D8" s="86" t="s">
        <v>6977</v>
      </c>
      <c r="E8" s="85" t="s">
        <v>6978</v>
      </c>
      <c r="F8" s="85" t="s">
        <v>6979</v>
      </c>
      <c r="G8" s="85" t="s">
        <v>6980</v>
      </c>
      <c r="H8" s="85" t="s">
        <v>6981</v>
      </c>
      <c r="I8" s="85" t="s">
        <v>6982</v>
      </c>
    </row>
    <row r="9" customFormat="false" ht="42" hidden="false" customHeight="true" outlineLevel="0" collapsed="false">
      <c r="A9" s="84" t="s">
        <v>5487</v>
      </c>
      <c r="B9" s="86" t="n">
        <v>1</v>
      </c>
      <c r="C9" s="86" t="s">
        <v>6983</v>
      </c>
      <c r="D9" s="86" t="s">
        <v>6977</v>
      </c>
      <c r="E9" s="85" t="s">
        <v>6984</v>
      </c>
      <c r="F9" s="85" t="s">
        <v>6979</v>
      </c>
      <c r="G9" s="85" t="s">
        <v>6985</v>
      </c>
      <c r="H9" s="85" t="s">
        <v>6981</v>
      </c>
      <c r="I9" s="85" t="s">
        <v>6986</v>
      </c>
    </row>
    <row r="10" customFormat="false" ht="42" hidden="false" customHeight="true" outlineLevel="0" collapsed="false">
      <c r="A10" s="84" t="s">
        <v>6987</v>
      </c>
      <c r="B10" s="86" t="s">
        <v>6988</v>
      </c>
      <c r="C10" s="86" t="s">
        <v>6989</v>
      </c>
      <c r="D10" s="86" t="s">
        <v>6990</v>
      </c>
      <c r="E10" s="85" t="s">
        <v>6991</v>
      </c>
      <c r="F10" s="85" t="s">
        <v>6992</v>
      </c>
      <c r="G10" s="85" t="s">
        <v>6993</v>
      </c>
      <c r="H10" s="85" t="s">
        <v>6994</v>
      </c>
      <c r="I10" s="85" t="s">
        <v>6995</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2"/>
    <col collapsed="false" customWidth="true" hidden="false" outlineLevel="0" max="2" min="2" style="30" width="23"/>
    <col collapsed="false" customWidth="true" hidden="false" outlineLevel="0" max="3" min="3" style="30" width="24"/>
    <col collapsed="false" customWidth="true" hidden="false" outlineLevel="0" max="4" min="4" style="30" width="18"/>
    <col collapsed="false" customWidth="true" hidden="false" outlineLevel="0" max="5" min="5" style="30" width="34"/>
    <col collapsed="false" customWidth="true" hidden="false" outlineLevel="0" max="6" min="6" style="30" width="40"/>
    <col collapsed="false" customWidth="true" hidden="false" outlineLevel="0" max="7" min="7" style="30" width="13"/>
    <col collapsed="false" customWidth="true" hidden="false" outlineLevel="0" max="8" min="8" style="30" width="34"/>
  </cols>
  <sheetData>
    <row r="1" customFormat="false" ht="21.75" hidden="false" customHeight="true" outlineLevel="0" collapsed="false">
      <c r="A1" s="8" t="s">
        <v>6996</v>
      </c>
      <c r="B1" s="8"/>
      <c r="C1" s="8"/>
      <c r="D1" s="8"/>
      <c r="E1" s="8"/>
      <c r="F1" s="8"/>
      <c r="G1" s="8"/>
      <c r="H1" s="8"/>
    </row>
    <row r="2" customFormat="false" ht="15" hidden="false" customHeight="true" outlineLevel="0" collapsed="false">
      <c r="A2" s="9" t="s">
        <v>6997</v>
      </c>
      <c r="B2" s="9"/>
      <c r="C2" s="9"/>
      <c r="D2" s="9"/>
      <c r="E2" s="9"/>
      <c r="F2" s="9"/>
      <c r="G2" s="9"/>
      <c r="H2" s="9"/>
    </row>
    <row r="4" customFormat="false" ht="15" hidden="false" customHeight="true" outlineLevel="0" collapsed="false">
      <c r="A4" s="76" t="s">
        <v>6998</v>
      </c>
      <c r="B4" s="76" t="s">
        <v>6999</v>
      </c>
      <c r="C4" s="76" t="s">
        <v>7000</v>
      </c>
      <c r="D4" s="76" t="s">
        <v>7001</v>
      </c>
      <c r="E4" s="76" t="s">
        <v>7002</v>
      </c>
      <c r="F4" s="76" t="s">
        <v>7003</v>
      </c>
      <c r="G4" s="76" t="s">
        <v>5925</v>
      </c>
      <c r="H4" s="76" t="s">
        <v>7004</v>
      </c>
    </row>
    <row r="5" customFormat="false" ht="48" hidden="false" customHeight="true" outlineLevel="0" collapsed="false">
      <c r="A5" s="84" t="s">
        <v>4015</v>
      </c>
      <c r="B5" s="86" t="s">
        <v>7005</v>
      </c>
      <c r="C5" s="86" t="s">
        <v>7006</v>
      </c>
      <c r="D5" s="86" t="s">
        <v>7007</v>
      </c>
      <c r="E5" s="85" t="s">
        <v>7008</v>
      </c>
      <c r="F5" s="85" t="s">
        <v>7009</v>
      </c>
      <c r="G5" s="85" t="s">
        <v>5783</v>
      </c>
      <c r="H5" s="85" t="s">
        <v>7010</v>
      </c>
    </row>
    <row r="6" customFormat="false" ht="48" hidden="false" customHeight="true" outlineLevel="0" collapsed="false">
      <c r="A6" s="84" t="s">
        <v>5313</v>
      </c>
      <c r="B6" s="86" t="s">
        <v>7011</v>
      </c>
      <c r="C6" s="86" t="s">
        <v>7012</v>
      </c>
      <c r="D6" s="86" t="s">
        <v>7013</v>
      </c>
      <c r="E6" s="85" t="s">
        <v>7014</v>
      </c>
      <c r="F6" s="85" t="s">
        <v>7015</v>
      </c>
      <c r="G6" s="85" t="s">
        <v>7016</v>
      </c>
      <c r="H6" s="85" t="s">
        <v>7017</v>
      </c>
    </row>
    <row r="7" customFormat="false" ht="48" hidden="false" customHeight="true" outlineLevel="0" collapsed="false">
      <c r="A7" s="84" t="s">
        <v>7018</v>
      </c>
      <c r="B7" s="86" t="s">
        <v>7019</v>
      </c>
      <c r="C7" s="86" t="s">
        <v>7020</v>
      </c>
      <c r="D7" s="86" t="s">
        <v>7007</v>
      </c>
      <c r="E7" s="85" t="s">
        <v>7021</v>
      </c>
      <c r="F7" s="85" t="s">
        <v>7022</v>
      </c>
      <c r="G7" s="85" t="s">
        <v>5783</v>
      </c>
      <c r="H7" s="85" t="s">
        <v>7023</v>
      </c>
    </row>
    <row r="8" customFormat="false" ht="48" hidden="false" customHeight="true" outlineLevel="0" collapsed="false">
      <c r="A8" s="84" t="s">
        <v>7024</v>
      </c>
      <c r="B8" s="86" t="s">
        <v>7025</v>
      </c>
      <c r="C8" s="86" t="s">
        <v>7026</v>
      </c>
      <c r="D8" s="86" t="s">
        <v>7007</v>
      </c>
      <c r="E8" s="85" t="s">
        <v>7027</v>
      </c>
      <c r="F8" s="85" t="s">
        <v>7028</v>
      </c>
      <c r="G8" s="85" t="s">
        <v>5783</v>
      </c>
      <c r="H8" s="85" t="s">
        <v>7029</v>
      </c>
    </row>
    <row r="9" customFormat="false" ht="48" hidden="false" customHeight="true" outlineLevel="0" collapsed="false">
      <c r="A9" s="84" t="s">
        <v>7030</v>
      </c>
      <c r="B9" s="86" t="s">
        <v>7031</v>
      </c>
      <c r="C9" s="86" t="s">
        <v>7032</v>
      </c>
      <c r="D9" s="86" t="s">
        <v>7007</v>
      </c>
      <c r="E9" s="85" t="s">
        <v>7033</v>
      </c>
      <c r="F9" s="85" t="s">
        <v>7028</v>
      </c>
      <c r="G9" s="85" t="s">
        <v>5783</v>
      </c>
      <c r="H9" s="85" t="s">
        <v>7029</v>
      </c>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31"/>
    <col collapsed="false" customWidth="true" hidden="false" outlineLevel="0" max="2" min="2" style="30" width="28"/>
    <col collapsed="false" customWidth="true" hidden="false" outlineLevel="0" max="3" min="3" style="30" width="30"/>
    <col collapsed="false" customWidth="true" hidden="false" outlineLevel="0" max="4" min="4" style="30" width="7"/>
    <col collapsed="false" customWidth="true" hidden="false" outlineLevel="0" max="5" min="5" style="30" width="10"/>
    <col collapsed="false" customWidth="true" hidden="false" outlineLevel="0" max="6" min="6" style="30" width="20"/>
    <col collapsed="false" customWidth="true" hidden="false" outlineLevel="0" max="7" min="7" style="30" width="38"/>
    <col collapsed="false" customWidth="true" hidden="false" outlineLevel="0" max="8" min="8" style="30" width="22"/>
  </cols>
  <sheetData>
    <row r="1" customFormat="false" ht="21.75" hidden="false" customHeight="true" outlineLevel="0" collapsed="false">
      <c r="A1" s="8" t="s">
        <v>7034</v>
      </c>
      <c r="B1" s="8"/>
      <c r="C1" s="8"/>
      <c r="D1" s="8"/>
      <c r="E1" s="8"/>
      <c r="F1" s="8"/>
      <c r="G1" s="8"/>
      <c r="H1" s="8"/>
    </row>
    <row r="2" customFormat="false" ht="15" hidden="false" customHeight="true" outlineLevel="0" collapsed="false">
      <c r="A2" s="9" t="s">
        <v>7035</v>
      </c>
      <c r="B2" s="9"/>
      <c r="C2" s="9"/>
      <c r="D2" s="9"/>
      <c r="E2" s="9"/>
      <c r="F2" s="9"/>
      <c r="G2" s="9"/>
      <c r="H2" s="9"/>
    </row>
    <row r="4" customFormat="false" ht="15" hidden="false" customHeight="true" outlineLevel="0" collapsed="false">
      <c r="A4" s="76" t="s">
        <v>6866</v>
      </c>
      <c r="B4" s="76" t="s">
        <v>6681</v>
      </c>
      <c r="C4" s="76" t="s">
        <v>6177</v>
      </c>
      <c r="D4" s="76" t="s">
        <v>6178</v>
      </c>
      <c r="E4" s="76" t="s">
        <v>6179</v>
      </c>
      <c r="F4" s="76" t="s">
        <v>6867</v>
      </c>
      <c r="G4" s="76" t="s">
        <v>6868</v>
      </c>
      <c r="H4" s="76" t="s">
        <v>6869</v>
      </c>
    </row>
    <row r="5" customFormat="false" ht="15" hidden="false" customHeight="true" outlineLevel="0" collapsed="false">
      <c r="A5" s="84" t="s">
        <v>7036</v>
      </c>
      <c r="B5" s="86" t="s">
        <v>5269</v>
      </c>
      <c r="C5" s="86" t="s">
        <v>6204</v>
      </c>
      <c r="D5" s="86" t="n">
        <v>1</v>
      </c>
      <c r="E5" s="85" t="n">
        <v>1</v>
      </c>
      <c r="F5" s="85" t="s">
        <v>6199</v>
      </c>
      <c r="G5" s="85" t="s">
        <v>6910</v>
      </c>
      <c r="H5" s="85" t="s">
        <v>6872</v>
      </c>
    </row>
    <row r="6" customFormat="false" ht="27.75" hidden="false" customHeight="true" outlineLevel="0" collapsed="false">
      <c r="A6" s="84" t="s">
        <v>7037</v>
      </c>
      <c r="B6" s="86" t="s">
        <v>5304</v>
      </c>
      <c r="C6" s="86" t="s">
        <v>6207</v>
      </c>
      <c r="D6" s="86" t="n">
        <v>1</v>
      </c>
      <c r="E6" s="85" t="n">
        <v>1</v>
      </c>
      <c r="F6" s="85" t="s">
        <v>6199</v>
      </c>
      <c r="G6" s="85" t="s">
        <v>7038</v>
      </c>
      <c r="H6" s="85" t="s">
        <v>6872</v>
      </c>
    </row>
    <row r="7" customFormat="false" ht="15" hidden="false" customHeight="true" outlineLevel="0" collapsed="false">
      <c r="A7" s="84" t="s">
        <v>7039</v>
      </c>
      <c r="B7" s="86" t="s">
        <v>5276</v>
      </c>
      <c r="C7" s="86" t="s">
        <v>6874</v>
      </c>
      <c r="D7" s="86" t="n">
        <v>1</v>
      </c>
      <c r="E7" s="85" t="n">
        <v>1</v>
      </c>
      <c r="F7" s="85" t="s">
        <v>6199</v>
      </c>
      <c r="G7" s="85" t="s">
        <v>6914</v>
      </c>
      <c r="H7" s="85" t="s">
        <v>6872</v>
      </c>
    </row>
    <row r="8" customFormat="false" ht="27.75" hidden="false" customHeight="true" outlineLevel="0" collapsed="false">
      <c r="A8" s="84" t="s">
        <v>7040</v>
      </c>
      <c r="B8" s="86" t="s">
        <v>5375</v>
      </c>
      <c r="C8" s="86" t="s">
        <v>6889</v>
      </c>
      <c r="D8" s="86" t="n">
        <v>1</v>
      </c>
      <c r="E8" s="85" t="n">
        <v>1</v>
      </c>
      <c r="F8" s="85" t="s">
        <v>6199</v>
      </c>
      <c r="G8" s="85" t="s">
        <v>6916</v>
      </c>
      <c r="H8" s="85" t="s">
        <v>6872</v>
      </c>
    </row>
    <row r="9" customFormat="false" ht="27.75" hidden="false" customHeight="true" outlineLevel="0" collapsed="false">
      <c r="A9" s="84" t="s">
        <v>7041</v>
      </c>
      <c r="B9" s="86" t="s">
        <v>5477</v>
      </c>
      <c r="C9" s="86" t="s">
        <v>6216</v>
      </c>
      <c r="D9" s="86" t="n">
        <v>1</v>
      </c>
      <c r="E9" s="85" t="n">
        <v>1</v>
      </c>
      <c r="F9" s="85" t="s">
        <v>6217</v>
      </c>
      <c r="G9" s="85" t="s">
        <v>6918</v>
      </c>
      <c r="H9" s="85" t="s">
        <v>6872</v>
      </c>
    </row>
    <row r="10" customFormat="false" ht="15" hidden="false" customHeight="true" outlineLevel="0" collapsed="false">
      <c r="A10" s="84" t="s">
        <v>7042</v>
      </c>
      <c r="B10" s="86" t="s">
        <v>5255</v>
      </c>
      <c r="C10" s="86" t="s">
        <v>6198</v>
      </c>
      <c r="D10" s="86" t="n">
        <v>1</v>
      </c>
      <c r="E10" s="85" t="n">
        <v>1</v>
      </c>
      <c r="F10" s="85" t="s">
        <v>6199</v>
      </c>
      <c r="G10" s="85" t="s">
        <v>6920</v>
      </c>
      <c r="H10" s="85" t="s">
        <v>6872</v>
      </c>
    </row>
    <row r="11" customFormat="false" ht="27.75" hidden="false" customHeight="true" outlineLevel="0" collapsed="false">
      <c r="A11" s="84" t="s">
        <v>7043</v>
      </c>
      <c r="B11" s="86" t="s">
        <v>5486</v>
      </c>
      <c r="C11" s="86" t="s">
        <v>6219</v>
      </c>
      <c r="D11" s="86" t="n">
        <v>1</v>
      </c>
      <c r="E11" s="85" t="n">
        <v>1</v>
      </c>
      <c r="F11" s="85" t="s">
        <v>6217</v>
      </c>
      <c r="G11" s="85" t="s">
        <v>6922</v>
      </c>
      <c r="H11" s="85" t="s">
        <v>6872</v>
      </c>
    </row>
    <row r="12" customFormat="false" ht="27.75" hidden="false" customHeight="true" outlineLevel="0" collapsed="false">
      <c r="A12" s="84" t="s">
        <v>7044</v>
      </c>
      <c r="B12" s="86" t="s">
        <v>5358</v>
      </c>
      <c r="C12" s="86" t="s">
        <v>7045</v>
      </c>
      <c r="D12" s="86" t="n">
        <v>2</v>
      </c>
      <c r="E12" s="85" t="n">
        <v>1</v>
      </c>
      <c r="F12" s="85" t="s">
        <v>6199</v>
      </c>
      <c r="G12" s="85" t="s">
        <v>6908</v>
      </c>
      <c r="H12" s="85" t="s">
        <v>6872</v>
      </c>
    </row>
    <row r="13" customFormat="false" ht="15" hidden="false" customHeight="true" outlineLevel="0" collapsed="false">
      <c r="A13" s="84" t="s">
        <v>7046</v>
      </c>
      <c r="B13" s="86" t="s">
        <v>5269</v>
      </c>
      <c r="C13" s="86" t="s">
        <v>6224</v>
      </c>
      <c r="D13" s="86" t="n">
        <v>2</v>
      </c>
      <c r="E13" s="85" t="n">
        <v>1</v>
      </c>
      <c r="F13" s="85" t="s">
        <v>6199</v>
      </c>
      <c r="G13" s="85" t="s">
        <v>7047</v>
      </c>
      <c r="H13" s="85" t="s">
        <v>6872</v>
      </c>
    </row>
    <row r="14" customFormat="false" ht="27.75" hidden="false" customHeight="true" outlineLevel="0" collapsed="false">
      <c r="A14" s="84" t="s">
        <v>7048</v>
      </c>
      <c r="B14" s="86" t="s">
        <v>5304</v>
      </c>
      <c r="C14" s="86" t="s">
        <v>6227</v>
      </c>
      <c r="D14" s="86" t="n">
        <v>2</v>
      </c>
      <c r="E14" s="85" t="n">
        <v>1</v>
      </c>
      <c r="F14" s="85" t="s">
        <v>6199</v>
      </c>
      <c r="G14" s="85" t="s">
        <v>7038</v>
      </c>
      <c r="H14" s="85" t="s">
        <v>6872</v>
      </c>
    </row>
    <row r="15" customFormat="false" ht="15" hidden="false" customHeight="true" outlineLevel="0" collapsed="false">
      <c r="A15" s="84" t="s">
        <v>7049</v>
      </c>
      <c r="B15" s="86" t="s">
        <v>5276</v>
      </c>
      <c r="C15" s="86" t="s">
        <v>6239</v>
      </c>
      <c r="D15" s="86" t="n">
        <v>2</v>
      </c>
      <c r="E15" s="85" t="n">
        <v>1</v>
      </c>
      <c r="F15" s="85" t="s">
        <v>6199</v>
      </c>
      <c r="G15" s="85" t="s">
        <v>6929</v>
      </c>
      <c r="H15" s="85" t="s">
        <v>6872</v>
      </c>
    </row>
    <row r="16" customFormat="false" ht="27.75" hidden="false" customHeight="true" outlineLevel="0" collapsed="false">
      <c r="A16" s="84" t="s">
        <v>7050</v>
      </c>
      <c r="B16" s="86" t="s">
        <v>5375</v>
      </c>
      <c r="C16" s="86" t="s">
        <v>6254</v>
      </c>
      <c r="D16" s="86" t="n">
        <v>2</v>
      </c>
      <c r="E16" s="85" t="n">
        <v>1</v>
      </c>
      <c r="F16" s="85" t="s">
        <v>6199</v>
      </c>
      <c r="G16" s="85" t="s">
        <v>6916</v>
      </c>
      <c r="H16" s="85" t="s">
        <v>6872</v>
      </c>
    </row>
    <row r="17" customFormat="false" ht="27.75" hidden="false" customHeight="true" outlineLevel="0" collapsed="false">
      <c r="A17" s="84" t="s">
        <v>7051</v>
      </c>
      <c r="B17" s="86" t="s">
        <v>5477</v>
      </c>
      <c r="C17" s="86" t="s">
        <v>6235</v>
      </c>
      <c r="D17" s="86" t="n">
        <v>2</v>
      </c>
      <c r="E17" s="85" t="n">
        <v>1</v>
      </c>
      <c r="F17" s="85" t="s">
        <v>6217</v>
      </c>
      <c r="G17" s="85" t="s">
        <v>6932</v>
      </c>
      <c r="H17" s="85" t="s">
        <v>6872</v>
      </c>
    </row>
    <row r="18" customFormat="false" ht="15" hidden="false" customHeight="true" outlineLevel="0" collapsed="false">
      <c r="A18" s="84" t="s">
        <v>7052</v>
      </c>
      <c r="B18" s="86" t="s">
        <v>5255</v>
      </c>
      <c r="C18" s="86" t="s">
        <v>6221</v>
      </c>
      <c r="D18" s="86" t="n">
        <v>2</v>
      </c>
      <c r="E18" s="85" t="n">
        <v>1</v>
      </c>
      <c r="F18" s="85" t="s">
        <v>6199</v>
      </c>
      <c r="G18" s="85" t="s">
        <v>6934</v>
      </c>
      <c r="H18" s="85" t="s">
        <v>6872</v>
      </c>
    </row>
    <row r="19" customFormat="false" ht="27.75" hidden="false" customHeight="true" outlineLevel="0" collapsed="false">
      <c r="A19" s="84" t="s">
        <v>7053</v>
      </c>
      <c r="B19" s="86" t="s">
        <v>5486</v>
      </c>
      <c r="C19" s="86" t="s">
        <v>6237</v>
      </c>
      <c r="D19" s="86" t="n">
        <v>2</v>
      </c>
      <c r="E19" s="85" t="n">
        <v>1</v>
      </c>
      <c r="F19" s="85" t="s">
        <v>6217</v>
      </c>
      <c r="G19" s="85" t="s">
        <v>6936</v>
      </c>
      <c r="H19" s="85" t="s">
        <v>6872</v>
      </c>
    </row>
    <row r="20" customFormat="false" ht="15" hidden="false" customHeight="true" outlineLevel="0" collapsed="false">
      <c r="A20" s="84" t="s">
        <v>7054</v>
      </c>
      <c r="B20" s="86" t="s">
        <v>5312</v>
      </c>
      <c r="C20" s="86" t="s">
        <v>6245</v>
      </c>
      <c r="D20" s="86" t="n">
        <v>2</v>
      </c>
      <c r="E20" s="85" t="n">
        <v>1</v>
      </c>
      <c r="F20" s="85" t="s">
        <v>6199</v>
      </c>
      <c r="G20" s="85" t="s">
        <v>7055</v>
      </c>
      <c r="H20" s="85" t="s">
        <v>6872</v>
      </c>
    </row>
    <row r="21" customFormat="false" ht="15" hidden="false" customHeight="true" outlineLevel="0" collapsed="false">
      <c r="A21" s="84"/>
      <c r="B21" s="86"/>
      <c r="C21" s="86"/>
      <c r="D21" s="86"/>
      <c r="E21" s="85"/>
      <c r="F21" s="85"/>
      <c r="G21" s="85"/>
      <c r="H21" s="85"/>
    </row>
    <row r="22" customFormat="false" ht="15" hidden="false" customHeight="true" outlineLevel="0" collapsed="false">
      <c r="A22" s="84"/>
      <c r="B22" s="86"/>
      <c r="C22" s="86"/>
      <c r="D22" s="86"/>
      <c r="E22" s="85"/>
      <c r="F22" s="85"/>
      <c r="G22" s="85"/>
      <c r="H22" s="85"/>
    </row>
    <row r="23" customFormat="false" ht="15" hidden="false" customHeight="true" outlineLevel="0" collapsed="false">
      <c r="A23" s="84"/>
      <c r="B23" s="86"/>
      <c r="C23" s="86"/>
      <c r="D23" s="86"/>
      <c r="E23" s="85"/>
      <c r="F23" s="85"/>
      <c r="G23" s="85"/>
      <c r="H23" s="85"/>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4"/>
    <col collapsed="false" customWidth="true" hidden="false" outlineLevel="0" max="2" min="2" style="30" width="10"/>
    <col collapsed="false" customWidth="true" hidden="false" outlineLevel="0" max="3" min="3" style="30" width="20"/>
    <col collapsed="false" customWidth="true" hidden="false" outlineLevel="0" max="4" min="4" style="30" width="22"/>
    <col collapsed="false" customWidth="true" hidden="false" outlineLevel="0" max="5" min="5" style="30" width="18"/>
    <col collapsed="false" customWidth="true" hidden="false" outlineLevel="0" max="6" min="6" style="30" width="28"/>
    <col collapsed="false" customWidth="true" hidden="false" outlineLevel="0" max="8" min="7" style="30" width="26"/>
    <col collapsed="false" customWidth="true" hidden="false" outlineLevel="0" max="9" min="9" style="30" width="34"/>
  </cols>
  <sheetData>
    <row r="1" customFormat="false" ht="21.75" hidden="false" customHeight="true" outlineLevel="0" collapsed="false">
      <c r="A1" s="8" t="s">
        <v>7056</v>
      </c>
      <c r="B1" s="8"/>
      <c r="C1" s="8"/>
      <c r="D1" s="8"/>
      <c r="E1" s="8"/>
      <c r="F1" s="8"/>
      <c r="G1" s="8"/>
      <c r="H1" s="8"/>
      <c r="I1" s="8"/>
    </row>
    <row r="2" customFormat="false" ht="15" hidden="false" customHeight="true" outlineLevel="0" collapsed="false">
      <c r="A2" s="9" t="s">
        <v>7057</v>
      </c>
      <c r="B2" s="9"/>
      <c r="C2" s="9"/>
      <c r="D2" s="9"/>
      <c r="E2" s="9"/>
      <c r="F2" s="9"/>
      <c r="G2" s="9"/>
      <c r="H2" s="9"/>
      <c r="I2" s="9"/>
    </row>
    <row r="4" customFormat="false" ht="26.25" hidden="false" customHeight="true" outlineLevel="0" collapsed="false">
      <c r="A4" s="76" t="s">
        <v>5110</v>
      </c>
      <c r="B4" s="76" t="s">
        <v>97</v>
      </c>
      <c r="C4" s="76" t="s">
        <v>103</v>
      </c>
      <c r="D4" s="76" t="s">
        <v>3794</v>
      </c>
      <c r="E4" s="76" t="s">
        <v>7058</v>
      </c>
      <c r="F4" s="76" t="s">
        <v>7059</v>
      </c>
      <c r="G4" s="76" t="s">
        <v>7060</v>
      </c>
      <c r="H4" s="76" t="s">
        <v>4</v>
      </c>
      <c r="I4" s="76"/>
    </row>
    <row r="5" customFormat="false" ht="42" hidden="false" customHeight="true" outlineLevel="0" collapsed="false">
      <c r="A5" s="84" t="s">
        <v>7061</v>
      </c>
      <c r="B5" s="86" t="n">
        <v>0</v>
      </c>
      <c r="C5" s="86" t="n">
        <v>2</v>
      </c>
      <c r="D5" s="86" t="s">
        <v>7062</v>
      </c>
      <c r="E5" s="85" t="s">
        <v>7063</v>
      </c>
      <c r="F5" s="85" t="s">
        <v>7063</v>
      </c>
      <c r="G5" s="85" t="s">
        <v>7063</v>
      </c>
      <c r="H5" s="85" t="s">
        <v>7064</v>
      </c>
      <c r="I5" s="85"/>
    </row>
    <row r="6" customFormat="false" ht="42" hidden="false" customHeight="true" outlineLevel="0" collapsed="false">
      <c r="A6" s="84" t="s">
        <v>7065</v>
      </c>
      <c r="B6" s="86" t="n">
        <v>0</v>
      </c>
      <c r="C6" s="86" t="n">
        <v>3</v>
      </c>
      <c r="D6" s="86" t="s">
        <v>7066</v>
      </c>
      <c r="E6" s="85" t="s">
        <v>7063</v>
      </c>
      <c r="F6" s="85" t="s">
        <v>7063</v>
      </c>
      <c r="G6" s="85" t="s">
        <v>7063</v>
      </c>
      <c r="H6" s="85" t="s">
        <v>7067</v>
      </c>
      <c r="I6" s="85"/>
    </row>
    <row r="7" customFormat="false" ht="42" hidden="false" customHeight="true" outlineLevel="0" collapsed="false">
      <c r="A7" s="84" t="s">
        <v>7068</v>
      </c>
      <c r="B7" s="86" t="n">
        <v>1</v>
      </c>
      <c r="C7" s="86" t="n">
        <v>1</v>
      </c>
      <c r="D7" s="86" t="s">
        <v>7069</v>
      </c>
      <c r="E7" s="85" t="s">
        <v>7063</v>
      </c>
      <c r="F7" s="85" t="s">
        <v>7063</v>
      </c>
      <c r="G7" s="85" t="s">
        <v>7063</v>
      </c>
      <c r="H7" s="85" t="s">
        <v>7067</v>
      </c>
      <c r="I7" s="85"/>
    </row>
    <row r="8" customFormat="false" ht="42" hidden="false" customHeight="true" outlineLevel="0" collapsed="false">
      <c r="A8" s="84" t="s">
        <v>7070</v>
      </c>
      <c r="B8" s="86" t="n">
        <v>1</v>
      </c>
      <c r="C8" s="86" t="n">
        <v>2</v>
      </c>
      <c r="D8" s="86" t="s">
        <v>7071</v>
      </c>
      <c r="E8" s="85" t="s">
        <v>7063</v>
      </c>
      <c r="F8" s="85" t="s">
        <v>7063</v>
      </c>
      <c r="G8" s="85" t="s">
        <v>7063</v>
      </c>
      <c r="H8" s="85" t="s">
        <v>7072</v>
      </c>
      <c r="I8" s="85"/>
    </row>
    <row r="9" customFormat="false" ht="42" hidden="false" customHeight="true" outlineLevel="0" collapsed="false">
      <c r="A9" s="84"/>
      <c r="B9" s="86"/>
      <c r="C9" s="86"/>
      <c r="D9" s="86"/>
      <c r="E9" s="85"/>
      <c r="F9" s="85"/>
      <c r="G9" s="85"/>
      <c r="H9" s="85"/>
      <c r="I9" s="85"/>
    </row>
    <row r="10" customFormat="false" ht="42" hidden="false" customHeight="true" outlineLevel="0" collapsed="false">
      <c r="A10" s="84" t="s">
        <v>3818</v>
      </c>
      <c r="B10" s="86" t="s">
        <v>7073</v>
      </c>
      <c r="C10" s="86"/>
      <c r="D10" s="86"/>
      <c r="E10" s="85"/>
      <c r="F10" s="85"/>
      <c r="G10" s="85"/>
      <c r="H10" s="85"/>
      <c r="I10" s="85"/>
    </row>
    <row r="11" customFormat="false" ht="15" hidden="false" customHeight="true" outlineLevel="0" collapsed="false">
      <c r="A11" s="30" t="s">
        <v>5562</v>
      </c>
      <c r="B11" s="30" t="s">
        <v>7074</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4"/>
    <col collapsed="false" customWidth="true" hidden="false" outlineLevel="0" max="2" min="2" style="30" width="10"/>
    <col collapsed="false" customWidth="true" hidden="false" outlineLevel="0" max="3" min="3" style="30" width="20"/>
    <col collapsed="false" customWidth="true" hidden="false" outlineLevel="0" max="4" min="4" style="30" width="22"/>
    <col collapsed="false" customWidth="true" hidden="false" outlineLevel="0" max="5" min="5" style="30" width="18"/>
    <col collapsed="false" customWidth="true" hidden="false" outlineLevel="0" max="6" min="6" style="30" width="28"/>
    <col collapsed="false" customWidth="true" hidden="false" outlineLevel="0" max="8" min="7" style="30" width="26"/>
    <col collapsed="false" customWidth="true" hidden="false" outlineLevel="0" max="9" min="9" style="30" width="34"/>
  </cols>
  <sheetData>
    <row r="1" customFormat="false" ht="21.75" hidden="false" customHeight="true" outlineLevel="0" collapsed="false">
      <c r="A1" s="8" t="s">
        <v>7075</v>
      </c>
      <c r="B1" s="8"/>
      <c r="C1" s="8"/>
      <c r="D1" s="8"/>
      <c r="E1" s="8"/>
      <c r="F1" s="8"/>
      <c r="G1" s="8"/>
      <c r="H1" s="8"/>
      <c r="I1" s="8"/>
    </row>
    <row r="2" customFormat="false" ht="15" hidden="false" customHeight="true" outlineLevel="0" collapsed="false">
      <c r="A2" s="9" t="s">
        <v>7076</v>
      </c>
      <c r="B2" s="9"/>
      <c r="C2" s="9"/>
      <c r="D2" s="9"/>
      <c r="E2" s="9"/>
      <c r="F2" s="9"/>
      <c r="G2" s="9"/>
      <c r="H2" s="9"/>
      <c r="I2" s="9"/>
    </row>
    <row r="4" customFormat="false" ht="15" hidden="false" customHeight="true" outlineLevel="0" collapsed="false">
      <c r="A4" s="76" t="s">
        <v>7077</v>
      </c>
      <c r="B4" s="76" t="s">
        <v>6178</v>
      </c>
      <c r="C4" s="76" t="s">
        <v>7078</v>
      </c>
      <c r="D4" s="76" t="s">
        <v>6949</v>
      </c>
      <c r="E4" s="76" t="s">
        <v>6950</v>
      </c>
      <c r="F4" s="76" t="s">
        <v>6951</v>
      </c>
      <c r="G4" s="76" t="s">
        <v>7079</v>
      </c>
      <c r="H4" s="76" t="s">
        <v>5925</v>
      </c>
      <c r="I4" s="76" t="s">
        <v>7004</v>
      </c>
    </row>
    <row r="5" customFormat="false" ht="42" hidden="false" customHeight="true" outlineLevel="0" collapsed="false">
      <c r="A5" s="84" t="s">
        <v>4015</v>
      </c>
      <c r="B5" s="86" t="n">
        <v>1</v>
      </c>
      <c r="C5" s="86" t="s">
        <v>6955</v>
      </c>
      <c r="D5" s="86" t="s">
        <v>7080</v>
      </c>
      <c r="E5" s="85" t="s">
        <v>6957</v>
      </c>
      <c r="F5" s="85" t="s">
        <v>7081</v>
      </c>
      <c r="G5" s="85" t="s">
        <v>7082</v>
      </c>
      <c r="H5" s="85" t="s">
        <v>5029</v>
      </c>
      <c r="I5" s="85" t="s">
        <v>7083</v>
      </c>
    </row>
    <row r="6" customFormat="false" ht="42" hidden="false" customHeight="true" outlineLevel="0" collapsed="false">
      <c r="A6" s="84" t="s">
        <v>5313</v>
      </c>
      <c r="B6" s="86" t="n">
        <v>2</v>
      </c>
      <c r="C6" s="86" t="s">
        <v>6962</v>
      </c>
      <c r="D6" s="86" t="s">
        <v>6963</v>
      </c>
      <c r="E6" s="85" t="s">
        <v>6964</v>
      </c>
      <c r="F6" s="85" t="s">
        <v>7084</v>
      </c>
      <c r="G6" s="85" t="s">
        <v>7085</v>
      </c>
      <c r="H6" s="85" t="s">
        <v>5029</v>
      </c>
      <c r="I6" s="85" t="s">
        <v>7086</v>
      </c>
    </row>
    <row r="7" customFormat="false" ht="42" hidden="false" customHeight="true" outlineLevel="0" collapsed="false">
      <c r="A7" s="84" t="s">
        <v>7087</v>
      </c>
      <c r="B7" s="86" t="s">
        <v>7088</v>
      </c>
      <c r="C7" s="86" t="s">
        <v>7089</v>
      </c>
      <c r="D7" s="86" t="s">
        <v>7090</v>
      </c>
      <c r="E7" s="85" t="s">
        <v>7091</v>
      </c>
      <c r="F7" s="85" t="s">
        <v>1066</v>
      </c>
      <c r="G7" s="85" t="s">
        <v>7092</v>
      </c>
      <c r="H7" s="85" t="s">
        <v>5783</v>
      </c>
      <c r="I7" s="85" t="s">
        <v>7093</v>
      </c>
    </row>
    <row r="8" customFormat="false" ht="42" hidden="false" customHeight="true" outlineLevel="0" collapsed="false">
      <c r="A8" s="84" t="s">
        <v>7094</v>
      </c>
      <c r="B8" s="86" t="s">
        <v>6349</v>
      </c>
      <c r="C8" s="86" t="s">
        <v>7095</v>
      </c>
      <c r="D8" s="86" t="s">
        <v>7096</v>
      </c>
      <c r="E8" s="85" t="s">
        <v>7091</v>
      </c>
      <c r="F8" s="85" t="s">
        <v>1066</v>
      </c>
      <c r="G8" s="85" t="s">
        <v>7097</v>
      </c>
      <c r="H8" s="85" t="s">
        <v>5783</v>
      </c>
      <c r="I8" s="85" t="s">
        <v>7098</v>
      </c>
    </row>
    <row r="9" customFormat="false" ht="42" hidden="false" customHeight="true" outlineLevel="0" collapsed="false">
      <c r="A9" s="84" t="s">
        <v>7094</v>
      </c>
      <c r="B9" s="86" t="s">
        <v>6260</v>
      </c>
      <c r="C9" s="86" t="s">
        <v>7099</v>
      </c>
      <c r="D9" s="86" t="s">
        <v>7096</v>
      </c>
      <c r="E9" s="85" t="s">
        <v>7091</v>
      </c>
      <c r="F9" s="85" t="s">
        <v>1066</v>
      </c>
      <c r="G9" s="85" t="s">
        <v>7097</v>
      </c>
      <c r="H9" s="85" t="s">
        <v>5783</v>
      </c>
      <c r="I9" s="85" t="s">
        <v>7098</v>
      </c>
    </row>
    <row r="10" customFormat="false" ht="42" hidden="false" customHeight="true" outlineLevel="0" collapsed="false">
      <c r="A10" s="84" t="s">
        <v>727</v>
      </c>
      <c r="B10" s="86" t="s">
        <v>7088</v>
      </c>
      <c r="C10" s="86" t="s">
        <v>7100</v>
      </c>
      <c r="D10" s="86" t="s">
        <v>7101</v>
      </c>
      <c r="E10" s="85" t="s">
        <v>7102</v>
      </c>
      <c r="F10" s="85" t="s">
        <v>7103</v>
      </c>
      <c r="G10" s="85" t="s">
        <v>7104</v>
      </c>
      <c r="H10" s="85" t="s">
        <v>5783</v>
      </c>
      <c r="I10" s="85" t="s">
        <v>7105</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2"/>
    <col collapsed="false" customWidth="true" hidden="false" outlineLevel="0" max="2" min="2" style="30" width="23"/>
    <col collapsed="false" customWidth="true" hidden="false" outlineLevel="0" max="3" min="3" style="30" width="24"/>
    <col collapsed="false" customWidth="true" hidden="false" outlineLevel="0" max="4" min="4" style="30" width="18"/>
    <col collapsed="false" customWidth="true" hidden="false" outlineLevel="0" max="5" min="5" style="30" width="34"/>
    <col collapsed="false" customWidth="true" hidden="false" outlineLevel="0" max="6" min="6" style="30" width="40"/>
    <col collapsed="false" customWidth="true" hidden="false" outlineLevel="0" max="7" min="7" style="30" width="13"/>
    <col collapsed="false" customWidth="true" hidden="false" outlineLevel="0" max="8" min="8" style="30" width="34"/>
  </cols>
  <sheetData>
    <row r="1" customFormat="false" ht="21.75" hidden="false" customHeight="true" outlineLevel="0" collapsed="false">
      <c r="A1" s="8" t="s">
        <v>7106</v>
      </c>
      <c r="B1" s="8"/>
      <c r="C1" s="8"/>
      <c r="D1" s="8"/>
      <c r="E1" s="8"/>
      <c r="F1" s="8"/>
      <c r="G1" s="8"/>
      <c r="H1" s="8"/>
    </row>
    <row r="2" customFormat="false" ht="15" hidden="false" customHeight="true" outlineLevel="0" collapsed="false">
      <c r="A2" s="9" t="s">
        <v>7107</v>
      </c>
      <c r="B2" s="9"/>
      <c r="C2" s="9"/>
      <c r="D2" s="9"/>
      <c r="E2" s="9"/>
      <c r="F2" s="9"/>
      <c r="G2" s="9"/>
      <c r="H2" s="9"/>
    </row>
    <row r="4" customFormat="false" ht="15" hidden="false" customHeight="true" outlineLevel="0" collapsed="false">
      <c r="A4" s="76" t="s">
        <v>6998</v>
      </c>
      <c r="B4" s="76" t="s">
        <v>6999</v>
      </c>
      <c r="C4" s="76" t="s">
        <v>7000</v>
      </c>
      <c r="D4" s="76" t="s">
        <v>7001</v>
      </c>
      <c r="E4" s="76" t="s">
        <v>7002</v>
      </c>
      <c r="F4" s="76" t="s">
        <v>7003</v>
      </c>
      <c r="G4" s="76" t="s">
        <v>5925</v>
      </c>
      <c r="H4" s="76" t="s">
        <v>7004</v>
      </c>
    </row>
    <row r="5" customFormat="false" ht="48" hidden="false" customHeight="true" outlineLevel="0" collapsed="false">
      <c r="A5" s="84" t="s">
        <v>4015</v>
      </c>
      <c r="B5" s="86" t="s">
        <v>6955</v>
      </c>
      <c r="C5" s="86" t="s">
        <v>7108</v>
      </c>
      <c r="D5" s="86" t="s">
        <v>7109</v>
      </c>
      <c r="E5" s="85" t="s">
        <v>7110</v>
      </c>
      <c r="F5" s="85" t="s">
        <v>7111</v>
      </c>
      <c r="G5" s="85" t="s">
        <v>7016</v>
      </c>
      <c r="H5" s="85" t="s">
        <v>7112</v>
      </c>
    </row>
    <row r="6" customFormat="false" ht="48" hidden="false" customHeight="true" outlineLevel="0" collapsed="false">
      <c r="A6" s="84" t="s">
        <v>5313</v>
      </c>
      <c r="B6" s="86" t="s">
        <v>7011</v>
      </c>
      <c r="C6" s="86" t="s">
        <v>7113</v>
      </c>
      <c r="D6" s="86" t="s">
        <v>7013</v>
      </c>
      <c r="E6" s="85" t="s">
        <v>7114</v>
      </c>
      <c r="F6" s="85" t="s">
        <v>7115</v>
      </c>
      <c r="G6" s="85" t="s">
        <v>7016</v>
      </c>
      <c r="H6" s="85" t="s">
        <v>7017</v>
      </c>
    </row>
    <row r="7" customFormat="false" ht="48" hidden="false" customHeight="true" outlineLevel="0" collapsed="false">
      <c r="A7" s="84" t="s">
        <v>7018</v>
      </c>
      <c r="B7" s="86" t="s">
        <v>7100</v>
      </c>
      <c r="C7" s="86" t="s">
        <v>7020</v>
      </c>
      <c r="D7" s="86" t="s">
        <v>7007</v>
      </c>
      <c r="E7" s="85" t="s">
        <v>7116</v>
      </c>
      <c r="F7" s="85" t="s">
        <v>7117</v>
      </c>
      <c r="G7" s="85" t="s">
        <v>5783</v>
      </c>
      <c r="H7" s="85" t="s">
        <v>7118</v>
      </c>
    </row>
    <row r="8" customFormat="false" ht="48" hidden="false" customHeight="true" outlineLevel="0" collapsed="false">
      <c r="A8" s="84" t="s">
        <v>7024</v>
      </c>
      <c r="B8" s="86" t="s">
        <v>7025</v>
      </c>
      <c r="C8" s="86" t="s">
        <v>7026</v>
      </c>
      <c r="D8" s="86" t="s">
        <v>7007</v>
      </c>
      <c r="E8" s="85" t="s">
        <v>7119</v>
      </c>
      <c r="F8" s="85" t="s">
        <v>7120</v>
      </c>
      <c r="G8" s="85" t="s">
        <v>5783</v>
      </c>
      <c r="H8" s="85" t="s">
        <v>7029</v>
      </c>
    </row>
    <row r="9" customFormat="false" ht="48" hidden="false" customHeight="true" outlineLevel="0" collapsed="false">
      <c r="A9" s="84" t="s">
        <v>7030</v>
      </c>
      <c r="B9" s="86" t="s">
        <v>7031</v>
      </c>
      <c r="C9" s="86" t="s">
        <v>7032</v>
      </c>
      <c r="D9" s="86" t="s">
        <v>7007</v>
      </c>
      <c r="E9" s="85" t="s">
        <v>7119</v>
      </c>
      <c r="F9" s="85" t="s">
        <v>7120</v>
      </c>
      <c r="G9" s="85" t="s">
        <v>5783</v>
      </c>
      <c r="H9" s="85" t="s">
        <v>7029</v>
      </c>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8"/>
    <col collapsed="false" customWidth="true" hidden="false" outlineLevel="0" max="2" min="2" style="30" width="24"/>
    <col collapsed="false" customWidth="true" hidden="false" outlineLevel="0" max="3" min="3" style="30" width="8"/>
    <col collapsed="false" customWidth="true" hidden="false" outlineLevel="0" max="5" min="4" style="30" width="7"/>
    <col collapsed="false" customWidth="true" hidden="false" outlineLevel="0" max="6" min="6" style="30" width="9"/>
    <col collapsed="false" customWidth="true" hidden="false" outlineLevel="0" max="7" min="7" style="30" width="12"/>
    <col collapsed="false" customWidth="true" hidden="false" outlineLevel="0" max="8" min="8" style="30" width="11"/>
    <col collapsed="false" customWidth="true" hidden="false" outlineLevel="0" max="9" min="9" style="30" width="8"/>
    <col collapsed="false" customWidth="true" hidden="false" outlineLevel="0" max="10" min="10" style="30" width="31"/>
    <col collapsed="false" customWidth="true" hidden="false" outlineLevel="0" max="12" min="11" style="30" width="34"/>
    <col collapsed="false" customWidth="true" hidden="false" outlineLevel="0" max="13" min="13" style="30" width="27"/>
  </cols>
  <sheetData>
    <row r="1" customFormat="false" ht="24.75" hidden="false" customHeight="true" outlineLevel="0" collapsed="false">
      <c r="A1" s="91" t="s">
        <v>7121</v>
      </c>
      <c r="B1" s="91"/>
      <c r="C1" s="91"/>
      <c r="D1" s="91"/>
      <c r="E1" s="91"/>
      <c r="F1" s="91"/>
      <c r="G1" s="91"/>
      <c r="H1" s="91"/>
      <c r="I1" s="91"/>
      <c r="J1" s="91"/>
      <c r="K1" s="91"/>
      <c r="L1" s="91"/>
      <c r="M1" s="91"/>
    </row>
    <row r="2" customFormat="false" ht="33" hidden="false" customHeight="true" outlineLevel="0" collapsed="false">
      <c r="A2" s="92" t="s">
        <v>7122</v>
      </c>
      <c r="B2" s="92"/>
      <c r="C2" s="92"/>
      <c r="D2" s="92"/>
      <c r="E2" s="92"/>
      <c r="F2" s="92"/>
      <c r="G2" s="92"/>
      <c r="H2" s="92"/>
      <c r="I2" s="92"/>
      <c r="J2" s="92"/>
      <c r="K2" s="92"/>
      <c r="L2" s="92"/>
      <c r="M2" s="92"/>
    </row>
    <row r="4" customFormat="false" ht="30" hidden="false" customHeight="true" outlineLevel="0" collapsed="false">
      <c r="A4" s="93" t="s">
        <v>5774</v>
      </c>
      <c r="B4" s="93" t="s">
        <v>3794</v>
      </c>
      <c r="C4" s="93" t="s">
        <v>36</v>
      </c>
      <c r="D4" s="93" t="s">
        <v>103</v>
      </c>
      <c r="E4" s="93" t="s">
        <v>97</v>
      </c>
      <c r="F4" s="93" t="s">
        <v>108</v>
      </c>
      <c r="G4" s="93" t="s">
        <v>6853</v>
      </c>
      <c r="H4" s="93" t="s">
        <v>6854</v>
      </c>
      <c r="I4" s="93" t="s">
        <v>7123</v>
      </c>
      <c r="J4" s="93" t="s">
        <v>3833</v>
      </c>
      <c r="K4" s="93" t="s">
        <v>3834</v>
      </c>
      <c r="L4" s="93" t="s">
        <v>3835</v>
      </c>
      <c r="M4" s="93" t="s">
        <v>4</v>
      </c>
    </row>
    <row r="5" customFormat="false" ht="30.75" hidden="false" customHeight="true" outlineLevel="0" collapsed="false">
      <c r="A5" s="94" t="s">
        <v>7124</v>
      </c>
      <c r="B5" s="94" t="s">
        <v>6000</v>
      </c>
      <c r="C5" s="94" t="n">
        <v>12</v>
      </c>
      <c r="D5" s="94" t="n">
        <v>5</v>
      </c>
      <c r="E5" s="94" t="n">
        <v>0</v>
      </c>
      <c r="F5" s="94" t="n">
        <v>2</v>
      </c>
      <c r="G5" s="94" t="n">
        <v>6</v>
      </c>
      <c r="H5" s="94" t="n">
        <v>12</v>
      </c>
      <c r="I5" s="94" t="n">
        <v>2</v>
      </c>
      <c r="J5" s="94" t="s">
        <v>7125</v>
      </c>
      <c r="K5" s="94" t="s">
        <v>7126</v>
      </c>
      <c r="L5" s="94" t="s">
        <v>7127</v>
      </c>
      <c r="M5" s="94" t="s">
        <v>7128</v>
      </c>
    </row>
    <row r="6" customFormat="false" ht="30.75" hidden="false" customHeight="true" outlineLevel="0" collapsed="false">
      <c r="A6" s="94" t="s">
        <v>7129</v>
      </c>
      <c r="B6" s="94" t="s">
        <v>7130</v>
      </c>
      <c r="C6" s="94" t="n">
        <v>13</v>
      </c>
      <c r="D6" s="94" t="n">
        <v>6</v>
      </c>
      <c r="E6" s="94" t="n">
        <v>1</v>
      </c>
      <c r="F6" s="94" t="n">
        <v>3</v>
      </c>
      <c r="G6" s="94" t="n">
        <v>8</v>
      </c>
      <c r="H6" s="94" t="n">
        <v>14</v>
      </c>
      <c r="I6" s="94" t="n">
        <v>3</v>
      </c>
      <c r="J6" s="94" t="s">
        <v>7131</v>
      </c>
      <c r="K6" s="94" t="s">
        <v>7132</v>
      </c>
      <c r="L6" s="94" t="s">
        <v>7133</v>
      </c>
      <c r="M6" s="94" t="s">
        <v>7128</v>
      </c>
    </row>
    <row r="7" customFormat="false" ht="30.75" hidden="false" customHeight="true" outlineLevel="0" collapsed="false">
      <c r="A7" s="94" t="s">
        <v>7134</v>
      </c>
      <c r="B7" s="94" t="s">
        <v>7135</v>
      </c>
      <c r="C7" s="94" t="n">
        <v>14</v>
      </c>
      <c r="D7" s="94" t="n">
        <v>6</v>
      </c>
      <c r="E7" s="94" t="n">
        <v>1</v>
      </c>
      <c r="F7" s="94" t="n">
        <v>3</v>
      </c>
      <c r="G7" s="94" t="n">
        <v>9</v>
      </c>
      <c r="H7" s="94" t="n">
        <v>15</v>
      </c>
      <c r="I7" s="94" t="n">
        <v>3</v>
      </c>
      <c r="J7" s="94" t="s">
        <v>7136</v>
      </c>
      <c r="K7" s="94" t="s">
        <v>7137</v>
      </c>
      <c r="L7" s="94" t="s">
        <v>7138</v>
      </c>
      <c r="M7" s="94" t="s">
        <v>7128</v>
      </c>
    </row>
  </sheetData>
  <mergeCells count="2">
    <mergeCell ref="A1:M1"/>
    <mergeCell ref="A2:M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10"/>
    <col collapsed="false" customWidth="true" hidden="false" outlineLevel="0" max="3" min="2" style="30" width="18"/>
    <col collapsed="false" customWidth="true" hidden="false" outlineLevel="0" max="4" min="4" style="30" width="28"/>
    <col collapsed="false" customWidth="true" hidden="false" outlineLevel="0" max="5" min="5" style="30" width="35"/>
    <col collapsed="false" customWidth="true" hidden="false" outlineLevel="0" max="6" min="6" style="30" width="50"/>
  </cols>
  <sheetData>
    <row r="1" customFormat="false" ht="24.75" hidden="false" customHeight="true" outlineLevel="0" collapsed="false">
      <c r="A1" s="91" t="s">
        <v>7139</v>
      </c>
      <c r="B1" s="91"/>
      <c r="C1" s="91"/>
      <c r="D1" s="91"/>
      <c r="E1" s="91"/>
      <c r="F1" s="91"/>
    </row>
    <row r="2" customFormat="false" ht="33" hidden="false" customHeight="true" outlineLevel="0" collapsed="false">
      <c r="A2" s="92" t="s">
        <v>7140</v>
      </c>
      <c r="B2" s="92"/>
      <c r="C2" s="92"/>
      <c r="D2" s="92"/>
      <c r="E2" s="92"/>
      <c r="F2" s="92"/>
    </row>
    <row r="4" customFormat="false" ht="30" hidden="false" customHeight="true" outlineLevel="0" collapsed="false">
      <c r="A4" s="93" t="s">
        <v>7141</v>
      </c>
      <c r="B4" s="93" t="s">
        <v>7142</v>
      </c>
      <c r="C4" s="93" t="s">
        <v>7143</v>
      </c>
      <c r="D4" s="93" t="s">
        <v>7144</v>
      </c>
      <c r="E4" s="93" t="s">
        <v>7145</v>
      </c>
      <c r="F4" s="93" t="s">
        <v>7146</v>
      </c>
    </row>
    <row r="5" customFormat="false" ht="30.75" hidden="false" customHeight="true" outlineLevel="0" collapsed="false">
      <c r="A5" s="94" t="s">
        <v>7147</v>
      </c>
      <c r="B5" s="94" t="s">
        <v>3833</v>
      </c>
      <c r="C5" s="94" t="s">
        <v>3833</v>
      </c>
      <c r="D5" s="94" t="s">
        <v>7148</v>
      </c>
      <c r="E5" s="94" t="s">
        <v>7149</v>
      </c>
      <c r="F5" s="94" t="s">
        <v>7150</v>
      </c>
    </row>
    <row r="6" customFormat="false" ht="30.75" hidden="false" customHeight="true" outlineLevel="0" collapsed="false">
      <c r="A6" s="94" t="s">
        <v>7151</v>
      </c>
      <c r="B6" s="94" t="s">
        <v>3833</v>
      </c>
      <c r="C6" s="94" t="s">
        <v>3834</v>
      </c>
      <c r="D6" s="94" t="s">
        <v>7152</v>
      </c>
      <c r="E6" s="94" t="s">
        <v>7149</v>
      </c>
      <c r="F6" s="94" t="s">
        <v>7150</v>
      </c>
    </row>
    <row r="7" customFormat="false" ht="30.75" hidden="false" customHeight="true" outlineLevel="0" collapsed="false">
      <c r="A7" s="94" t="s">
        <v>7153</v>
      </c>
      <c r="B7" s="94" t="s">
        <v>3833</v>
      </c>
      <c r="C7" s="94" t="s">
        <v>3835</v>
      </c>
      <c r="D7" s="94" t="s">
        <v>7152</v>
      </c>
      <c r="E7" s="94" t="s">
        <v>7149</v>
      </c>
      <c r="F7" s="94" t="s">
        <v>7150</v>
      </c>
    </row>
    <row r="8" customFormat="false" ht="30.75" hidden="false" customHeight="true" outlineLevel="0" collapsed="false">
      <c r="A8" s="94" t="s">
        <v>7154</v>
      </c>
      <c r="B8" s="94" t="s">
        <v>3834</v>
      </c>
      <c r="C8" s="94" t="s">
        <v>3833</v>
      </c>
      <c r="D8" s="94" t="s">
        <v>7152</v>
      </c>
      <c r="E8" s="94" t="s">
        <v>7149</v>
      </c>
      <c r="F8" s="94" t="s">
        <v>7150</v>
      </c>
    </row>
    <row r="9" customFormat="false" ht="30.75" hidden="false" customHeight="true" outlineLevel="0" collapsed="false">
      <c r="A9" s="94" t="s">
        <v>7155</v>
      </c>
      <c r="B9" s="94" t="s">
        <v>3834</v>
      </c>
      <c r="C9" s="94" t="s">
        <v>3834</v>
      </c>
      <c r="D9" s="94" t="s">
        <v>7156</v>
      </c>
      <c r="E9" s="94" t="s">
        <v>7149</v>
      </c>
      <c r="F9" s="94" t="s">
        <v>7150</v>
      </c>
    </row>
    <row r="10" customFormat="false" ht="30.75" hidden="false" customHeight="true" outlineLevel="0" collapsed="false">
      <c r="A10" s="94" t="s">
        <v>7157</v>
      </c>
      <c r="B10" s="94" t="s">
        <v>3834</v>
      </c>
      <c r="C10" s="94" t="s">
        <v>3835</v>
      </c>
      <c r="D10" s="94" t="s">
        <v>7152</v>
      </c>
      <c r="E10" s="94" t="s">
        <v>7149</v>
      </c>
      <c r="F10" s="94" t="s">
        <v>7150</v>
      </c>
    </row>
    <row r="11" customFormat="false" ht="30.75" hidden="false" customHeight="true" outlineLevel="0" collapsed="false">
      <c r="A11" s="94" t="s">
        <v>7158</v>
      </c>
      <c r="B11" s="94" t="s">
        <v>3835</v>
      </c>
      <c r="C11" s="94" t="s">
        <v>3833</v>
      </c>
      <c r="D11" s="94" t="s">
        <v>7152</v>
      </c>
      <c r="E11" s="94" t="s">
        <v>7149</v>
      </c>
      <c r="F11" s="94" t="s">
        <v>7150</v>
      </c>
    </row>
    <row r="12" customFormat="false" ht="30.75" hidden="false" customHeight="true" outlineLevel="0" collapsed="false">
      <c r="A12" s="94" t="s">
        <v>7159</v>
      </c>
      <c r="B12" s="94" t="s">
        <v>3835</v>
      </c>
      <c r="C12" s="94" t="s">
        <v>3834</v>
      </c>
      <c r="D12" s="94" t="s">
        <v>7152</v>
      </c>
      <c r="E12" s="94" t="s">
        <v>7149</v>
      </c>
      <c r="F12" s="94" t="s">
        <v>7150</v>
      </c>
    </row>
    <row r="13" customFormat="false" ht="30.75" hidden="false" customHeight="true" outlineLevel="0" collapsed="false">
      <c r="A13" s="94" t="s">
        <v>7160</v>
      </c>
      <c r="B13" s="94" t="s">
        <v>3835</v>
      </c>
      <c r="C13" s="94" t="s">
        <v>3835</v>
      </c>
      <c r="D13" s="94" t="s">
        <v>7161</v>
      </c>
      <c r="E13" s="94" t="s">
        <v>7149</v>
      </c>
      <c r="F13" s="94" t="s">
        <v>7150</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32"/>
    <col collapsed="false" customWidth="true" hidden="false" outlineLevel="0" max="2" min="2" style="30" width="34"/>
    <col collapsed="false" customWidth="true" hidden="false" outlineLevel="0" max="3" min="3" style="30" width="10"/>
    <col collapsed="false" customWidth="true" hidden="false" outlineLevel="0" max="4" min="4" style="30" width="26"/>
    <col collapsed="false" customWidth="true" hidden="false" outlineLevel="0" max="5" min="5" style="30" width="30"/>
    <col collapsed="false" customWidth="true" hidden="false" outlineLevel="0" max="6" min="6" style="30" width="32"/>
    <col collapsed="false" customWidth="true" hidden="false" outlineLevel="0" max="7" min="7" style="30" width="10"/>
    <col collapsed="false" customWidth="true" hidden="false" outlineLevel="0" max="8" min="8" style="30" width="16"/>
    <col collapsed="false" customWidth="true" hidden="false" outlineLevel="0" max="9" min="9" style="30" width="23"/>
    <col collapsed="false" customWidth="true" hidden="false" outlineLevel="0" max="10" min="10" style="30" width="34"/>
  </cols>
  <sheetData>
    <row r="1" customFormat="false" ht="24.75" hidden="false" customHeight="true" outlineLevel="0" collapsed="false">
      <c r="A1" s="91" t="s">
        <v>7162</v>
      </c>
      <c r="B1" s="91"/>
      <c r="C1" s="91"/>
      <c r="D1" s="91"/>
      <c r="E1" s="91"/>
      <c r="F1" s="91"/>
      <c r="G1" s="91"/>
      <c r="H1" s="91"/>
      <c r="I1" s="91"/>
      <c r="J1" s="91"/>
    </row>
    <row r="2" customFormat="false" ht="33" hidden="false" customHeight="true" outlineLevel="0" collapsed="false">
      <c r="A2" s="92" t="s">
        <v>7163</v>
      </c>
      <c r="B2" s="92"/>
      <c r="C2" s="92"/>
      <c r="D2" s="92"/>
      <c r="E2" s="92"/>
      <c r="F2" s="92"/>
      <c r="G2" s="92"/>
      <c r="H2" s="92"/>
      <c r="I2" s="92"/>
      <c r="J2" s="92"/>
    </row>
    <row r="4" customFormat="false" ht="30" hidden="false" customHeight="true" outlineLevel="0" collapsed="false">
      <c r="A4" s="93" t="s">
        <v>7164</v>
      </c>
      <c r="B4" s="93" t="s">
        <v>7141</v>
      </c>
      <c r="C4" s="93" t="s">
        <v>6179</v>
      </c>
      <c r="D4" s="93" t="s">
        <v>514</v>
      </c>
      <c r="E4" s="93" t="s">
        <v>7165</v>
      </c>
      <c r="F4" s="93" t="s">
        <v>7166</v>
      </c>
      <c r="G4" s="93" t="s">
        <v>7167</v>
      </c>
      <c r="H4" s="93" t="s">
        <v>7168</v>
      </c>
      <c r="I4" s="93" t="s">
        <v>7169</v>
      </c>
      <c r="J4" s="93" t="s">
        <v>4</v>
      </c>
    </row>
    <row r="5" customFormat="false" ht="30.75" hidden="false" customHeight="true" outlineLevel="0" collapsed="false">
      <c r="A5" s="94" t="s">
        <v>7170</v>
      </c>
      <c r="B5" s="94" t="s">
        <v>7171</v>
      </c>
      <c r="C5" s="94" t="n">
        <v>2</v>
      </c>
      <c r="D5" s="94" t="s">
        <v>7172</v>
      </c>
      <c r="E5" s="94" t="s">
        <v>3862</v>
      </c>
      <c r="F5" s="94" t="s">
        <v>7173</v>
      </c>
      <c r="G5" s="94" t="s">
        <v>5783</v>
      </c>
      <c r="H5" s="94" t="s">
        <v>3862</v>
      </c>
      <c r="I5" s="94" t="s">
        <v>6199</v>
      </c>
      <c r="J5" s="94" t="s">
        <v>7174</v>
      </c>
    </row>
    <row r="6" customFormat="false" ht="30.75" hidden="false" customHeight="true" outlineLevel="0" collapsed="false">
      <c r="A6" s="94" t="s">
        <v>7175</v>
      </c>
      <c r="B6" s="94" t="s">
        <v>7176</v>
      </c>
      <c r="C6" s="94" t="n">
        <v>2</v>
      </c>
      <c r="D6" s="94" t="s">
        <v>7177</v>
      </c>
      <c r="E6" s="94" t="s">
        <v>3862</v>
      </c>
      <c r="F6" s="94" t="s">
        <v>7173</v>
      </c>
      <c r="G6" s="94" t="s">
        <v>5783</v>
      </c>
      <c r="H6" s="94" t="s">
        <v>3862</v>
      </c>
      <c r="I6" s="94" t="s">
        <v>6199</v>
      </c>
      <c r="J6" s="94" t="s">
        <v>7174</v>
      </c>
    </row>
    <row r="7" customFormat="false" ht="30.75" hidden="false" customHeight="true" outlineLevel="0" collapsed="false">
      <c r="A7" s="94" t="s">
        <v>7178</v>
      </c>
      <c r="B7" s="94" t="s">
        <v>7179</v>
      </c>
      <c r="C7" s="94" t="n">
        <v>2</v>
      </c>
      <c r="D7" s="94" t="s">
        <v>7180</v>
      </c>
      <c r="E7" s="94" t="s">
        <v>3862</v>
      </c>
      <c r="F7" s="94" t="s">
        <v>7173</v>
      </c>
      <c r="G7" s="94" t="s">
        <v>5783</v>
      </c>
      <c r="H7" s="94" t="s">
        <v>3862</v>
      </c>
      <c r="I7" s="94" t="s">
        <v>6199</v>
      </c>
      <c r="J7" s="94" t="s">
        <v>7174</v>
      </c>
    </row>
    <row r="8" customFormat="false" ht="30.75" hidden="false" customHeight="true" outlineLevel="0" collapsed="false">
      <c r="A8" s="94" t="s">
        <v>7181</v>
      </c>
      <c r="B8" s="94" t="s">
        <v>7182</v>
      </c>
      <c r="C8" s="94" t="n">
        <v>2</v>
      </c>
      <c r="D8" s="94" t="s">
        <v>7172</v>
      </c>
      <c r="E8" s="94" t="s">
        <v>3862</v>
      </c>
      <c r="F8" s="94" t="s">
        <v>7183</v>
      </c>
      <c r="G8" s="94" t="s">
        <v>5783</v>
      </c>
      <c r="H8" s="94" t="s">
        <v>3862</v>
      </c>
      <c r="I8" s="94" t="s">
        <v>6199</v>
      </c>
      <c r="J8" s="94" t="s">
        <v>7174</v>
      </c>
    </row>
    <row r="9" customFormat="false" ht="30.75" hidden="false" customHeight="true" outlineLevel="0" collapsed="false">
      <c r="A9" s="94" t="s">
        <v>7184</v>
      </c>
      <c r="B9" s="94" t="s">
        <v>7185</v>
      </c>
      <c r="C9" s="94" t="n">
        <v>2</v>
      </c>
      <c r="D9" s="94" t="s">
        <v>3862</v>
      </c>
      <c r="E9" s="94" t="s">
        <v>3862</v>
      </c>
      <c r="F9" s="94" t="s">
        <v>7183</v>
      </c>
      <c r="G9" s="94" t="s">
        <v>7063</v>
      </c>
      <c r="H9" s="94" t="s">
        <v>3862</v>
      </c>
      <c r="I9" s="94" t="s">
        <v>6199</v>
      </c>
      <c r="J9" s="94" t="s">
        <v>7174</v>
      </c>
    </row>
    <row r="10" customFormat="false" ht="30.75" hidden="false" customHeight="true" outlineLevel="0" collapsed="false">
      <c r="A10" s="94" t="s">
        <v>7186</v>
      </c>
      <c r="B10" s="94" t="s">
        <v>7187</v>
      </c>
      <c r="C10" s="94" t="n">
        <v>2</v>
      </c>
      <c r="D10" s="94" t="s">
        <v>3862</v>
      </c>
      <c r="E10" s="94" t="s">
        <v>7188</v>
      </c>
      <c r="F10" s="94" t="s">
        <v>3862</v>
      </c>
      <c r="G10" s="94" t="s">
        <v>7063</v>
      </c>
      <c r="H10" s="94" t="s">
        <v>3862</v>
      </c>
      <c r="I10" s="94" t="s">
        <v>6199</v>
      </c>
      <c r="J10" s="94" t="s">
        <v>7174</v>
      </c>
    </row>
    <row r="11" customFormat="false" ht="30.75" hidden="false" customHeight="true" outlineLevel="0" collapsed="false">
      <c r="A11" s="94" t="s">
        <v>7189</v>
      </c>
      <c r="B11" s="94" t="s">
        <v>7190</v>
      </c>
      <c r="C11" s="94" t="n">
        <v>2</v>
      </c>
      <c r="D11" s="94" t="s">
        <v>7177</v>
      </c>
      <c r="E11" s="94" t="s">
        <v>7191</v>
      </c>
      <c r="F11" s="94" t="s">
        <v>3862</v>
      </c>
      <c r="G11" s="94" t="s">
        <v>5783</v>
      </c>
      <c r="H11" s="94" t="s">
        <v>3862</v>
      </c>
      <c r="I11" s="94" t="s">
        <v>6199</v>
      </c>
      <c r="J11" s="94" t="s">
        <v>7174</v>
      </c>
    </row>
    <row r="12" customFormat="false" ht="30.75" hidden="false" customHeight="true" outlineLevel="0" collapsed="false">
      <c r="A12" s="94" t="s">
        <v>7192</v>
      </c>
      <c r="B12" s="94" t="s">
        <v>7193</v>
      </c>
      <c r="C12" s="94" t="n">
        <v>2</v>
      </c>
      <c r="D12" s="94" t="s">
        <v>7172</v>
      </c>
      <c r="E12" s="94" t="s">
        <v>3862</v>
      </c>
      <c r="F12" s="94" t="s">
        <v>7194</v>
      </c>
      <c r="G12" s="94" t="s">
        <v>5783</v>
      </c>
      <c r="H12" s="94" t="s">
        <v>3862</v>
      </c>
      <c r="I12" s="94" t="s">
        <v>6199</v>
      </c>
      <c r="J12" s="94" t="s">
        <v>7174</v>
      </c>
    </row>
    <row r="13" customFormat="false" ht="30.75" hidden="false" customHeight="true" outlineLevel="0" collapsed="false">
      <c r="A13" s="94" t="s">
        <v>7195</v>
      </c>
      <c r="B13" s="94" t="s">
        <v>7196</v>
      </c>
      <c r="C13" s="94" t="n">
        <v>2</v>
      </c>
      <c r="D13" s="94" t="s">
        <v>7177</v>
      </c>
      <c r="E13" s="94" t="s">
        <v>3862</v>
      </c>
      <c r="F13" s="94" t="s">
        <v>7197</v>
      </c>
      <c r="G13" s="94" t="s">
        <v>5783</v>
      </c>
      <c r="H13" s="94" t="s">
        <v>3862</v>
      </c>
      <c r="I13" s="94" t="s">
        <v>6199</v>
      </c>
      <c r="J13" s="94" t="s">
        <v>7174</v>
      </c>
    </row>
    <row r="14" customFormat="false" ht="30.75" hidden="false" customHeight="true" outlineLevel="0" collapsed="false">
      <c r="A14" s="94" t="s">
        <v>7198</v>
      </c>
      <c r="B14" s="94" t="s">
        <v>7199</v>
      </c>
      <c r="C14" s="94" t="n">
        <v>2</v>
      </c>
      <c r="D14" s="94" t="s">
        <v>3862</v>
      </c>
      <c r="E14" s="94" t="s">
        <v>7188</v>
      </c>
      <c r="F14" s="94" t="s">
        <v>3862</v>
      </c>
      <c r="G14" s="94" t="s">
        <v>5783</v>
      </c>
      <c r="H14" s="94" t="s">
        <v>7200</v>
      </c>
      <c r="I14" s="94" t="s">
        <v>7201</v>
      </c>
      <c r="J14" s="94" t="s">
        <v>7174</v>
      </c>
    </row>
    <row r="15" customFormat="false" ht="30.75" hidden="false" customHeight="true" outlineLevel="0" collapsed="false">
      <c r="A15" s="94" t="s">
        <v>7202</v>
      </c>
      <c r="B15" s="94" t="s">
        <v>7203</v>
      </c>
      <c r="C15" s="94" t="n">
        <v>2</v>
      </c>
      <c r="D15" s="94" t="s">
        <v>7180</v>
      </c>
      <c r="E15" s="94" t="s">
        <v>3862</v>
      </c>
      <c r="F15" s="94" t="s">
        <v>3862</v>
      </c>
      <c r="G15" s="94" t="s">
        <v>5783</v>
      </c>
      <c r="H15" s="94" t="s">
        <v>7204</v>
      </c>
      <c r="I15" s="94" t="s">
        <v>7201</v>
      </c>
      <c r="J15" s="94" t="s">
        <v>7174</v>
      </c>
    </row>
    <row r="16" customFormat="false" ht="30.75" hidden="false" customHeight="true" outlineLevel="0" collapsed="false">
      <c r="A16" s="94" t="s">
        <v>7205</v>
      </c>
      <c r="B16" s="94" t="s">
        <v>4009</v>
      </c>
      <c r="C16" s="94" t="n">
        <v>2</v>
      </c>
      <c r="D16" s="94" t="s">
        <v>3862</v>
      </c>
      <c r="E16" s="94" t="s">
        <v>7206</v>
      </c>
      <c r="F16" s="94" t="s">
        <v>3862</v>
      </c>
      <c r="G16" s="94" t="s">
        <v>5783</v>
      </c>
      <c r="H16" s="94" t="s">
        <v>3862</v>
      </c>
      <c r="I16" s="94" t="s">
        <v>6199</v>
      </c>
      <c r="J16" s="94" t="s">
        <v>7174</v>
      </c>
    </row>
    <row r="17" customFormat="false" ht="30.75" hidden="false" customHeight="true" outlineLevel="0" collapsed="false">
      <c r="A17" s="94" t="s">
        <v>7207</v>
      </c>
      <c r="B17" s="94" t="s">
        <v>7208</v>
      </c>
      <c r="C17" s="94" t="n">
        <v>2</v>
      </c>
      <c r="D17" s="94" t="s">
        <v>7180</v>
      </c>
      <c r="E17" s="94" t="s">
        <v>7188</v>
      </c>
      <c r="F17" s="94" t="s">
        <v>3862</v>
      </c>
      <c r="G17" s="94" t="s">
        <v>5783</v>
      </c>
      <c r="H17" s="94" t="s">
        <v>3862</v>
      </c>
      <c r="I17" s="94" t="s">
        <v>6199</v>
      </c>
      <c r="J17" s="94" t="s">
        <v>7174</v>
      </c>
    </row>
  </sheetData>
  <mergeCells count="2">
    <mergeCell ref="A1:J1"/>
    <mergeCell ref="A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4"/>
    <col collapsed="false" customWidth="true" hidden="false" outlineLevel="0" max="2" min="2" style="30" width="28"/>
    <col collapsed="false" customWidth="true" hidden="false" outlineLevel="0" max="3" min="3" style="30" width="50"/>
    <col collapsed="false" customWidth="true" hidden="false" outlineLevel="0" max="4" min="4" style="30" width="18"/>
    <col collapsed="false" customWidth="true" hidden="false" outlineLevel="0" max="5" min="5" style="30" width="12"/>
    <col collapsed="false" customWidth="true" hidden="false" outlineLevel="0" max="6" min="6" style="30" width="62"/>
    <col collapsed="false" customWidth="true" hidden="false" outlineLevel="0" max="7" min="7" style="30" width="18"/>
  </cols>
  <sheetData>
    <row r="1" customFormat="false" ht="24.75" hidden="false" customHeight="true" outlineLevel="0" collapsed="false">
      <c r="A1" s="91" t="s">
        <v>7209</v>
      </c>
      <c r="B1" s="91"/>
      <c r="C1" s="91"/>
      <c r="D1" s="91"/>
      <c r="E1" s="91"/>
      <c r="F1" s="91"/>
      <c r="G1" s="91"/>
    </row>
    <row r="2" customFormat="false" ht="33" hidden="false" customHeight="true" outlineLevel="0" collapsed="false">
      <c r="A2" s="92" t="s">
        <v>7210</v>
      </c>
      <c r="B2" s="92"/>
      <c r="C2" s="92"/>
      <c r="D2" s="92"/>
      <c r="E2" s="92"/>
      <c r="F2" s="92"/>
      <c r="G2" s="92"/>
    </row>
    <row r="4" customFormat="false" ht="30" hidden="false" customHeight="true" outlineLevel="0" collapsed="false">
      <c r="A4" s="93" t="s">
        <v>4186</v>
      </c>
      <c r="B4" s="93" t="s">
        <v>7211</v>
      </c>
      <c r="C4" s="93" t="s">
        <v>7212</v>
      </c>
      <c r="D4" s="93" t="s">
        <v>7213</v>
      </c>
      <c r="E4" s="93" t="s">
        <v>5761</v>
      </c>
      <c r="F4" s="93" t="s">
        <v>7214</v>
      </c>
      <c r="G4" s="93" t="s">
        <v>5631</v>
      </c>
    </row>
    <row r="5" customFormat="false" ht="30.75" hidden="false" customHeight="true" outlineLevel="0" collapsed="false">
      <c r="A5" s="94" t="s">
        <v>7215</v>
      </c>
      <c r="B5" s="94" t="s">
        <v>7216</v>
      </c>
      <c r="C5" s="94" t="s">
        <v>7217</v>
      </c>
      <c r="D5" s="94" t="s">
        <v>2033</v>
      </c>
      <c r="E5" s="94" t="n">
        <v>24</v>
      </c>
      <c r="F5" s="94" t="s">
        <v>7218</v>
      </c>
      <c r="G5" s="94" t="s">
        <v>7219</v>
      </c>
    </row>
    <row r="6" customFormat="false" ht="30.75" hidden="false" customHeight="true" outlineLevel="0" collapsed="false">
      <c r="A6" s="94" t="s">
        <v>7220</v>
      </c>
      <c r="B6" s="94" t="s">
        <v>7216</v>
      </c>
      <c r="C6" s="94" t="s">
        <v>7221</v>
      </c>
      <c r="D6" s="94" t="s">
        <v>7222</v>
      </c>
      <c r="E6" s="94" t="n">
        <v>24</v>
      </c>
      <c r="F6" s="94" t="s">
        <v>7223</v>
      </c>
      <c r="G6" s="94" t="s">
        <v>7219</v>
      </c>
    </row>
    <row r="7" customFormat="false" ht="30.75" hidden="false" customHeight="true" outlineLevel="0" collapsed="false">
      <c r="A7" s="94" t="s">
        <v>7224</v>
      </c>
      <c r="B7" s="94" t="s">
        <v>7216</v>
      </c>
      <c r="C7" s="94" t="s">
        <v>7225</v>
      </c>
      <c r="D7" s="94" t="s">
        <v>7222</v>
      </c>
      <c r="E7" s="94" t="n">
        <v>24</v>
      </c>
      <c r="F7" s="94" t="s">
        <v>7226</v>
      </c>
      <c r="G7" s="94" t="s">
        <v>7219</v>
      </c>
    </row>
    <row r="8" customFormat="false" ht="30.75" hidden="false" customHeight="true" outlineLevel="0" collapsed="false">
      <c r="A8" s="94" t="s">
        <v>7227</v>
      </c>
      <c r="B8" s="94" t="s">
        <v>7228</v>
      </c>
      <c r="C8" s="94" t="s">
        <v>7229</v>
      </c>
      <c r="D8" s="94" t="s">
        <v>7230</v>
      </c>
      <c r="E8" s="94" t="n">
        <v>72</v>
      </c>
      <c r="F8" s="94" t="s">
        <v>7231</v>
      </c>
      <c r="G8" s="94" t="s">
        <v>7232</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16"/>
    <col collapsed="false" customWidth="true" hidden="false" outlineLevel="0" max="2" min="2" style="30" width="30"/>
    <col collapsed="false" customWidth="true" hidden="false" outlineLevel="0" max="4" min="3" style="30" width="16"/>
    <col collapsed="false" customWidth="true" hidden="false" outlineLevel="0" max="5" min="5" style="30" width="70"/>
  </cols>
  <sheetData>
    <row r="1" customFormat="false" ht="25.5" hidden="false" customHeight="true" outlineLevel="0" collapsed="false">
      <c r="A1" s="8" t="s">
        <v>7233</v>
      </c>
      <c r="B1" s="8"/>
      <c r="C1" s="8"/>
      <c r="D1" s="8"/>
      <c r="E1" s="8"/>
    </row>
    <row r="2" customFormat="false" ht="31.5" hidden="false" customHeight="true" outlineLevel="0" collapsed="false">
      <c r="A2" s="9" t="s">
        <v>7234</v>
      </c>
      <c r="B2" s="9"/>
      <c r="C2" s="9"/>
      <c r="D2" s="9"/>
      <c r="E2" s="9"/>
    </row>
    <row r="4" customFormat="false" ht="31.5" hidden="false" customHeight="true" outlineLevel="0" collapsed="false">
      <c r="A4" s="76" t="s">
        <v>6178</v>
      </c>
      <c r="B4" s="76" t="s">
        <v>7235</v>
      </c>
      <c r="C4" s="76" t="s">
        <v>42</v>
      </c>
      <c r="D4" s="76" t="s">
        <v>6739</v>
      </c>
      <c r="E4" s="76" t="s">
        <v>6740</v>
      </c>
    </row>
    <row r="5" customFormat="false" ht="24" hidden="false" customHeight="true" outlineLevel="0" collapsed="false">
      <c r="A5" s="84" t="n">
        <v>1</v>
      </c>
      <c r="B5" s="86" t="s">
        <v>7236</v>
      </c>
      <c r="C5" s="86" t="n">
        <v>1</v>
      </c>
      <c r="D5" s="86" t="n">
        <v>1</v>
      </c>
      <c r="E5" s="85" t="s">
        <v>7237</v>
      </c>
    </row>
    <row r="6" customFormat="false" ht="24" hidden="false" customHeight="true" outlineLevel="0" collapsed="false">
      <c r="A6" s="84" t="n">
        <v>2</v>
      </c>
      <c r="B6" s="86" t="s">
        <v>7238</v>
      </c>
      <c r="C6" s="86" t="n">
        <v>1</v>
      </c>
      <c r="D6" s="86" t="n">
        <v>1</v>
      </c>
      <c r="E6" s="85" t="s">
        <v>7239</v>
      </c>
    </row>
    <row r="7" customFormat="false" ht="24" hidden="false" customHeight="true" outlineLevel="0" collapsed="false">
      <c r="A7" s="84" t="n">
        <v>3</v>
      </c>
      <c r="B7" s="86" t="s">
        <v>7240</v>
      </c>
      <c r="C7" s="86" t="n">
        <v>1</v>
      </c>
      <c r="D7" s="86" t="n">
        <v>2</v>
      </c>
      <c r="E7" s="85" t="s">
        <v>7241</v>
      </c>
    </row>
    <row r="8" customFormat="false" ht="24" hidden="false" customHeight="true" outlineLevel="0" collapsed="false">
      <c r="A8" s="84" t="n">
        <v>4</v>
      </c>
      <c r="B8" s="86" t="s">
        <v>7242</v>
      </c>
      <c r="C8" s="86" t="n">
        <v>2</v>
      </c>
      <c r="D8" s="86" t="n">
        <v>2</v>
      </c>
      <c r="E8" s="85" t="s">
        <v>7243</v>
      </c>
    </row>
    <row r="9" customFormat="false" ht="24" hidden="false" customHeight="true" outlineLevel="0" collapsed="false">
      <c r="A9" s="84" t="n">
        <v>5</v>
      </c>
      <c r="B9" s="86" t="s">
        <v>7244</v>
      </c>
      <c r="C9" s="86" t="n">
        <v>2</v>
      </c>
      <c r="D9" s="86" t="n">
        <v>2</v>
      </c>
      <c r="E9" s="85" t="s">
        <v>7245</v>
      </c>
    </row>
    <row r="10" customFormat="false" ht="24" hidden="false" customHeight="true" outlineLevel="0" collapsed="false">
      <c r="A10" s="84" t="n">
        <v>6</v>
      </c>
      <c r="B10" s="86" t="s">
        <v>7246</v>
      </c>
      <c r="C10" s="86" t="n">
        <v>2</v>
      </c>
      <c r="D10" s="86" t="n">
        <v>3</v>
      </c>
      <c r="E10" s="85" t="s">
        <v>7247</v>
      </c>
    </row>
    <row r="11" customFormat="false" ht="33" hidden="false" customHeight="true" outlineLevel="0" collapsed="false">
      <c r="A11" s="84" t="n">
        <v>7</v>
      </c>
      <c r="B11" s="86" t="s">
        <v>7248</v>
      </c>
      <c r="C11" s="86" t="n">
        <v>3</v>
      </c>
      <c r="D11" s="86" t="n">
        <v>3</v>
      </c>
      <c r="E11" s="85" t="s">
        <v>7249</v>
      </c>
    </row>
    <row r="12" customFormat="false" ht="24" hidden="false" customHeight="true" outlineLevel="0" collapsed="false">
      <c r="A12" s="84" t="n">
        <v>8</v>
      </c>
      <c r="B12" s="86" t="s">
        <v>7250</v>
      </c>
      <c r="C12" s="86" t="n">
        <v>3</v>
      </c>
      <c r="D12" s="86" t="n">
        <v>3</v>
      </c>
      <c r="E12" s="85" t="s">
        <v>7251</v>
      </c>
    </row>
    <row r="13" customFormat="false" ht="24" hidden="false" customHeight="true" outlineLevel="0" collapsed="false">
      <c r="A13" s="84" t="n">
        <v>9</v>
      </c>
      <c r="B13" s="86" t="s">
        <v>7252</v>
      </c>
      <c r="C13" s="86" t="n">
        <v>3</v>
      </c>
      <c r="D13" s="86" t="n">
        <v>4</v>
      </c>
      <c r="E13" s="85" t="s">
        <v>7253</v>
      </c>
    </row>
    <row r="14" customFormat="false" ht="27.75" hidden="false" customHeight="true" outlineLevel="0" collapsed="false">
      <c r="A14" s="84"/>
      <c r="B14" s="86"/>
      <c r="C14" s="86"/>
      <c r="D14" s="86"/>
      <c r="E14" s="90"/>
    </row>
    <row r="15" customFormat="false" ht="27.75" hidden="false" customHeight="true" outlineLevel="0" collapsed="false">
      <c r="A15" s="84" t="s">
        <v>7254</v>
      </c>
      <c r="B15" s="86" t="s">
        <v>7255</v>
      </c>
      <c r="C15" s="86" t="s">
        <v>7256</v>
      </c>
      <c r="D15" s="86" t="s">
        <v>7257</v>
      </c>
      <c r="E15" s="90" t="s">
        <v>7258</v>
      </c>
    </row>
    <row r="16" customFormat="false" ht="27.75" hidden="false" customHeight="true" outlineLevel="0" collapsed="false">
      <c r="A16" s="84" t="s">
        <v>7259</v>
      </c>
      <c r="B16" s="86" t="s">
        <v>7260</v>
      </c>
      <c r="C16" s="86" t="s">
        <v>7261</v>
      </c>
      <c r="D16" s="86" t="s">
        <v>7262</v>
      </c>
      <c r="E16" s="90" t="s">
        <v>7263</v>
      </c>
    </row>
    <row r="17" customFormat="false" ht="27.75" hidden="false" customHeight="true" outlineLevel="0" collapsed="false">
      <c r="A17" s="84" t="s">
        <v>7264</v>
      </c>
      <c r="B17" s="86" t="s">
        <v>7265</v>
      </c>
      <c r="C17" s="86" t="s">
        <v>7266</v>
      </c>
      <c r="D17" s="86" t="s">
        <v>7267</v>
      </c>
      <c r="E17" s="90" t="s">
        <v>7268</v>
      </c>
    </row>
    <row r="18" customFormat="false" ht="15" hidden="false" customHeight="true" outlineLevel="0" collapsed="false">
      <c r="A18" s="84"/>
      <c r="B18" s="86"/>
      <c r="C18" s="86"/>
      <c r="D18" s="86"/>
      <c r="E18" s="85"/>
    </row>
    <row r="19" customFormat="false" ht="15" hidden="false" customHeight="true" outlineLevel="0" collapsed="false">
      <c r="A19" s="84"/>
      <c r="B19" s="86"/>
      <c r="C19" s="86"/>
      <c r="D19" s="86"/>
      <c r="E19" s="85"/>
    </row>
    <row r="20" customFormat="false" ht="15" hidden="false" customHeight="true" outlineLevel="0" collapsed="false">
      <c r="A20" s="84"/>
      <c r="B20" s="86"/>
      <c r="C20" s="86"/>
      <c r="D20" s="86"/>
      <c r="E20" s="85"/>
    </row>
    <row r="21" customFormat="false" ht="15" hidden="false" customHeight="true" outlineLevel="0" collapsed="false">
      <c r="A21" s="84"/>
      <c r="B21" s="86"/>
      <c r="C21" s="86"/>
      <c r="D21" s="86"/>
      <c r="E21" s="85"/>
    </row>
  </sheetData>
  <mergeCells count="2">
    <mergeCell ref="A1:E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8"/>
    <col collapsed="false" customWidth="true" hidden="false" outlineLevel="0" max="2" min="2" style="30" width="24"/>
    <col collapsed="false" customWidth="true" hidden="false" outlineLevel="0" max="3" min="3" style="30" width="8"/>
    <col collapsed="false" customWidth="true" hidden="false" outlineLevel="0" max="5" min="4" style="30" width="7"/>
    <col collapsed="false" customWidth="true" hidden="false" outlineLevel="0" max="6" min="6" style="30" width="9"/>
    <col collapsed="false" customWidth="true" hidden="false" outlineLevel="0" max="7" min="7" style="30" width="12"/>
    <col collapsed="false" customWidth="true" hidden="false" outlineLevel="0" max="8" min="8" style="30" width="11"/>
    <col collapsed="false" customWidth="true" hidden="false" outlineLevel="0" max="9" min="9" style="30" width="8"/>
    <col collapsed="false" customWidth="true" hidden="false" outlineLevel="0" max="10" min="10" style="30" width="31"/>
    <col collapsed="false" customWidth="true" hidden="false" outlineLevel="0" max="12" min="11" style="30" width="34"/>
    <col collapsed="false" customWidth="true" hidden="false" outlineLevel="0" max="13" min="13" style="30" width="27"/>
  </cols>
  <sheetData>
    <row r="1" customFormat="false" ht="24.75" hidden="false" customHeight="true" outlineLevel="0" collapsed="false">
      <c r="A1" s="91" t="s">
        <v>7269</v>
      </c>
      <c r="B1" s="91"/>
      <c r="C1" s="91"/>
      <c r="D1" s="91"/>
      <c r="E1" s="91"/>
      <c r="F1" s="91"/>
      <c r="G1" s="91"/>
      <c r="H1" s="91"/>
      <c r="I1" s="91"/>
      <c r="J1" s="91"/>
      <c r="K1" s="91"/>
      <c r="L1" s="91"/>
      <c r="M1" s="91"/>
    </row>
    <row r="2" customFormat="false" ht="33" hidden="false" customHeight="true" outlineLevel="0" collapsed="false">
      <c r="A2" s="92" t="s">
        <v>7270</v>
      </c>
      <c r="B2" s="92"/>
      <c r="C2" s="92"/>
      <c r="D2" s="92"/>
      <c r="E2" s="92"/>
      <c r="F2" s="92"/>
      <c r="G2" s="92"/>
      <c r="H2" s="92"/>
      <c r="I2" s="92"/>
      <c r="J2" s="92"/>
      <c r="K2" s="92"/>
      <c r="L2" s="92"/>
      <c r="M2" s="92"/>
    </row>
    <row r="4" customFormat="false" ht="30" hidden="false" customHeight="true" outlineLevel="0" collapsed="false">
      <c r="A4" s="93" t="s">
        <v>5774</v>
      </c>
      <c r="B4" s="93" t="s">
        <v>3794</v>
      </c>
      <c r="C4" s="93" t="s">
        <v>36</v>
      </c>
      <c r="D4" s="93" t="s">
        <v>103</v>
      </c>
      <c r="E4" s="93" t="s">
        <v>97</v>
      </c>
      <c r="F4" s="93" t="s">
        <v>108</v>
      </c>
      <c r="G4" s="93" t="s">
        <v>6853</v>
      </c>
      <c r="H4" s="93" t="s">
        <v>6854</v>
      </c>
      <c r="I4" s="93" t="s">
        <v>514</v>
      </c>
      <c r="J4" s="93" t="s">
        <v>7271</v>
      </c>
      <c r="K4" s="93" t="s">
        <v>7272</v>
      </c>
      <c r="L4" s="93" t="s">
        <v>7273</v>
      </c>
      <c r="M4" s="93" t="s">
        <v>7274</v>
      </c>
    </row>
    <row r="5" customFormat="false" ht="30.75" hidden="false" customHeight="true" outlineLevel="0" collapsed="false">
      <c r="A5" s="94" t="s">
        <v>7275</v>
      </c>
      <c r="B5" s="94" t="s">
        <v>7276</v>
      </c>
      <c r="C5" s="94" t="n">
        <v>12</v>
      </c>
      <c r="D5" s="94" t="n">
        <v>5</v>
      </c>
      <c r="E5" s="94" t="n">
        <v>0</v>
      </c>
      <c r="F5" s="94" t="n">
        <v>2</v>
      </c>
      <c r="G5" s="94" t="n">
        <v>6</v>
      </c>
      <c r="H5" s="94" t="n">
        <v>12</v>
      </c>
      <c r="I5" s="94" t="n">
        <v>46</v>
      </c>
      <c r="J5" s="94" t="n">
        <v>23</v>
      </c>
      <c r="K5" s="94" t="n">
        <v>28</v>
      </c>
      <c r="L5" s="94" t="n">
        <v>60</v>
      </c>
      <c r="M5" s="94" t="s">
        <v>7277</v>
      </c>
    </row>
    <row r="6" customFormat="false" ht="30.75" hidden="false" customHeight="true" outlineLevel="0" collapsed="false">
      <c r="A6" s="94" t="s">
        <v>7278</v>
      </c>
      <c r="B6" s="94" t="s">
        <v>7279</v>
      </c>
      <c r="C6" s="94" t="n">
        <v>12</v>
      </c>
      <c r="D6" s="94" t="n">
        <v>5</v>
      </c>
      <c r="E6" s="94" t="n">
        <v>0</v>
      </c>
      <c r="F6" s="94" t="n">
        <v>2</v>
      </c>
      <c r="G6" s="94" t="n">
        <v>6</v>
      </c>
      <c r="H6" s="94" t="n">
        <v>13</v>
      </c>
      <c r="I6" s="94" t="n">
        <v>46</v>
      </c>
      <c r="J6" s="94" t="n">
        <v>24</v>
      </c>
      <c r="K6" s="94" t="n">
        <v>29</v>
      </c>
      <c r="L6" s="94" t="n">
        <v>62</v>
      </c>
      <c r="M6" s="94" t="s">
        <v>7280</v>
      </c>
    </row>
    <row r="7" customFormat="false" ht="30.75" hidden="false" customHeight="true" outlineLevel="0" collapsed="false">
      <c r="A7" s="94" t="s">
        <v>7281</v>
      </c>
      <c r="B7" s="94" t="s">
        <v>7282</v>
      </c>
      <c r="C7" s="94" t="n">
        <v>13</v>
      </c>
      <c r="D7" s="94" t="n">
        <v>6</v>
      </c>
      <c r="E7" s="94" t="n">
        <v>0</v>
      </c>
      <c r="F7" s="94" t="n">
        <v>3</v>
      </c>
      <c r="G7" s="94" t="n">
        <v>6</v>
      </c>
      <c r="H7" s="94" t="n">
        <v>12</v>
      </c>
      <c r="I7" s="94" t="n">
        <v>46</v>
      </c>
      <c r="J7" s="94" t="n">
        <v>23</v>
      </c>
      <c r="K7" s="94" t="n">
        <v>28</v>
      </c>
      <c r="L7" s="94" t="n">
        <v>60</v>
      </c>
      <c r="M7" s="94" t="s">
        <v>7283</v>
      </c>
    </row>
    <row r="8" customFormat="false" ht="30.75" hidden="false" customHeight="true" outlineLevel="0" collapsed="false">
      <c r="A8" s="94" t="s">
        <v>7284</v>
      </c>
      <c r="B8" s="94" t="s">
        <v>7285</v>
      </c>
      <c r="C8" s="94" t="n">
        <v>13</v>
      </c>
      <c r="D8" s="94" t="n">
        <v>6</v>
      </c>
      <c r="E8" s="94" t="n">
        <v>0</v>
      </c>
      <c r="F8" s="94" t="n">
        <v>3</v>
      </c>
      <c r="G8" s="94" t="n">
        <v>7</v>
      </c>
      <c r="H8" s="94" t="n">
        <v>13</v>
      </c>
      <c r="I8" s="94" t="n">
        <v>47</v>
      </c>
      <c r="J8" s="94" t="n">
        <v>24</v>
      </c>
      <c r="K8" s="94" t="n">
        <v>29</v>
      </c>
      <c r="L8" s="94" t="n">
        <v>62</v>
      </c>
      <c r="M8" s="94" t="s">
        <v>7286</v>
      </c>
    </row>
  </sheetData>
  <mergeCells count="2">
    <mergeCell ref="A1:M1"/>
    <mergeCell ref="A2:M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32"/>
    <col collapsed="false" customWidth="true" hidden="false" outlineLevel="0" max="2" min="2" style="30" width="34"/>
    <col collapsed="false" customWidth="true" hidden="false" outlineLevel="0" max="3" min="3" style="30" width="10"/>
    <col collapsed="false" customWidth="true" hidden="false" outlineLevel="0" max="4" min="4" style="30" width="26"/>
    <col collapsed="false" customWidth="true" hidden="false" outlineLevel="0" max="5" min="5" style="30" width="30"/>
    <col collapsed="false" customWidth="true" hidden="false" outlineLevel="0" max="6" min="6" style="30" width="32"/>
    <col collapsed="false" customWidth="true" hidden="false" outlineLevel="0" max="7" min="7" style="30" width="10"/>
    <col collapsed="false" customWidth="true" hidden="false" outlineLevel="0" max="8" min="8" style="30" width="16"/>
    <col collapsed="false" customWidth="true" hidden="false" outlineLevel="0" max="9" min="9" style="30" width="23"/>
    <col collapsed="false" customWidth="true" hidden="false" outlineLevel="0" max="10" min="10" style="30" width="34"/>
  </cols>
  <sheetData>
    <row r="1" customFormat="false" ht="24.75" hidden="false" customHeight="true" outlineLevel="0" collapsed="false">
      <c r="A1" s="91" t="s">
        <v>7287</v>
      </c>
      <c r="B1" s="91"/>
      <c r="C1" s="91"/>
      <c r="D1" s="91"/>
      <c r="E1" s="91"/>
      <c r="F1" s="91"/>
      <c r="G1" s="91"/>
      <c r="H1" s="91"/>
      <c r="I1" s="91"/>
      <c r="J1" s="91"/>
    </row>
    <row r="2" customFormat="false" ht="33" hidden="false" customHeight="true" outlineLevel="0" collapsed="false">
      <c r="A2" s="92" t="s">
        <v>7288</v>
      </c>
      <c r="B2" s="92"/>
      <c r="C2" s="92"/>
      <c r="D2" s="92"/>
      <c r="E2" s="92"/>
      <c r="F2" s="92"/>
      <c r="G2" s="92"/>
      <c r="H2" s="92"/>
      <c r="I2" s="92"/>
      <c r="J2" s="92"/>
    </row>
    <row r="4" customFormat="false" ht="30" hidden="false" customHeight="true" outlineLevel="0" collapsed="false">
      <c r="A4" s="93" t="s">
        <v>7164</v>
      </c>
      <c r="B4" s="93" t="s">
        <v>7289</v>
      </c>
      <c r="C4" s="93" t="s">
        <v>6179</v>
      </c>
      <c r="D4" s="93" t="s">
        <v>514</v>
      </c>
      <c r="E4" s="93" t="s">
        <v>7165</v>
      </c>
      <c r="F4" s="93" t="s">
        <v>7166</v>
      </c>
      <c r="G4" s="93" t="s">
        <v>7167</v>
      </c>
      <c r="H4" s="93" t="s">
        <v>7168</v>
      </c>
      <c r="I4" s="93" t="s">
        <v>7169</v>
      </c>
      <c r="J4" s="93" t="s">
        <v>7146</v>
      </c>
    </row>
    <row r="5" customFormat="false" ht="24" hidden="false" customHeight="true" outlineLevel="0" collapsed="false">
      <c r="A5" s="94" t="s">
        <v>7290</v>
      </c>
      <c r="B5" s="94" t="s">
        <v>5256</v>
      </c>
      <c r="C5" s="94" t="n">
        <v>1</v>
      </c>
      <c r="D5" s="94" t="s">
        <v>7172</v>
      </c>
      <c r="E5" s="94" t="s">
        <v>3862</v>
      </c>
      <c r="F5" s="94" t="s">
        <v>3862</v>
      </c>
      <c r="G5" s="94" t="s">
        <v>5783</v>
      </c>
      <c r="H5" s="94" t="s">
        <v>3862</v>
      </c>
      <c r="I5" s="94" t="s">
        <v>6199</v>
      </c>
      <c r="J5" s="94" t="s">
        <v>7291</v>
      </c>
    </row>
    <row r="6" customFormat="false" ht="24" hidden="false" customHeight="true" outlineLevel="0" collapsed="false">
      <c r="A6" s="94" t="s">
        <v>7292</v>
      </c>
      <c r="B6" s="94" t="s">
        <v>5277</v>
      </c>
      <c r="C6" s="94" t="n">
        <v>1</v>
      </c>
      <c r="D6" s="94" t="s">
        <v>7177</v>
      </c>
      <c r="E6" s="94" t="s">
        <v>3862</v>
      </c>
      <c r="F6" s="94" t="s">
        <v>3862</v>
      </c>
      <c r="G6" s="94" t="s">
        <v>5783</v>
      </c>
      <c r="H6" s="94" t="s">
        <v>3862</v>
      </c>
      <c r="I6" s="94" t="s">
        <v>6199</v>
      </c>
      <c r="J6" s="94" t="s">
        <v>7291</v>
      </c>
    </row>
    <row r="7" customFormat="false" ht="24" hidden="false" customHeight="true" outlineLevel="0" collapsed="false">
      <c r="A7" s="94" t="s">
        <v>7293</v>
      </c>
      <c r="B7" s="94" t="s">
        <v>5270</v>
      </c>
      <c r="C7" s="94" t="n">
        <v>1</v>
      </c>
      <c r="D7" s="94" t="s">
        <v>7180</v>
      </c>
      <c r="E7" s="94" t="s">
        <v>3862</v>
      </c>
      <c r="F7" s="94" t="s">
        <v>3862</v>
      </c>
      <c r="G7" s="94" t="s">
        <v>5783</v>
      </c>
      <c r="H7" s="94" t="s">
        <v>3862</v>
      </c>
      <c r="I7" s="94" t="s">
        <v>6199</v>
      </c>
      <c r="J7" s="94" t="s">
        <v>7291</v>
      </c>
    </row>
    <row r="8" customFormat="false" ht="24" hidden="false" customHeight="true" outlineLevel="0" collapsed="false">
      <c r="A8" s="94" t="s">
        <v>7294</v>
      </c>
      <c r="B8" s="94" t="s">
        <v>4015</v>
      </c>
      <c r="C8" s="94" t="n">
        <v>1</v>
      </c>
      <c r="D8" s="94" t="s">
        <v>3862</v>
      </c>
      <c r="E8" s="94" t="s">
        <v>7188</v>
      </c>
      <c r="F8" s="94" t="s">
        <v>3862</v>
      </c>
      <c r="G8" s="94" t="s">
        <v>5783</v>
      </c>
      <c r="H8" s="94" t="s">
        <v>3862</v>
      </c>
      <c r="I8" s="94" t="s">
        <v>6199</v>
      </c>
      <c r="J8" s="94" t="s">
        <v>7291</v>
      </c>
    </row>
    <row r="9" customFormat="false" ht="24" hidden="false" customHeight="true" outlineLevel="0" collapsed="false">
      <c r="A9" s="94" t="s">
        <v>7295</v>
      </c>
      <c r="B9" s="94" t="s">
        <v>5313</v>
      </c>
      <c r="C9" s="94" t="n">
        <v>1</v>
      </c>
      <c r="D9" s="94" t="s">
        <v>3862</v>
      </c>
      <c r="E9" s="94" t="s">
        <v>7191</v>
      </c>
      <c r="F9" s="94" t="s">
        <v>3862</v>
      </c>
      <c r="G9" s="94" t="s">
        <v>5783</v>
      </c>
      <c r="H9" s="94" t="s">
        <v>3862</v>
      </c>
      <c r="I9" s="94" t="s">
        <v>6199</v>
      </c>
      <c r="J9" s="94" t="s">
        <v>7291</v>
      </c>
    </row>
    <row r="10" customFormat="false" ht="24" hidden="false" customHeight="true" outlineLevel="0" collapsed="false">
      <c r="A10" s="94" t="s">
        <v>7296</v>
      </c>
      <c r="B10" s="94" t="s">
        <v>5359</v>
      </c>
      <c r="C10" s="94" t="n">
        <v>1</v>
      </c>
      <c r="D10" s="94" t="s">
        <v>3862</v>
      </c>
      <c r="E10" s="94" t="s">
        <v>3862</v>
      </c>
      <c r="F10" s="94" t="s">
        <v>7183</v>
      </c>
      <c r="G10" s="94" t="s">
        <v>5783</v>
      </c>
      <c r="H10" s="94" t="s">
        <v>3862</v>
      </c>
      <c r="I10" s="94" t="s">
        <v>6199</v>
      </c>
      <c r="J10" s="94" t="s">
        <v>7291</v>
      </c>
    </row>
    <row r="11" customFormat="false" ht="24" hidden="false" customHeight="true" outlineLevel="0" collapsed="false">
      <c r="A11" s="94" t="s">
        <v>7297</v>
      </c>
      <c r="B11" s="94" t="s">
        <v>5376</v>
      </c>
      <c r="C11" s="94" t="n">
        <v>1</v>
      </c>
      <c r="D11" s="94" t="s">
        <v>3862</v>
      </c>
      <c r="E11" s="94" t="s">
        <v>3862</v>
      </c>
      <c r="F11" s="94" t="s">
        <v>3862</v>
      </c>
      <c r="G11" s="94" t="s">
        <v>7063</v>
      </c>
      <c r="H11" s="94" t="s">
        <v>3862</v>
      </c>
      <c r="I11" s="94" t="s">
        <v>6199</v>
      </c>
      <c r="J11" s="94" t="s">
        <v>7291</v>
      </c>
    </row>
    <row r="12" customFormat="false" ht="24" hidden="false" customHeight="true" outlineLevel="0" collapsed="false">
      <c r="A12" s="94" t="s">
        <v>7298</v>
      </c>
      <c r="B12" s="94" t="s">
        <v>3963</v>
      </c>
      <c r="C12" s="94" t="n">
        <v>1</v>
      </c>
      <c r="D12" s="94" t="s">
        <v>3862</v>
      </c>
      <c r="E12" s="94" t="s">
        <v>3862</v>
      </c>
      <c r="F12" s="94" t="s">
        <v>7173</v>
      </c>
      <c r="G12" s="94" t="s">
        <v>5783</v>
      </c>
      <c r="H12" s="94" t="s">
        <v>3862</v>
      </c>
      <c r="I12" s="94" t="s">
        <v>6199</v>
      </c>
      <c r="J12" s="94" t="s">
        <v>7291</v>
      </c>
    </row>
    <row r="13" customFormat="false" ht="24" hidden="false" customHeight="true" outlineLevel="0" collapsed="false">
      <c r="A13" s="94" t="s">
        <v>7299</v>
      </c>
      <c r="B13" s="94" t="s">
        <v>5330</v>
      </c>
      <c r="C13" s="94" t="n">
        <v>1</v>
      </c>
      <c r="D13" s="94" t="s">
        <v>3862</v>
      </c>
      <c r="E13" s="94" t="s">
        <v>3862</v>
      </c>
      <c r="F13" s="94" t="s">
        <v>7194</v>
      </c>
      <c r="G13" s="94" t="s">
        <v>5783</v>
      </c>
      <c r="H13" s="94" t="s">
        <v>3862</v>
      </c>
      <c r="I13" s="94" t="s">
        <v>6199</v>
      </c>
      <c r="J13" s="94" t="s">
        <v>7291</v>
      </c>
    </row>
    <row r="14" customFormat="false" ht="24" hidden="false" customHeight="true" outlineLevel="0" collapsed="false">
      <c r="A14" s="94" t="s">
        <v>7300</v>
      </c>
      <c r="B14" s="94" t="s">
        <v>5340</v>
      </c>
      <c r="C14" s="94" t="n">
        <v>1</v>
      </c>
      <c r="D14" s="94" t="s">
        <v>3862</v>
      </c>
      <c r="E14" s="94" t="s">
        <v>3862</v>
      </c>
      <c r="F14" s="94" t="s">
        <v>7197</v>
      </c>
      <c r="G14" s="94" t="s">
        <v>5783</v>
      </c>
      <c r="H14" s="94" t="s">
        <v>3862</v>
      </c>
      <c r="I14" s="94" t="s">
        <v>6199</v>
      </c>
      <c r="J14" s="94" t="s">
        <v>7291</v>
      </c>
    </row>
    <row r="15" customFormat="false" ht="24" hidden="false" customHeight="true" outlineLevel="0" collapsed="false">
      <c r="A15" s="94" t="s">
        <v>7301</v>
      </c>
      <c r="B15" s="94" t="s">
        <v>5478</v>
      </c>
      <c r="C15" s="94" t="n">
        <v>1</v>
      </c>
      <c r="D15" s="94" t="s">
        <v>3862</v>
      </c>
      <c r="E15" s="94" t="s">
        <v>3862</v>
      </c>
      <c r="F15" s="94" t="s">
        <v>3862</v>
      </c>
      <c r="G15" s="94" t="s">
        <v>5783</v>
      </c>
      <c r="H15" s="94" t="s">
        <v>7200</v>
      </c>
      <c r="I15" s="94" t="s">
        <v>7302</v>
      </c>
      <c r="J15" s="94" t="s">
        <v>7291</v>
      </c>
    </row>
    <row r="16" customFormat="false" ht="24" hidden="false" customHeight="true" outlineLevel="0" collapsed="false">
      <c r="A16" s="94" t="s">
        <v>7303</v>
      </c>
      <c r="B16" s="94" t="s">
        <v>5487</v>
      </c>
      <c r="C16" s="94" t="n">
        <v>1</v>
      </c>
      <c r="D16" s="94" t="s">
        <v>3862</v>
      </c>
      <c r="E16" s="94" t="s">
        <v>3862</v>
      </c>
      <c r="F16" s="94" t="s">
        <v>3862</v>
      </c>
      <c r="G16" s="94" t="s">
        <v>5783</v>
      </c>
      <c r="H16" s="94" t="s">
        <v>7204</v>
      </c>
      <c r="I16" s="94" t="s">
        <v>7302</v>
      </c>
      <c r="J16" s="94" t="s">
        <v>7291</v>
      </c>
    </row>
    <row r="17" customFormat="false" ht="24" hidden="false" customHeight="true" outlineLevel="0" collapsed="false">
      <c r="A17" s="94" t="s">
        <v>7304</v>
      </c>
      <c r="B17" s="94" t="s">
        <v>4009</v>
      </c>
      <c r="C17" s="94" t="n">
        <v>2</v>
      </c>
      <c r="D17" s="94" t="s">
        <v>3862</v>
      </c>
      <c r="E17" s="94" t="s">
        <v>7206</v>
      </c>
      <c r="F17" s="94" t="s">
        <v>3862</v>
      </c>
      <c r="G17" s="94" t="s">
        <v>5783</v>
      </c>
      <c r="H17" s="94" t="s">
        <v>3862</v>
      </c>
      <c r="I17" s="94" t="s">
        <v>6199</v>
      </c>
      <c r="J17" s="94" t="s">
        <v>7305</v>
      </c>
    </row>
    <row r="18" customFormat="false" ht="30.75" hidden="false" customHeight="true" outlineLevel="0" collapsed="false">
      <c r="A18" s="94"/>
      <c r="B18" s="94"/>
      <c r="C18" s="94"/>
      <c r="D18" s="94"/>
      <c r="E18" s="94"/>
      <c r="F18" s="94"/>
      <c r="G18" s="94"/>
      <c r="H18" s="94"/>
      <c r="I18" s="94"/>
      <c r="J18" s="94"/>
    </row>
    <row r="19" customFormat="false" ht="30" hidden="false" customHeight="true" outlineLevel="0" collapsed="false">
      <c r="A19" s="93" t="s">
        <v>7164</v>
      </c>
      <c r="B19" s="93" t="s">
        <v>7306</v>
      </c>
      <c r="C19" s="93" t="s">
        <v>6179</v>
      </c>
      <c r="D19" s="93" t="s">
        <v>514</v>
      </c>
      <c r="E19" s="93" t="s">
        <v>7165</v>
      </c>
      <c r="F19" s="93" t="s">
        <v>7166</v>
      </c>
      <c r="G19" s="93" t="s">
        <v>7167</v>
      </c>
      <c r="H19" s="93" t="s">
        <v>7168</v>
      </c>
      <c r="I19" s="93" t="s">
        <v>7169</v>
      </c>
      <c r="J19" s="93" t="s">
        <v>7146</v>
      </c>
    </row>
    <row r="20" customFormat="false" ht="24" hidden="false" customHeight="true" outlineLevel="0" collapsed="false">
      <c r="A20" s="94" t="s">
        <v>7304</v>
      </c>
      <c r="B20" s="94" t="s">
        <v>4009</v>
      </c>
      <c r="C20" s="94" t="n">
        <v>2</v>
      </c>
      <c r="D20" s="94" t="s">
        <v>3862</v>
      </c>
      <c r="E20" s="94" t="s">
        <v>7206</v>
      </c>
      <c r="F20" s="94" t="s">
        <v>3862</v>
      </c>
      <c r="G20" s="94" t="s">
        <v>5783</v>
      </c>
      <c r="H20" s="94" t="s">
        <v>3862</v>
      </c>
      <c r="I20" s="94" t="s">
        <v>6199</v>
      </c>
      <c r="J20" s="94" t="s">
        <v>7307</v>
      </c>
    </row>
    <row r="21" customFormat="false" ht="24" hidden="false" customHeight="true" outlineLevel="0" collapsed="false">
      <c r="A21" s="94" t="s">
        <v>7308</v>
      </c>
      <c r="B21" s="94" t="s">
        <v>7171</v>
      </c>
      <c r="C21" s="94" t="n">
        <v>2</v>
      </c>
      <c r="D21" s="94" t="s">
        <v>7172</v>
      </c>
      <c r="E21" s="94" t="s">
        <v>3862</v>
      </c>
      <c r="F21" s="94" t="s">
        <v>7173</v>
      </c>
      <c r="G21" s="94" t="s">
        <v>5783</v>
      </c>
      <c r="H21" s="94" t="s">
        <v>3862</v>
      </c>
      <c r="I21" s="94" t="s">
        <v>6199</v>
      </c>
      <c r="J21" s="94" t="s">
        <v>7307</v>
      </c>
    </row>
    <row r="22" customFormat="false" ht="24" hidden="false" customHeight="true" outlineLevel="0" collapsed="false">
      <c r="A22" s="94" t="s">
        <v>7309</v>
      </c>
      <c r="B22" s="94" t="s">
        <v>7176</v>
      </c>
      <c r="C22" s="94" t="n">
        <v>2</v>
      </c>
      <c r="D22" s="94" t="s">
        <v>7177</v>
      </c>
      <c r="E22" s="94" t="s">
        <v>3862</v>
      </c>
      <c r="F22" s="94" t="s">
        <v>7173</v>
      </c>
      <c r="G22" s="94" t="s">
        <v>5783</v>
      </c>
      <c r="H22" s="94" t="s">
        <v>3862</v>
      </c>
      <c r="I22" s="94" t="s">
        <v>6199</v>
      </c>
      <c r="J22" s="94" t="s">
        <v>7307</v>
      </c>
    </row>
    <row r="23" customFormat="false" ht="24" hidden="false" customHeight="true" outlineLevel="0" collapsed="false">
      <c r="A23" s="94" t="s">
        <v>7310</v>
      </c>
      <c r="B23" s="94" t="s">
        <v>7179</v>
      </c>
      <c r="C23" s="94" t="n">
        <v>2</v>
      </c>
      <c r="D23" s="94" t="s">
        <v>7180</v>
      </c>
      <c r="E23" s="94" t="s">
        <v>3862</v>
      </c>
      <c r="F23" s="94" t="s">
        <v>7173</v>
      </c>
      <c r="G23" s="94" t="s">
        <v>5783</v>
      </c>
      <c r="H23" s="94" t="s">
        <v>3862</v>
      </c>
      <c r="I23" s="94" t="s">
        <v>6199</v>
      </c>
      <c r="J23" s="94" t="s">
        <v>7307</v>
      </c>
    </row>
    <row r="24" customFormat="false" ht="24" hidden="false" customHeight="true" outlineLevel="0" collapsed="false">
      <c r="A24" s="94" t="s">
        <v>7311</v>
      </c>
      <c r="B24" s="94" t="s">
        <v>7182</v>
      </c>
      <c r="C24" s="94" t="n">
        <v>2</v>
      </c>
      <c r="D24" s="94" t="s">
        <v>7172</v>
      </c>
      <c r="E24" s="94" t="s">
        <v>3862</v>
      </c>
      <c r="F24" s="94" t="s">
        <v>7183</v>
      </c>
      <c r="G24" s="94" t="s">
        <v>5783</v>
      </c>
      <c r="H24" s="94" t="s">
        <v>3862</v>
      </c>
      <c r="I24" s="94" t="s">
        <v>6199</v>
      </c>
      <c r="J24" s="94" t="s">
        <v>7307</v>
      </c>
    </row>
    <row r="25" customFormat="false" ht="24" hidden="false" customHeight="true" outlineLevel="0" collapsed="false">
      <c r="A25" s="94" t="s">
        <v>7312</v>
      </c>
      <c r="B25" s="94" t="s">
        <v>7185</v>
      </c>
      <c r="C25" s="94" t="n">
        <v>2</v>
      </c>
      <c r="D25" s="94" t="s">
        <v>3862</v>
      </c>
      <c r="E25" s="94" t="s">
        <v>3862</v>
      </c>
      <c r="F25" s="94" t="s">
        <v>7183</v>
      </c>
      <c r="G25" s="94" t="s">
        <v>7063</v>
      </c>
      <c r="H25" s="94" t="s">
        <v>3862</v>
      </c>
      <c r="I25" s="94" t="s">
        <v>6199</v>
      </c>
      <c r="J25" s="94" t="s">
        <v>7307</v>
      </c>
    </row>
    <row r="26" customFormat="false" ht="24" hidden="false" customHeight="true" outlineLevel="0" collapsed="false">
      <c r="A26" s="94" t="s">
        <v>7313</v>
      </c>
      <c r="B26" s="94" t="s">
        <v>7187</v>
      </c>
      <c r="C26" s="94" t="n">
        <v>2</v>
      </c>
      <c r="D26" s="94" t="s">
        <v>3862</v>
      </c>
      <c r="E26" s="94" t="s">
        <v>7188</v>
      </c>
      <c r="F26" s="94" t="s">
        <v>3862</v>
      </c>
      <c r="G26" s="94" t="s">
        <v>7063</v>
      </c>
      <c r="H26" s="94" t="s">
        <v>3862</v>
      </c>
      <c r="I26" s="94" t="s">
        <v>6199</v>
      </c>
      <c r="J26" s="94" t="s">
        <v>7307</v>
      </c>
    </row>
    <row r="27" customFormat="false" ht="24" hidden="false" customHeight="true" outlineLevel="0" collapsed="false">
      <c r="A27" s="94" t="s">
        <v>7314</v>
      </c>
      <c r="B27" s="94" t="s">
        <v>7190</v>
      </c>
      <c r="C27" s="94" t="n">
        <v>2</v>
      </c>
      <c r="D27" s="94" t="s">
        <v>7177</v>
      </c>
      <c r="E27" s="94" t="s">
        <v>7191</v>
      </c>
      <c r="F27" s="94" t="s">
        <v>3862</v>
      </c>
      <c r="G27" s="94" t="s">
        <v>5783</v>
      </c>
      <c r="H27" s="94" t="s">
        <v>3862</v>
      </c>
      <c r="I27" s="94" t="s">
        <v>6199</v>
      </c>
      <c r="J27" s="94" t="s">
        <v>7307</v>
      </c>
    </row>
    <row r="28" customFormat="false" ht="24" hidden="false" customHeight="true" outlineLevel="0" collapsed="false">
      <c r="A28" s="94" t="s">
        <v>7315</v>
      </c>
      <c r="B28" s="94" t="s">
        <v>7193</v>
      </c>
      <c r="C28" s="94" t="n">
        <v>2</v>
      </c>
      <c r="D28" s="94" t="s">
        <v>7172</v>
      </c>
      <c r="E28" s="94" t="s">
        <v>3862</v>
      </c>
      <c r="F28" s="94" t="s">
        <v>7194</v>
      </c>
      <c r="G28" s="94" t="s">
        <v>5783</v>
      </c>
      <c r="H28" s="94" t="s">
        <v>3862</v>
      </c>
      <c r="I28" s="94" t="s">
        <v>6199</v>
      </c>
      <c r="J28" s="94" t="s">
        <v>7307</v>
      </c>
    </row>
    <row r="29" customFormat="false" ht="24" hidden="false" customHeight="true" outlineLevel="0" collapsed="false">
      <c r="A29" s="94" t="s">
        <v>7316</v>
      </c>
      <c r="B29" s="94" t="s">
        <v>7196</v>
      </c>
      <c r="C29" s="94" t="n">
        <v>2</v>
      </c>
      <c r="D29" s="94" t="s">
        <v>7177</v>
      </c>
      <c r="E29" s="94" t="s">
        <v>3862</v>
      </c>
      <c r="F29" s="94" t="s">
        <v>7197</v>
      </c>
      <c r="G29" s="94" t="s">
        <v>5783</v>
      </c>
      <c r="H29" s="94" t="s">
        <v>3862</v>
      </c>
      <c r="I29" s="94" t="s">
        <v>6199</v>
      </c>
      <c r="J29" s="94" t="s">
        <v>7307</v>
      </c>
    </row>
    <row r="30" customFormat="false" ht="24" hidden="false" customHeight="true" outlineLevel="0" collapsed="false">
      <c r="A30" s="94" t="s">
        <v>7317</v>
      </c>
      <c r="B30" s="94" t="s">
        <v>7199</v>
      </c>
      <c r="C30" s="94" t="n">
        <v>2</v>
      </c>
      <c r="D30" s="94" t="s">
        <v>3862</v>
      </c>
      <c r="E30" s="94" t="s">
        <v>7188</v>
      </c>
      <c r="F30" s="94" t="s">
        <v>3862</v>
      </c>
      <c r="G30" s="94" t="s">
        <v>5783</v>
      </c>
      <c r="H30" s="94" t="s">
        <v>7200</v>
      </c>
      <c r="I30" s="94" t="s">
        <v>7201</v>
      </c>
      <c r="J30" s="94" t="s">
        <v>7307</v>
      </c>
    </row>
    <row r="31" customFormat="false" ht="24" hidden="false" customHeight="true" outlineLevel="0" collapsed="false">
      <c r="A31" s="94" t="s">
        <v>7318</v>
      </c>
      <c r="B31" s="94" t="s">
        <v>7203</v>
      </c>
      <c r="C31" s="94" t="n">
        <v>2</v>
      </c>
      <c r="D31" s="94" t="s">
        <v>7180</v>
      </c>
      <c r="E31" s="94" t="s">
        <v>3862</v>
      </c>
      <c r="F31" s="94" t="s">
        <v>3862</v>
      </c>
      <c r="G31" s="94" t="s">
        <v>5783</v>
      </c>
      <c r="H31" s="94" t="s">
        <v>7204</v>
      </c>
      <c r="I31" s="94" t="s">
        <v>7201</v>
      </c>
      <c r="J31" s="94" t="s">
        <v>7307</v>
      </c>
    </row>
    <row r="32" customFormat="false" ht="24" hidden="false" customHeight="true" outlineLevel="0" collapsed="false">
      <c r="A32" s="94" t="s">
        <v>7319</v>
      </c>
      <c r="B32" s="94" t="s">
        <v>7208</v>
      </c>
      <c r="C32" s="94" t="n">
        <v>2</v>
      </c>
      <c r="D32" s="94" t="s">
        <v>7180</v>
      </c>
      <c r="E32" s="94" t="s">
        <v>7188</v>
      </c>
      <c r="F32" s="94" t="s">
        <v>3862</v>
      </c>
      <c r="G32" s="94" t="s">
        <v>5783</v>
      </c>
      <c r="H32" s="94" t="s">
        <v>3862</v>
      </c>
      <c r="I32" s="94" t="s">
        <v>6199</v>
      </c>
      <c r="J32" s="94" t="s">
        <v>7307</v>
      </c>
    </row>
    <row r="33" customFormat="false" ht="30.75" hidden="false" customHeight="true" outlineLevel="0" collapsed="false">
      <c r="A33" s="94"/>
      <c r="B33" s="94"/>
      <c r="C33" s="94"/>
      <c r="D33" s="94"/>
      <c r="E33" s="94"/>
      <c r="F33" s="94"/>
      <c r="G33" s="94"/>
      <c r="H33" s="94"/>
      <c r="I33" s="94"/>
      <c r="J33" s="94"/>
    </row>
    <row r="34" customFormat="false" ht="30.75" hidden="false" customHeight="true" outlineLevel="0" collapsed="false">
      <c r="A34" s="94"/>
      <c r="B34" s="94"/>
      <c r="C34" s="94"/>
      <c r="D34" s="94"/>
      <c r="E34" s="94"/>
      <c r="F34" s="94"/>
      <c r="G34" s="94"/>
      <c r="H34" s="94"/>
      <c r="I34" s="94"/>
      <c r="J34" s="94"/>
    </row>
    <row r="35" customFormat="false" ht="30.75" hidden="false" customHeight="true" outlineLevel="0" collapsed="false">
      <c r="A35" s="94"/>
      <c r="B35" s="94"/>
      <c r="C35" s="94"/>
      <c r="D35" s="94"/>
      <c r="E35" s="94"/>
      <c r="F35" s="94"/>
      <c r="G35" s="94"/>
      <c r="H35" s="94"/>
      <c r="I35" s="94"/>
      <c r="J35" s="94"/>
    </row>
    <row r="36" customFormat="false" ht="30.75" hidden="false" customHeight="true" outlineLevel="0" collapsed="false">
      <c r="A36" s="94"/>
      <c r="B36" s="94"/>
      <c r="C36" s="94"/>
      <c r="D36" s="94"/>
      <c r="E36" s="94"/>
      <c r="F36" s="94"/>
      <c r="G36" s="94"/>
      <c r="H36" s="94"/>
      <c r="I36" s="94"/>
      <c r="J36" s="94"/>
    </row>
    <row r="37" customFormat="false" ht="30.75" hidden="false" customHeight="true" outlineLevel="0" collapsed="false">
      <c r="A37" s="94"/>
      <c r="B37" s="94"/>
      <c r="C37" s="94"/>
      <c r="D37" s="94"/>
      <c r="E37" s="94"/>
      <c r="F37" s="94"/>
      <c r="G37" s="94"/>
      <c r="H37" s="94"/>
      <c r="I37" s="94"/>
      <c r="J37" s="94"/>
    </row>
  </sheetData>
  <mergeCells count="2">
    <mergeCell ref="A1:J1"/>
    <mergeCell ref="A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4"/>
    <col collapsed="false" customWidth="true" hidden="false" outlineLevel="0" max="2" min="2" style="30" width="28"/>
    <col collapsed="false" customWidth="true" hidden="false" outlineLevel="0" max="3" min="3" style="30" width="50"/>
    <col collapsed="false" customWidth="true" hidden="false" outlineLevel="0" max="4" min="4" style="30" width="18"/>
    <col collapsed="false" customWidth="true" hidden="false" outlineLevel="0" max="5" min="5" style="30" width="12"/>
    <col collapsed="false" customWidth="true" hidden="false" outlineLevel="0" max="6" min="6" style="30" width="62"/>
    <col collapsed="false" customWidth="true" hidden="false" outlineLevel="0" max="7" min="7" style="30" width="18"/>
  </cols>
  <sheetData>
    <row r="1" customFormat="false" ht="24.75" hidden="false" customHeight="true" outlineLevel="0" collapsed="false">
      <c r="A1" s="91" t="s">
        <v>7320</v>
      </c>
      <c r="B1" s="91"/>
      <c r="C1" s="91"/>
      <c r="D1" s="91"/>
      <c r="E1" s="91"/>
      <c r="F1" s="91"/>
      <c r="G1" s="91"/>
    </row>
    <row r="2" customFormat="false" ht="33" hidden="false" customHeight="true" outlineLevel="0" collapsed="false">
      <c r="A2" s="92" t="s">
        <v>7321</v>
      </c>
      <c r="B2" s="92"/>
      <c r="C2" s="92"/>
      <c r="D2" s="92"/>
      <c r="E2" s="92"/>
      <c r="F2" s="92"/>
      <c r="G2" s="92"/>
    </row>
    <row r="4" customFormat="false" ht="30" hidden="false" customHeight="true" outlineLevel="0" collapsed="false">
      <c r="A4" s="93" t="s">
        <v>4186</v>
      </c>
      <c r="B4" s="93" t="s">
        <v>7322</v>
      </c>
      <c r="C4" s="93" t="s">
        <v>7212</v>
      </c>
      <c r="D4" s="93" t="s">
        <v>7213</v>
      </c>
      <c r="E4" s="93" t="s">
        <v>5761</v>
      </c>
      <c r="F4" s="93" t="s">
        <v>7214</v>
      </c>
      <c r="G4" s="93" t="s">
        <v>5631</v>
      </c>
    </row>
    <row r="5" customFormat="false" ht="30.75" hidden="false" customHeight="true" outlineLevel="0" collapsed="false">
      <c r="A5" s="94" t="s">
        <v>7215</v>
      </c>
      <c r="B5" s="94" t="s">
        <v>7323</v>
      </c>
      <c r="C5" s="94" t="s">
        <v>7324</v>
      </c>
      <c r="D5" s="94" t="s">
        <v>2033</v>
      </c>
      <c r="E5" s="94" t="n">
        <v>18</v>
      </c>
      <c r="F5" s="94" t="s">
        <v>7325</v>
      </c>
      <c r="G5" s="94" t="s">
        <v>7219</v>
      </c>
    </row>
    <row r="6" customFormat="false" ht="30.75" hidden="false" customHeight="true" outlineLevel="0" collapsed="false">
      <c r="A6" s="94" t="s">
        <v>7220</v>
      </c>
      <c r="B6" s="94" t="s">
        <v>7323</v>
      </c>
      <c r="C6" s="94" t="s">
        <v>7326</v>
      </c>
      <c r="D6" s="94" t="s">
        <v>7327</v>
      </c>
      <c r="E6" s="94" t="n">
        <v>18</v>
      </c>
      <c r="F6" s="94" t="s">
        <v>7328</v>
      </c>
      <c r="G6" s="94" t="s">
        <v>7219</v>
      </c>
    </row>
    <row r="7" customFormat="false" ht="30.75" hidden="false" customHeight="true" outlineLevel="0" collapsed="false">
      <c r="A7" s="94" t="s">
        <v>7224</v>
      </c>
      <c r="B7" s="94" t="s">
        <v>7323</v>
      </c>
      <c r="C7" s="94" t="s">
        <v>7225</v>
      </c>
      <c r="D7" s="94" t="s">
        <v>7327</v>
      </c>
      <c r="E7" s="94" t="n">
        <v>18</v>
      </c>
      <c r="F7" s="94" t="s">
        <v>7329</v>
      </c>
      <c r="G7" s="94" t="s">
        <v>7219</v>
      </c>
    </row>
    <row r="8" customFormat="false" ht="30.75" hidden="false" customHeight="true" outlineLevel="0" collapsed="false">
      <c r="A8" s="94" t="s">
        <v>7227</v>
      </c>
      <c r="B8" s="94" t="s">
        <v>7330</v>
      </c>
      <c r="C8" s="94" t="s">
        <v>7331</v>
      </c>
      <c r="D8" s="94" t="s">
        <v>7332</v>
      </c>
      <c r="E8" s="94" t="n">
        <v>54</v>
      </c>
      <c r="F8" s="94" t="s">
        <v>7333</v>
      </c>
      <c r="G8" s="94" t="s">
        <v>7232</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30"/>
    <col collapsed="false" customWidth="true" hidden="false" outlineLevel="0" max="2" min="2" style="30" width="25"/>
    <col collapsed="false" customWidth="true" hidden="false" outlineLevel="0" max="3" min="3" style="30" width="8"/>
    <col collapsed="false" customWidth="true" hidden="false" outlineLevel="0" max="6" min="4" style="30" width="10"/>
    <col collapsed="false" customWidth="true" hidden="false" outlineLevel="0" max="8" min="7" style="30" width="12"/>
    <col collapsed="false" customWidth="true" hidden="false" outlineLevel="0" max="9" min="9" style="30" width="13"/>
    <col collapsed="false" customWidth="true" hidden="false" outlineLevel="0" max="10" min="10" style="30" width="46"/>
    <col collapsed="false" customWidth="true" hidden="false" outlineLevel="0" max="12" min="11" style="30" width="34"/>
    <col collapsed="false" customWidth="true" hidden="false" outlineLevel="0" max="13" min="13" style="30" width="27"/>
  </cols>
  <sheetData>
    <row r="1" customFormat="false" ht="24.75" hidden="false" customHeight="true" outlineLevel="0" collapsed="false">
      <c r="A1" s="91" t="s">
        <v>7334</v>
      </c>
      <c r="B1" s="91"/>
      <c r="C1" s="91"/>
      <c r="D1" s="91"/>
      <c r="E1" s="91"/>
      <c r="F1" s="91"/>
      <c r="G1" s="91"/>
      <c r="H1" s="91"/>
      <c r="I1" s="91"/>
      <c r="J1" s="91"/>
    </row>
    <row r="2" customFormat="false" ht="42" hidden="false" customHeight="true" outlineLevel="0" collapsed="false">
      <c r="A2" s="92" t="s">
        <v>7335</v>
      </c>
      <c r="B2" s="92"/>
      <c r="C2" s="92"/>
      <c r="D2" s="92"/>
      <c r="E2" s="92"/>
      <c r="F2" s="92"/>
      <c r="G2" s="92"/>
      <c r="H2" s="92"/>
      <c r="I2" s="92"/>
      <c r="J2" s="92"/>
    </row>
    <row r="4" customFormat="false" ht="30" hidden="false" customHeight="true" outlineLevel="0" collapsed="false">
      <c r="A4" s="93" t="s">
        <v>5774</v>
      </c>
      <c r="B4" s="93" t="s">
        <v>3794</v>
      </c>
      <c r="C4" s="93" t="s">
        <v>36</v>
      </c>
      <c r="D4" s="93" t="s">
        <v>7336</v>
      </c>
      <c r="E4" s="93" t="s">
        <v>108</v>
      </c>
      <c r="F4" s="93" t="s">
        <v>6854</v>
      </c>
      <c r="G4" s="93" t="s">
        <v>7337</v>
      </c>
      <c r="H4" s="93" t="s">
        <v>7338</v>
      </c>
      <c r="I4" s="93" t="s">
        <v>7339</v>
      </c>
      <c r="J4" s="93" t="s">
        <v>7340</v>
      </c>
      <c r="K4" s="93"/>
      <c r="L4" s="93"/>
      <c r="M4" s="93"/>
    </row>
    <row r="5" customFormat="false" ht="36" hidden="false" customHeight="true" outlineLevel="0" collapsed="false">
      <c r="A5" s="95" t="s">
        <v>7278</v>
      </c>
      <c r="B5" s="95" t="s">
        <v>7341</v>
      </c>
      <c r="C5" s="95" t="n">
        <v>12</v>
      </c>
      <c r="D5" s="95" t="n">
        <v>5</v>
      </c>
      <c r="E5" s="95" t="n">
        <v>2</v>
      </c>
      <c r="F5" s="95" t="n">
        <v>13</v>
      </c>
      <c r="G5" s="95" t="n">
        <v>24</v>
      </c>
      <c r="H5" s="95" t="n">
        <v>29</v>
      </c>
      <c r="I5" s="95" t="n">
        <v>62</v>
      </c>
      <c r="J5" s="95" t="s">
        <v>7342</v>
      </c>
      <c r="K5" s="94"/>
      <c r="L5" s="94"/>
      <c r="M5" s="94"/>
    </row>
    <row r="6" customFormat="false" ht="36" hidden="false" customHeight="true" outlineLevel="0" collapsed="false">
      <c r="A6" s="95" t="s">
        <v>7343</v>
      </c>
      <c r="B6" s="95" t="s">
        <v>7344</v>
      </c>
      <c r="C6" s="95" t="n">
        <v>13</v>
      </c>
      <c r="D6" s="95" t="n">
        <v>5</v>
      </c>
      <c r="E6" s="95" t="n">
        <v>2</v>
      </c>
      <c r="F6" s="95" t="n">
        <v>13</v>
      </c>
      <c r="G6" s="95" t="n">
        <v>24</v>
      </c>
      <c r="H6" s="95" t="n">
        <v>29</v>
      </c>
      <c r="I6" s="95" t="n">
        <v>62</v>
      </c>
      <c r="J6" s="95" t="s">
        <v>7345</v>
      </c>
      <c r="K6" s="94"/>
      <c r="L6" s="94"/>
      <c r="M6" s="94"/>
    </row>
    <row r="7" customFormat="false" ht="36" hidden="false" customHeight="true" outlineLevel="0" collapsed="false">
      <c r="A7" s="95" t="s">
        <v>7346</v>
      </c>
      <c r="B7" s="95" t="s">
        <v>7347</v>
      </c>
      <c r="C7" s="95" t="n">
        <v>12</v>
      </c>
      <c r="D7" s="95" t="n">
        <v>6</v>
      </c>
      <c r="E7" s="95" t="n">
        <v>2</v>
      </c>
      <c r="F7" s="95" t="n">
        <v>13</v>
      </c>
      <c r="G7" s="95" t="n">
        <v>24</v>
      </c>
      <c r="H7" s="95" t="n">
        <v>29</v>
      </c>
      <c r="I7" s="95" t="n">
        <v>62</v>
      </c>
      <c r="J7" s="95" t="s">
        <v>7348</v>
      </c>
      <c r="K7" s="94"/>
      <c r="L7" s="94"/>
      <c r="M7" s="94"/>
    </row>
    <row r="8" customFormat="false" ht="36" hidden="false" customHeight="true" outlineLevel="0" collapsed="false">
      <c r="A8" s="95" t="s">
        <v>7349</v>
      </c>
      <c r="B8" s="95" t="s">
        <v>7350</v>
      </c>
      <c r="C8" s="95" t="n">
        <v>12</v>
      </c>
      <c r="D8" s="95" t="n">
        <v>5</v>
      </c>
      <c r="E8" s="95" t="n">
        <v>3</v>
      </c>
      <c r="F8" s="95" t="n">
        <v>13</v>
      </c>
      <c r="G8" s="95" t="n">
        <v>24</v>
      </c>
      <c r="H8" s="95" t="n">
        <v>29</v>
      </c>
      <c r="I8" s="95" t="n">
        <v>62</v>
      </c>
      <c r="J8" s="95" t="s">
        <v>7351</v>
      </c>
      <c r="K8" s="94"/>
      <c r="L8" s="94"/>
      <c r="M8" s="94"/>
    </row>
  </sheetData>
  <mergeCells count="2">
    <mergeCell ref="A1:J1"/>
    <mergeCell ref="A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14"/>
    <col collapsed="false" customWidth="true" hidden="false" outlineLevel="0" max="2" min="2" style="30" width="22"/>
    <col collapsed="false" customWidth="true" hidden="false" outlineLevel="0" max="3" min="3" style="30" width="10"/>
    <col collapsed="false" customWidth="true" hidden="false" outlineLevel="0" max="4" min="4" style="30" width="17"/>
    <col collapsed="false" customWidth="true" hidden="false" outlineLevel="0" max="5" min="5" style="30" width="14"/>
    <col collapsed="false" customWidth="true" hidden="false" outlineLevel="0" max="6" min="6" style="30" width="56"/>
    <col collapsed="false" customWidth="true" hidden="false" outlineLevel="0" max="7" min="7" style="30" width="38"/>
  </cols>
  <sheetData>
    <row r="1" customFormat="false" ht="24.75" hidden="false" customHeight="true" outlineLevel="0" collapsed="false">
      <c r="A1" s="91" t="s">
        <v>7352</v>
      </c>
      <c r="B1" s="91"/>
      <c r="C1" s="91"/>
      <c r="D1" s="91"/>
      <c r="E1" s="91"/>
      <c r="F1" s="91"/>
      <c r="G1" s="91"/>
    </row>
    <row r="2" customFormat="false" ht="42" hidden="false" customHeight="true" outlineLevel="0" collapsed="false">
      <c r="A2" s="92" t="s">
        <v>7353</v>
      </c>
      <c r="B2" s="92"/>
      <c r="C2" s="92"/>
      <c r="D2" s="92"/>
      <c r="E2" s="92"/>
      <c r="F2" s="92"/>
      <c r="G2" s="92"/>
    </row>
    <row r="4" customFormat="false" ht="30" hidden="false" customHeight="true" outlineLevel="0" collapsed="false">
      <c r="A4" s="93" t="s">
        <v>5110</v>
      </c>
      <c r="B4" s="93" t="s">
        <v>6947</v>
      </c>
      <c r="C4" s="93" t="s">
        <v>7354</v>
      </c>
      <c r="D4" s="93" t="s">
        <v>7355</v>
      </c>
      <c r="E4" s="93" t="s">
        <v>7356</v>
      </c>
      <c r="F4" s="93" t="s">
        <v>7357</v>
      </c>
      <c r="G4" s="93" t="s">
        <v>5220</v>
      </c>
    </row>
    <row r="5" customFormat="false" ht="36" hidden="false" customHeight="true" outlineLevel="0" collapsed="false">
      <c r="A5" s="95" t="s">
        <v>7358</v>
      </c>
      <c r="B5" s="95" t="s">
        <v>4015</v>
      </c>
      <c r="C5" s="95" t="n">
        <v>1</v>
      </c>
      <c r="D5" s="95" t="s">
        <v>6955</v>
      </c>
      <c r="E5" s="95" t="s">
        <v>7359</v>
      </c>
      <c r="F5" s="95" t="s">
        <v>7360</v>
      </c>
      <c r="G5" s="95" t="s">
        <v>7361</v>
      </c>
    </row>
    <row r="6" customFormat="false" ht="36" hidden="false" customHeight="true" outlineLevel="0" collapsed="false">
      <c r="A6" s="95" t="s">
        <v>7362</v>
      </c>
      <c r="B6" s="95" t="s">
        <v>4015</v>
      </c>
      <c r="C6" s="95" t="n">
        <v>1</v>
      </c>
      <c r="D6" s="95" t="s">
        <v>7363</v>
      </c>
      <c r="E6" s="95" t="s">
        <v>7359</v>
      </c>
      <c r="F6" s="95" t="s">
        <v>7360</v>
      </c>
      <c r="G6" s="95" t="s">
        <v>7364</v>
      </c>
    </row>
    <row r="7" customFormat="false" ht="36" hidden="false" customHeight="true" outlineLevel="0" collapsed="false">
      <c r="A7" s="95" t="s">
        <v>7365</v>
      </c>
      <c r="B7" s="95" t="s">
        <v>4015</v>
      </c>
      <c r="C7" s="95" t="n">
        <v>1</v>
      </c>
      <c r="D7" s="95" t="s">
        <v>6955</v>
      </c>
      <c r="E7" s="95" t="s">
        <v>7366</v>
      </c>
      <c r="F7" s="95" t="s">
        <v>7360</v>
      </c>
      <c r="G7" s="95" t="s">
        <v>7367</v>
      </c>
    </row>
    <row r="8" customFormat="false" ht="36" hidden="false" customHeight="true" outlineLevel="0" collapsed="false">
      <c r="A8" s="95" t="s">
        <v>7368</v>
      </c>
      <c r="B8" s="95" t="s">
        <v>4015</v>
      </c>
      <c r="C8" s="95" t="n">
        <v>1</v>
      </c>
      <c r="D8" s="95" t="s">
        <v>7363</v>
      </c>
      <c r="E8" s="95" t="s">
        <v>7366</v>
      </c>
      <c r="F8" s="95" t="s">
        <v>7360</v>
      </c>
      <c r="G8" s="95" t="s">
        <v>7369</v>
      </c>
    </row>
    <row r="9" customFormat="false" ht="36" hidden="false" customHeight="true" outlineLevel="0" collapsed="false">
      <c r="A9" s="95" t="s">
        <v>7370</v>
      </c>
      <c r="B9" s="95" t="s">
        <v>5313</v>
      </c>
      <c r="C9" s="95" t="n">
        <v>1</v>
      </c>
      <c r="D9" s="95" t="s">
        <v>7371</v>
      </c>
      <c r="E9" s="95" t="s">
        <v>7359</v>
      </c>
      <c r="F9" s="95" t="s">
        <v>7372</v>
      </c>
      <c r="G9" s="95" t="s">
        <v>7373</v>
      </c>
    </row>
    <row r="10" customFormat="false" ht="36" hidden="false" customHeight="true" outlineLevel="0" collapsed="false">
      <c r="A10" s="95" t="s">
        <v>7374</v>
      </c>
      <c r="B10" s="95" t="s">
        <v>5313</v>
      </c>
      <c r="C10" s="95" t="n">
        <v>1</v>
      </c>
      <c r="D10" s="95" t="s">
        <v>7375</v>
      </c>
      <c r="E10" s="95" t="s">
        <v>7359</v>
      </c>
      <c r="F10" s="95" t="s">
        <v>7372</v>
      </c>
      <c r="G10" s="95" t="s">
        <v>7376</v>
      </c>
    </row>
    <row r="11" customFormat="false" ht="36" hidden="false" customHeight="true" outlineLevel="0" collapsed="false">
      <c r="A11" s="95" t="s">
        <v>7377</v>
      </c>
      <c r="B11" s="95" t="s">
        <v>5313</v>
      </c>
      <c r="C11" s="95" t="n">
        <v>1</v>
      </c>
      <c r="D11" s="95" t="s">
        <v>7371</v>
      </c>
      <c r="E11" s="95" t="s">
        <v>7366</v>
      </c>
      <c r="F11" s="95" t="s">
        <v>7372</v>
      </c>
      <c r="G11" s="95" t="s">
        <v>7367</v>
      </c>
    </row>
    <row r="12" customFormat="false" ht="36" hidden="false" customHeight="true" outlineLevel="0" collapsed="false">
      <c r="A12" s="95" t="s">
        <v>7378</v>
      </c>
      <c r="B12" s="95" t="s">
        <v>5313</v>
      </c>
      <c r="C12" s="95" t="n">
        <v>1</v>
      </c>
      <c r="D12" s="95" t="s">
        <v>7375</v>
      </c>
      <c r="E12" s="95" t="s">
        <v>7366</v>
      </c>
      <c r="F12" s="95" t="s">
        <v>7372</v>
      </c>
      <c r="G12" s="95" t="s">
        <v>7379</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34"/>
    <col collapsed="false" customWidth="true" hidden="false" outlineLevel="0" max="2" min="2" style="30" width="36"/>
    <col collapsed="false" customWidth="true" hidden="false" outlineLevel="0" max="3" min="3" style="30" width="10"/>
    <col collapsed="false" customWidth="true" hidden="false" outlineLevel="0" max="4" min="4" style="30" width="30"/>
    <col collapsed="false" customWidth="true" hidden="false" outlineLevel="0" max="5" min="5" style="30" width="48"/>
    <col collapsed="false" customWidth="true" hidden="false" outlineLevel="0" max="6" min="6" style="30" width="22"/>
    <col collapsed="false" customWidth="true" hidden="false" outlineLevel="0" max="7" min="7" style="30" width="28"/>
  </cols>
  <sheetData>
    <row r="1" customFormat="false" ht="24.75" hidden="false" customHeight="true" outlineLevel="0" collapsed="false">
      <c r="A1" s="91" t="s">
        <v>7380</v>
      </c>
      <c r="B1" s="91"/>
      <c r="C1" s="91"/>
      <c r="D1" s="91"/>
      <c r="E1" s="91"/>
      <c r="F1" s="91"/>
      <c r="G1" s="91"/>
    </row>
    <row r="2" customFormat="false" ht="42" hidden="false" customHeight="true" outlineLevel="0" collapsed="false">
      <c r="A2" s="92" t="s">
        <v>7381</v>
      </c>
      <c r="B2" s="92"/>
      <c r="C2" s="92"/>
      <c r="D2" s="92"/>
      <c r="E2" s="92"/>
      <c r="F2" s="92"/>
      <c r="G2" s="92"/>
    </row>
    <row r="4" customFormat="false" ht="30" hidden="false" customHeight="true" outlineLevel="0" collapsed="false">
      <c r="A4" s="93" t="s">
        <v>7164</v>
      </c>
      <c r="B4" s="93" t="s">
        <v>7141</v>
      </c>
      <c r="C4" s="93" t="s">
        <v>7354</v>
      </c>
      <c r="D4" s="93" t="s">
        <v>7382</v>
      </c>
      <c r="E4" s="93" t="s">
        <v>7383</v>
      </c>
      <c r="F4" s="93" t="s">
        <v>7384</v>
      </c>
      <c r="G4" s="93" t="s">
        <v>4</v>
      </c>
    </row>
    <row r="5" customFormat="false" ht="36" hidden="false" customHeight="true" outlineLevel="0" collapsed="false">
      <c r="A5" s="95" t="s">
        <v>7385</v>
      </c>
      <c r="B5" s="95" t="s">
        <v>7386</v>
      </c>
      <c r="C5" s="95" t="n">
        <v>2</v>
      </c>
      <c r="D5" s="95" t="s">
        <v>7387</v>
      </c>
      <c r="E5" s="95"/>
      <c r="F5" s="95" t="s">
        <v>7388</v>
      </c>
      <c r="G5" s="95" t="s">
        <v>7389</v>
      </c>
    </row>
    <row r="6" customFormat="false" ht="36" hidden="false" customHeight="true" outlineLevel="0" collapsed="false">
      <c r="A6" s="95" t="s">
        <v>7390</v>
      </c>
      <c r="B6" s="95" t="s">
        <v>7391</v>
      </c>
      <c r="C6" s="95" t="n">
        <v>2</v>
      </c>
      <c r="D6" s="95" t="s">
        <v>7392</v>
      </c>
      <c r="E6" s="95" t="s">
        <v>7393</v>
      </c>
      <c r="F6" s="95" t="s">
        <v>7388</v>
      </c>
      <c r="G6" s="95" t="s">
        <v>7389</v>
      </c>
    </row>
    <row r="7" customFormat="false" ht="36" hidden="false" customHeight="true" outlineLevel="0" collapsed="false">
      <c r="A7" s="95" t="s">
        <v>7394</v>
      </c>
      <c r="B7" s="95" t="s">
        <v>7395</v>
      </c>
      <c r="C7" s="95" t="n">
        <v>2</v>
      </c>
      <c r="D7" s="95" t="s">
        <v>7392</v>
      </c>
      <c r="E7" s="95" t="s">
        <v>7396</v>
      </c>
      <c r="F7" s="95" t="s">
        <v>7388</v>
      </c>
      <c r="G7" s="95" t="s">
        <v>7389</v>
      </c>
    </row>
    <row r="8" customFormat="false" ht="36" hidden="false" customHeight="true" outlineLevel="0" collapsed="false">
      <c r="A8" s="95" t="s">
        <v>7397</v>
      </c>
      <c r="B8" s="95" t="s">
        <v>7398</v>
      </c>
      <c r="C8" s="95" t="n">
        <v>2</v>
      </c>
      <c r="D8" s="95" t="s">
        <v>7392</v>
      </c>
      <c r="E8" s="95" t="s">
        <v>7399</v>
      </c>
      <c r="F8" s="95" t="s">
        <v>7388</v>
      </c>
      <c r="G8" s="95" t="s">
        <v>7389</v>
      </c>
    </row>
    <row r="9" customFormat="false" ht="36" hidden="false" customHeight="true" outlineLevel="0" collapsed="false">
      <c r="A9" s="95" t="s">
        <v>7400</v>
      </c>
      <c r="B9" s="95" t="s">
        <v>7401</v>
      </c>
      <c r="C9" s="95" t="n">
        <v>2</v>
      </c>
      <c r="D9" s="95" t="s">
        <v>7392</v>
      </c>
      <c r="E9" s="95" t="s">
        <v>7402</v>
      </c>
      <c r="F9" s="95" t="s">
        <v>7388</v>
      </c>
      <c r="G9" s="95" t="s">
        <v>7389</v>
      </c>
    </row>
    <row r="10" customFormat="false" ht="36" hidden="false" customHeight="true" outlineLevel="0" collapsed="false">
      <c r="A10" s="95" t="s">
        <v>7403</v>
      </c>
      <c r="B10" s="95" t="s">
        <v>7404</v>
      </c>
      <c r="C10" s="95" t="n">
        <v>2</v>
      </c>
      <c r="D10" s="95" t="s">
        <v>7405</v>
      </c>
      <c r="E10" s="95" t="s">
        <v>7406</v>
      </c>
      <c r="F10" s="95" t="s">
        <v>7388</v>
      </c>
      <c r="G10" s="95" t="s">
        <v>7389</v>
      </c>
    </row>
    <row r="11" customFormat="false" ht="36" hidden="false" customHeight="true" outlineLevel="0" collapsed="false">
      <c r="A11" s="95" t="s">
        <v>7407</v>
      </c>
      <c r="B11" s="95" t="s">
        <v>7408</v>
      </c>
      <c r="C11" s="95" t="n">
        <v>2</v>
      </c>
      <c r="D11" s="95" t="s">
        <v>7405</v>
      </c>
      <c r="E11" s="95" t="s">
        <v>7409</v>
      </c>
      <c r="F11" s="95" t="s">
        <v>7388</v>
      </c>
      <c r="G11" s="95" t="s">
        <v>7389</v>
      </c>
    </row>
    <row r="12" customFormat="false" ht="36" hidden="false" customHeight="true" outlineLevel="0" collapsed="false">
      <c r="A12" s="95" t="s">
        <v>7410</v>
      </c>
      <c r="B12" s="95" t="s">
        <v>7411</v>
      </c>
      <c r="C12" s="95" t="n">
        <v>2</v>
      </c>
      <c r="D12" s="95" t="s">
        <v>7405</v>
      </c>
      <c r="E12" s="95" t="s">
        <v>7412</v>
      </c>
      <c r="F12" s="95" t="s">
        <v>7388</v>
      </c>
      <c r="G12" s="95" t="s">
        <v>7389</v>
      </c>
    </row>
    <row r="13" customFormat="false" ht="36" hidden="false" customHeight="true" outlineLevel="0" collapsed="false">
      <c r="A13" s="95" t="s">
        <v>7413</v>
      </c>
      <c r="B13" s="95" t="s">
        <v>7414</v>
      </c>
      <c r="C13" s="95" t="n">
        <v>2</v>
      </c>
      <c r="D13" s="95" t="s">
        <v>7405</v>
      </c>
      <c r="E13" s="95" t="s">
        <v>7415</v>
      </c>
      <c r="F13" s="95" t="s">
        <v>7388</v>
      </c>
      <c r="G13" s="95" t="s">
        <v>7389</v>
      </c>
    </row>
    <row r="14" customFormat="false" ht="36" hidden="false" customHeight="true" outlineLevel="0" collapsed="false">
      <c r="A14" s="95" t="s">
        <v>7416</v>
      </c>
      <c r="B14" s="95" t="s">
        <v>7417</v>
      </c>
      <c r="C14" s="95" t="n">
        <v>2</v>
      </c>
      <c r="D14" s="95" t="s">
        <v>7418</v>
      </c>
      <c r="E14" s="95" t="s">
        <v>7419</v>
      </c>
      <c r="F14" s="95" t="s">
        <v>7388</v>
      </c>
      <c r="G14" s="95" t="s">
        <v>7389</v>
      </c>
    </row>
    <row r="15" customFormat="false" ht="36" hidden="false" customHeight="true" outlineLevel="0" collapsed="false">
      <c r="A15" s="95" t="s">
        <v>7420</v>
      </c>
      <c r="B15" s="95" t="s">
        <v>7421</v>
      </c>
      <c r="C15" s="95" t="n">
        <v>2</v>
      </c>
      <c r="D15" s="95" t="s">
        <v>7418</v>
      </c>
      <c r="E15" s="95" t="s">
        <v>7422</v>
      </c>
      <c r="F15" s="95" t="s">
        <v>7388</v>
      </c>
      <c r="G15" s="95" t="s">
        <v>7389</v>
      </c>
    </row>
    <row r="16" customFormat="false" ht="36" hidden="false" customHeight="true" outlineLevel="0" collapsed="false">
      <c r="A16" s="95" t="s">
        <v>7423</v>
      </c>
      <c r="B16" s="95" t="s">
        <v>7424</v>
      </c>
      <c r="C16" s="95" t="n">
        <v>2</v>
      </c>
      <c r="D16" s="95" t="s">
        <v>7418</v>
      </c>
      <c r="E16" s="95" t="s">
        <v>7425</v>
      </c>
      <c r="F16" s="95" t="s">
        <v>7388</v>
      </c>
      <c r="G16" s="95" t="s">
        <v>7389</v>
      </c>
    </row>
    <row r="17" customFormat="false" ht="36" hidden="false" customHeight="true" outlineLevel="0" collapsed="false">
      <c r="A17" s="95" t="s">
        <v>7426</v>
      </c>
      <c r="B17" s="95" t="s">
        <v>7427</v>
      </c>
      <c r="C17" s="95" t="n">
        <v>2</v>
      </c>
      <c r="D17" s="95" t="s">
        <v>7418</v>
      </c>
      <c r="E17" s="95" t="s">
        <v>7428</v>
      </c>
      <c r="F17" s="95" t="s">
        <v>7388</v>
      </c>
      <c r="G17" s="95" t="s">
        <v>7389</v>
      </c>
    </row>
    <row r="18" customFormat="false" ht="36" hidden="false" customHeight="true" outlineLevel="0" collapsed="false">
      <c r="A18" s="95" t="s">
        <v>7429</v>
      </c>
      <c r="B18" s="95" t="s">
        <v>7430</v>
      </c>
      <c r="C18" s="95" t="n">
        <v>2</v>
      </c>
      <c r="D18" s="95" t="s">
        <v>7418</v>
      </c>
      <c r="E18" s="95" t="s">
        <v>7431</v>
      </c>
      <c r="F18" s="95" t="s">
        <v>7388</v>
      </c>
      <c r="G18" s="95" t="s">
        <v>7389</v>
      </c>
    </row>
    <row r="19" customFormat="false" ht="36" hidden="false" customHeight="true" outlineLevel="0" collapsed="false">
      <c r="A19" s="95" t="s">
        <v>7432</v>
      </c>
      <c r="B19" s="95" t="s">
        <v>7433</v>
      </c>
      <c r="C19" s="95" t="n">
        <v>2</v>
      </c>
      <c r="D19" s="95" t="s">
        <v>7418</v>
      </c>
      <c r="E19" s="95" t="s">
        <v>7434</v>
      </c>
      <c r="F19" s="95" t="s">
        <v>7388</v>
      </c>
      <c r="G19" s="95" t="s">
        <v>7389</v>
      </c>
    </row>
    <row r="20" customFormat="false" ht="36" hidden="false" customHeight="true" outlineLevel="0" collapsed="false">
      <c r="A20" s="95" t="s">
        <v>7435</v>
      </c>
      <c r="B20" s="95" t="s">
        <v>7436</v>
      </c>
      <c r="C20" s="95" t="n">
        <v>2</v>
      </c>
      <c r="D20" s="95" t="s">
        <v>7418</v>
      </c>
      <c r="E20" s="95" t="s">
        <v>7437</v>
      </c>
      <c r="F20" s="95" t="s">
        <v>7388</v>
      </c>
      <c r="G20" s="95" t="s">
        <v>7389</v>
      </c>
    </row>
    <row r="21" customFormat="false" ht="36" hidden="false" customHeight="true" outlineLevel="0" collapsed="false">
      <c r="A21" s="95" t="s">
        <v>7438</v>
      </c>
      <c r="B21" s="95" t="s">
        <v>7439</v>
      </c>
      <c r="C21" s="95" t="n">
        <v>2</v>
      </c>
      <c r="D21" s="95" t="s">
        <v>7418</v>
      </c>
      <c r="E21" s="95" t="s">
        <v>7440</v>
      </c>
      <c r="F21" s="95" t="s">
        <v>7388</v>
      </c>
      <c r="G21" s="95" t="s">
        <v>7389</v>
      </c>
    </row>
    <row r="22" customFormat="false" ht="36" hidden="false" customHeight="true" outlineLevel="0" collapsed="false">
      <c r="A22" s="95" t="s">
        <v>7441</v>
      </c>
      <c r="B22" s="95" t="s">
        <v>7442</v>
      </c>
      <c r="C22" s="95" t="n">
        <v>2</v>
      </c>
      <c r="D22" s="95" t="s">
        <v>7418</v>
      </c>
      <c r="E22" s="95" t="s">
        <v>7443</v>
      </c>
      <c r="F22" s="95" t="s">
        <v>7388</v>
      </c>
      <c r="G22" s="95" t="s">
        <v>7389</v>
      </c>
    </row>
    <row r="23" customFormat="false" ht="36" hidden="false" customHeight="true" outlineLevel="0" collapsed="false">
      <c r="A23" s="95" t="s">
        <v>7444</v>
      </c>
      <c r="B23" s="95" t="s">
        <v>7445</v>
      </c>
      <c r="C23" s="95" t="n">
        <v>2</v>
      </c>
      <c r="D23" s="95" t="s">
        <v>7418</v>
      </c>
      <c r="E23" s="95" t="s">
        <v>7446</v>
      </c>
      <c r="F23" s="95" t="s">
        <v>7388</v>
      </c>
      <c r="G23" s="95" t="s">
        <v>7389</v>
      </c>
    </row>
    <row r="24" customFormat="false" ht="36" hidden="false" customHeight="true" outlineLevel="0" collapsed="false">
      <c r="A24" s="95" t="s">
        <v>7447</v>
      </c>
      <c r="B24" s="95" t="s">
        <v>7448</v>
      </c>
      <c r="C24" s="95" t="n">
        <v>2</v>
      </c>
      <c r="D24" s="95" t="s">
        <v>7418</v>
      </c>
      <c r="E24" s="95" t="s">
        <v>7449</v>
      </c>
      <c r="F24" s="95" t="s">
        <v>7388</v>
      </c>
      <c r="G24" s="95" t="s">
        <v>7389</v>
      </c>
    </row>
    <row r="25" customFormat="false" ht="36" hidden="false" customHeight="true" outlineLevel="0" collapsed="false">
      <c r="A25" s="95" t="s">
        <v>7450</v>
      </c>
      <c r="B25" s="95" t="s">
        <v>7451</v>
      </c>
      <c r="C25" s="95" t="n">
        <v>2</v>
      </c>
      <c r="D25" s="95" t="s">
        <v>7418</v>
      </c>
      <c r="E25" s="95" t="s">
        <v>7452</v>
      </c>
      <c r="F25" s="95" t="s">
        <v>7388</v>
      </c>
      <c r="G25" s="95" t="s">
        <v>7389</v>
      </c>
    </row>
    <row r="26" customFormat="false" ht="36" hidden="false" customHeight="true" outlineLevel="0" collapsed="false">
      <c r="A26" s="95" t="s">
        <v>7453</v>
      </c>
      <c r="B26" s="95" t="s">
        <v>7454</v>
      </c>
      <c r="C26" s="95" t="n">
        <v>2</v>
      </c>
      <c r="D26" s="95" t="s">
        <v>7418</v>
      </c>
      <c r="E26" s="95" t="s">
        <v>7455</v>
      </c>
      <c r="F26" s="95" t="s">
        <v>7388</v>
      </c>
      <c r="G26" s="95" t="s">
        <v>7389</v>
      </c>
    </row>
    <row r="27" customFormat="false" ht="36" hidden="false" customHeight="true" outlineLevel="0" collapsed="false">
      <c r="A27" s="95" t="s">
        <v>7456</v>
      </c>
      <c r="B27" s="95" t="s">
        <v>7457</v>
      </c>
      <c r="C27" s="95" t="n">
        <v>2</v>
      </c>
      <c r="D27" s="95" t="s">
        <v>7418</v>
      </c>
      <c r="E27" s="95" t="s">
        <v>7458</v>
      </c>
      <c r="F27" s="95" t="s">
        <v>7388</v>
      </c>
      <c r="G27" s="95" t="s">
        <v>7389</v>
      </c>
    </row>
    <row r="28" customFormat="false" ht="36" hidden="false" customHeight="true" outlineLevel="0" collapsed="false">
      <c r="A28" s="95" t="s">
        <v>7459</v>
      </c>
      <c r="B28" s="95" t="s">
        <v>7460</v>
      </c>
      <c r="C28" s="95" t="n">
        <v>2</v>
      </c>
      <c r="D28" s="95" t="s">
        <v>7418</v>
      </c>
      <c r="E28" s="95" t="s">
        <v>7461</v>
      </c>
      <c r="F28" s="95" t="s">
        <v>7388</v>
      </c>
      <c r="G28" s="95" t="s">
        <v>7389</v>
      </c>
    </row>
    <row r="29" customFormat="false" ht="36" hidden="false" customHeight="true" outlineLevel="0" collapsed="false">
      <c r="A29" s="95" t="s">
        <v>7462</v>
      </c>
      <c r="B29" s="95" t="s">
        <v>7463</v>
      </c>
      <c r="C29" s="95" t="n">
        <v>2</v>
      </c>
      <c r="D29" s="95" t="s">
        <v>7418</v>
      </c>
      <c r="E29" s="95" t="s">
        <v>7464</v>
      </c>
      <c r="F29" s="95" t="s">
        <v>7388</v>
      </c>
      <c r="G29" s="95" t="s">
        <v>7389</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8"/>
    <col collapsed="false" customWidth="true" hidden="false" outlineLevel="0" max="2" min="2" style="30" width="8"/>
    <col collapsed="false" customWidth="true" hidden="false" outlineLevel="0" max="3" min="3" style="30" width="14"/>
    <col collapsed="false" customWidth="true" hidden="false" outlineLevel="0" max="4" min="4" style="30" width="20"/>
    <col collapsed="false" customWidth="true" hidden="false" outlineLevel="0" max="5" min="5" style="30" width="36"/>
    <col collapsed="false" customWidth="true" hidden="false" outlineLevel="0" max="6" min="6" style="30" width="60"/>
    <col collapsed="false" customWidth="true" hidden="false" outlineLevel="0" max="7" min="7" style="30" width="10"/>
    <col collapsed="false" customWidth="true" hidden="false" outlineLevel="0" max="8" min="8" style="30" width="16"/>
    <col collapsed="false" customWidth="true" hidden="false" outlineLevel="0" max="9" min="9" style="30" width="23"/>
    <col collapsed="false" customWidth="true" hidden="false" outlineLevel="0" max="10" min="10" style="30" width="34"/>
  </cols>
  <sheetData>
    <row r="1" customFormat="false" ht="24.75" hidden="false" customHeight="true" outlineLevel="0" collapsed="false">
      <c r="A1" s="91" t="s">
        <v>7465</v>
      </c>
      <c r="B1" s="91"/>
      <c r="C1" s="91"/>
      <c r="D1" s="91"/>
      <c r="E1" s="91"/>
      <c r="F1" s="91"/>
    </row>
    <row r="2" customFormat="false" ht="42" hidden="false" customHeight="true" outlineLevel="0" collapsed="false">
      <c r="A2" s="92" t="s">
        <v>7466</v>
      </c>
      <c r="B2" s="92"/>
      <c r="C2" s="92"/>
      <c r="D2" s="92"/>
      <c r="E2" s="92"/>
      <c r="F2" s="92"/>
    </row>
    <row r="4" customFormat="false" ht="30" hidden="false" customHeight="true" outlineLevel="0" collapsed="false">
      <c r="A4" s="93" t="s">
        <v>7467</v>
      </c>
      <c r="B4" s="93" t="s">
        <v>6178</v>
      </c>
      <c r="C4" s="93" t="s">
        <v>6739</v>
      </c>
      <c r="D4" s="93" t="s">
        <v>7468</v>
      </c>
      <c r="E4" s="93" t="s">
        <v>7469</v>
      </c>
      <c r="F4" s="93" t="s">
        <v>5220</v>
      </c>
      <c r="G4" s="93"/>
      <c r="H4" s="93"/>
      <c r="I4" s="93"/>
      <c r="J4" s="93"/>
    </row>
    <row r="5" customFormat="false" ht="36" hidden="false" customHeight="true" outlineLevel="0" collapsed="false">
      <c r="A5" s="95" t="s">
        <v>7470</v>
      </c>
      <c r="B5" s="95" t="n">
        <v>2</v>
      </c>
      <c r="C5" s="95" t="n">
        <v>1</v>
      </c>
      <c r="D5" s="95" t="n">
        <v>9</v>
      </c>
      <c r="E5" s="95" t="s">
        <v>7471</v>
      </c>
      <c r="F5" s="95" t="s">
        <v>7472</v>
      </c>
      <c r="G5" s="94"/>
      <c r="H5" s="94"/>
      <c r="I5" s="94"/>
      <c r="J5" s="94"/>
    </row>
    <row r="6" customFormat="false" ht="36" hidden="false" customHeight="true" outlineLevel="0" collapsed="false">
      <c r="A6" s="95" t="s">
        <v>7473</v>
      </c>
      <c r="B6" s="95" t="n">
        <v>3</v>
      </c>
      <c r="C6" s="95" t="n">
        <v>2</v>
      </c>
      <c r="D6" s="95" t="n">
        <v>13</v>
      </c>
      <c r="E6" s="95" t="s">
        <v>7474</v>
      </c>
      <c r="F6" s="95" t="s">
        <v>7475</v>
      </c>
      <c r="G6" s="94"/>
      <c r="H6" s="94"/>
      <c r="I6" s="94"/>
      <c r="J6" s="94"/>
    </row>
    <row r="7" customFormat="false" ht="36" hidden="false" customHeight="true" outlineLevel="0" collapsed="false">
      <c r="A7" s="95" t="s">
        <v>6279</v>
      </c>
      <c r="B7" s="95"/>
      <c r="C7" s="95"/>
      <c r="D7" s="95" t="n">
        <v>702</v>
      </c>
      <c r="E7" s="95" t="s">
        <v>7476</v>
      </c>
      <c r="F7" s="95" t="s">
        <v>7477</v>
      </c>
      <c r="G7" s="94"/>
      <c r="H7" s="94"/>
      <c r="I7" s="94"/>
      <c r="J7" s="94"/>
    </row>
    <row r="8" customFormat="false" ht="24" hidden="false" customHeight="true" outlineLevel="0" collapsed="false">
      <c r="A8" s="94"/>
      <c r="B8" s="94"/>
      <c r="C8" s="94"/>
      <c r="D8" s="94"/>
      <c r="E8" s="94"/>
      <c r="F8" s="94"/>
      <c r="G8" s="94"/>
      <c r="H8" s="94"/>
      <c r="I8" s="94"/>
      <c r="J8" s="94"/>
    </row>
    <row r="9" customFormat="false" ht="24" hidden="false" customHeight="true" outlineLevel="0" collapsed="false">
      <c r="A9" s="94"/>
      <c r="B9" s="94"/>
      <c r="C9" s="94"/>
      <c r="D9" s="94"/>
      <c r="E9" s="94"/>
      <c r="F9" s="94"/>
      <c r="G9" s="94"/>
      <c r="H9" s="94"/>
      <c r="I9" s="94"/>
      <c r="J9" s="94"/>
    </row>
    <row r="10" customFormat="false" ht="24" hidden="false" customHeight="true" outlineLevel="0" collapsed="false">
      <c r="A10" s="94"/>
      <c r="B10" s="94"/>
      <c r="C10" s="94"/>
      <c r="D10" s="94"/>
      <c r="E10" s="94"/>
      <c r="F10" s="94"/>
      <c r="G10" s="94"/>
      <c r="H10" s="94"/>
      <c r="I10" s="94"/>
      <c r="J10" s="94"/>
    </row>
    <row r="11" customFormat="false" ht="24" hidden="false" customHeight="true" outlineLevel="0" collapsed="false">
      <c r="A11" s="94"/>
      <c r="B11" s="94"/>
      <c r="C11" s="94"/>
      <c r="D11" s="94"/>
      <c r="E11" s="94"/>
      <c r="F11" s="94"/>
      <c r="G11" s="94"/>
      <c r="H11" s="94"/>
      <c r="I11" s="94"/>
      <c r="J11" s="94"/>
    </row>
    <row r="12" customFormat="false" ht="24" hidden="false" customHeight="true" outlineLevel="0" collapsed="false">
      <c r="A12" s="94"/>
      <c r="B12" s="94"/>
      <c r="C12" s="94"/>
      <c r="D12" s="94"/>
      <c r="E12" s="94"/>
      <c r="F12" s="94"/>
      <c r="G12" s="94"/>
      <c r="H12" s="94"/>
      <c r="I12" s="94"/>
      <c r="J12" s="94"/>
    </row>
    <row r="13" customFormat="false" ht="24" hidden="false" customHeight="true" outlineLevel="0" collapsed="false">
      <c r="A13" s="94"/>
      <c r="B13" s="94"/>
      <c r="C13" s="94"/>
      <c r="D13" s="94"/>
      <c r="E13" s="94"/>
      <c r="F13" s="94"/>
      <c r="G13" s="94"/>
      <c r="H13" s="94"/>
      <c r="I13" s="94"/>
      <c r="J13" s="94"/>
    </row>
    <row r="14" customFormat="false" ht="24" hidden="false" customHeight="true" outlineLevel="0" collapsed="false">
      <c r="A14" s="94"/>
      <c r="B14" s="94"/>
      <c r="C14" s="94"/>
      <c r="D14" s="94"/>
      <c r="E14" s="94"/>
      <c r="F14" s="94"/>
      <c r="G14" s="94"/>
      <c r="H14" s="94"/>
      <c r="I14" s="94"/>
      <c r="J14" s="94"/>
    </row>
    <row r="15" customFormat="false" ht="24" hidden="false" customHeight="true" outlineLevel="0" collapsed="false">
      <c r="A15" s="94"/>
      <c r="B15" s="94"/>
      <c r="C15" s="94"/>
      <c r="D15" s="94"/>
      <c r="E15" s="94"/>
      <c r="F15" s="94"/>
      <c r="G15" s="94"/>
      <c r="H15" s="94"/>
      <c r="I15" s="94"/>
      <c r="J15" s="94"/>
    </row>
    <row r="16" customFormat="false" ht="24" hidden="false" customHeight="true" outlineLevel="0" collapsed="false">
      <c r="A16" s="94"/>
      <c r="B16" s="94"/>
      <c r="C16" s="94"/>
      <c r="D16" s="94"/>
      <c r="E16" s="94"/>
      <c r="F16" s="94"/>
      <c r="G16" s="94"/>
      <c r="H16" s="94"/>
      <c r="I16" s="94"/>
      <c r="J16" s="94"/>
    </row>
    <row r="17" customFormat="false" ht="24" hidden="false" customHeight="true" outlineLevel="0" collapsed="false">
      <c r="A17" s="94"/>
      <c r="B17" s="94"/>
      <c r="C17" s="94"/>
      <c r="D17" s="94"/>
      <c r="E17" s="94"/>
      <c r="F17" s="94"/>
      <c r="G17" s="94"/>
      <c r="H17" s="94"/>
      <c r="I17" s="94"/>
      <c r="J17" s="94"/>
    </row>
    <row r="18" customFormat="false" ht="30.75" hidden="false" customHeight="true" outlineLevel="0" collapsed="false">
      <c r="A18" s="94"/>
      <c r="B18" s="94"/>
      <c r="C18" s="94"/>
      <c r="D18" s="94"/>
      <c r="E18" s="94"/>
      <c r="F18" s="94"/>
      <c r="G18" s="94"/>
      <c r="H18" s="94"/>
      <c r="I18" s="94"/>
      <c r="J18" s="94"/>
    </row>
    <row r="19" customFormat="false" ht="30" hidden="false" customHeight="true" outlineLevel="0" collapsed="false">
      <c r="A19" s="93"/>
      <c r="B19" s="93"/>
      <c r="C19" s="93"/>
      <c r="D19" s="93"/>
      <c r="E19" s="93"/>
      <c r="F19" s="93"/>
      <c r="G19" s="93"/>
      <c r="H19" s="93"/>
      <c r="I19" s="93"/>
      <c r="J19" s="93"/>
    </row>
    <row r="20" customFormat="false" ht="24" hidden="false" customHeight="true" outlineLevel="0" collapsed="false">
      <c r="A20" s="94"/>
      <c r="B20" s="94"/>
      <c r="C20" s="94"/>
      <c r="D20" s="94"/>
      <c r="E20" s="94"/>
      <c r="F20" s="94"/>
      <c r="G20" s="94"/>
      <c r="H20" s="94"/>
      <c r="I20" s="94"/>
      <c r="J20" s="94"/>
    </row>
    <row r="21" customFormat="false" ht="24" hidden="false" customHeight="true" outlineLevel="0" collapsed="false">
      <c r="A21" s="94"/>
      <c r="B21" s="94"/>
      <c r="C21" s="94"/>
      <c r="D21" s="94"/>
      <c r="E21" s="94"/>
      <c r="F21" s="94"/>
      <c r="G21" s="94"/>
      <c r="H21" s="94"/>
      <c r="I21" s="94"/>
      <c r="J21" s="94"/>
    </row>
    <row r="22" customFormat="false" ht="24" hidden="false" customHeight="true" outlineLevel="0" collapsed="false">
      <c r="A22" s="94"/>
      <c r="B22" s="94"/>
      <c r="C22" s="94"/>
      <c r="D22" s="94"/>
      <c r="E22" s="94"/>
      <c r="F22" s="94"/>
      <c r="G22" s="94"/>
      <c r="H22" s="94"/>
      <c r="I22" s="94"/>
      <c r="J22" s="94"/>
    </row>
    <row r="23" customFormat="false" ht="24" hidden="false" customHeight="true" outlineLevel="0" collapsed="false">
      <c r="A23" s="94"/>
      <c r="B23" s="94"/>
      <c r="C23" s="94"/>
      <c r="D23" s="94"/>
      <c r="E23" s="94"/>
      <c r="F23" s="94"/>
      <c r="G23" s="94"/>
      <c r="H23" s="94"/>
      <c r="I23" s="94"/>
      <c r="J23" s="94"/>
    </row>
    <row r="24" customFormat="false" ht="24" hidden="false" customHeight="true" outlineLevel="0" collapsed="false">
      <c r="A24" s="94"/>
      <c r="B24" s="94"/>
      <c r="C24" s="94"/>
      <c r="D24" s="94"/>
      <c r="E24" s="94"/>
      <c r="F24" s="94"/>
      <c r="G24" s="94"/>
      <c r="H24" s="94"/>
      <c r="I24" s="94"/>
      <c r="J24" s="94"/>
    </row>
    <row r="25" customFormat="false" ht="24" hidden="false" customHeight="true" outlineLevel="0" collapsed="false">
      <c r="A25" s="94"/>
      <c r="B25" s="94"/>
      <c r="C25" s="94"/>
      <c r="D25" s="94"/>
      <c r="E25" s="94"/>
      <c r="F25" s="94"/>
      <c r="G25" s="94"/>
      <c r="H25" s="94"/>
      <c r="I25" s="94"/>
      <c r="J25" s="94"/>
    </row>
    <row r="26" customFormat="false" ht="24" hidden="false" customHeight="true" outlineLevel="0" collapsed="false">
      <c r="A26" s="94"/>
      <c r="B26" s="94"/>
      <c r="C26" s="94"/>
      <c r="D26" s="94"/>
      <c r="E26" s="94"/>
      <c r="F26" s="94"/>
      <c r="G26" s="94"/>
      <c r="H26" s="94"/>
      <c r="I26" s="94"/>
      <c r="J26" s="94"/>
    </row>
    <row r="27" customFormat="false" ht="24" hidden="false" customHeight="true" outlineLevel="0" collapsed="false">
      <c r="A27" s="94"/>
      <c r="B27" s="94"/>
      <c r="C27" s="94"/>
      <c r="D27" s="94"/>
      <c r="E27" s="94"/>
      <c r="F27" s="94"/>
      <c r="G27" s="94"/>
      <c r="H27" s="94"/>
      <c r="I27" s="94"/>
      <c r="J27" s="94"/>
    </row>
    <row r="28" customFormat="false" ht="24" hidden="false" customHeight="true" outlineLevel="0" collapsed="false">
      <c r="A28" s="94"/>
      <c r="B28" s="94"/>
      <c r="C28" s="94"/>
      <c r="D28" s="94"/>
      <c r="E28" s="94"/>
      <c r="F28" s="94"/>
      <c r="G28" s="94"/>
      <c r="H28" s="94"/>
      <c r="I28" s="94"/>
      <c r="J28" s="94"/>
    </row>
    <row r="29" customFormat="false" ht="24" hidden="false" customHeight="true" outlineLevel="0" collapsed="false">
      <c r="A29" s="94"/>
      <c r="B29" s="94"/>
      <c r="C29" s="94"/>
      <c r="D29" s="94"/>
      <c r="E29" s="94"/>
      <c r="F29" s="94"/>
      <c r="G29" s="94"/>
      <c r="H29" s="94"/>
      <c r="I29" s="94"/>
      <c r="J29" s="94"/>
    </row>
    <row r="30" customFormat="false" ht="24" hidden="false" customHeight="true" outlineLevel="0" collapsed="false">
      <c r="A30" s="94"/>
      <c r="B30" s="94"/>
      <c r="C30" s="94"/>
      <c r="D30" s="94"/>
      <c r="E30" s="94"/>
      <c r="F30" s="94"/>
      <c r="G30" s="94"/>
      <c r="H30" s="94"/>
      <c r="I30" s="94"/>
      <c r="J30" s="94"/>
    </row>
    <row r="31" customFormat="false" ht="24" hidden="false" customHeight="true" outlineLevel="0" collapsed="false">
      <c r="A31" s="94"/>
      <c r="B31" s="94"/>
      <c r="C31" s="94"/>
      <c r="D31" s="94"/>
      <c r="E31" s="94"/>
      <c r="F31" s="94"/>
      <c r="G31" s="94"/>
      <c r="H31" s="94"/>
      <c r="I31" s="94"/>
      <c r="J31" s="94"/>
    </row>
    <row r="32" customFormat="false" ht="24" hidden="false" customHeight="true" outlineLevel="0" collapsed="false">
      <c r="A32" s="94"/>
      <c r="B32" s="94"/>
      <c r="C32" s="94"/>
      <c r="D32" s="94"/>
      <c r="E32" s="94"/>
      <c r="F32" s="94"/>
      <c r="G32" s="94"/>
      <c r="H32" s="94"/>
      <c r="I32" s="94"/>
      <c r="J32" s="94"/>
    </row>
    <row r="33" customFormat="false" ht="30.75" hidden="false" customHeight="true" outlineLevel="0" collapsed="false">
      <c r="A33" s="94"/>
      <c r="B33" s="94"/>
      <c r="C33" s="94"/>
      <c r="D33" s="94"/>
      <c r="E33" s="94"/>
      <c r="F33" s="94"/>
      <c r="G33" s="94"/>
      <c r="H33" s="94"/>
      <c r="I33" s="94"/>
      <c r="J33" s="94"/>
    </row>
    <row r="34" customFormat="false" ht="30.75" hidden="false" customHeight="true" outlineLevel="0" collapsed="false">
      <c r="A34" s="94"/>
      <c r="B34" s="94"/>
      <c r="C34" s="94"/>
      <c r="D34" s="94"/>
      <c r="E34" s="94"/>
      <c r="F34" s="94"/>
      <c r="G34" s="94"/>
      <c r="H34" s="94"/>
      <c r="I34" s="94"/>
      <c r="J34" s="94"/>
    </row>
    <row r="35" customFormat="false" ht="30.75" hidden="false" customHeight="true" outlineLevel="0" collapsed="false">
      <c r="A35" s="94"/>
      <c r="B35" s="94"/>
      <c r="C35" s="94"/>
      <c r="D35" s="94"/>
      <c r="E35" s="94"/>
      <c r="F35" s="94"/>
      <c r="G35" s="94"/>
      <c r="H35" s="94"/>
      <c r="I35" s="94"/>
      <c r="J35" s="94"/>
    </row>
    <row r="36" customFormat="false" ht="30.75" hidden="false" customHeight="true" outlineLevel="0" collapsed="false">
      <c r="A36" s="94"/>
      <c r="B36" s="94"/>
      <c r="C36" s="94"/>
      <c r="D36" s="94"/>
      <c r="E36" s="94"/>
      <c r="F36" s="94"/>
      <c r="G36" s="94"/>
      <c r="H36" s="94"/>
      <c r="I36" s="94"/>
      <c r="J36" s="94"/>
    </row>
    <row r="37" customFormat="false" ht="30.75" hidden="false" customHeight="true" outlineLevel="0" collapsed="false">
      <c r="A37" s="94"/>
      <c r="B37" s="94"/>
      <c r="C37" s="94"/>
      <c r="D37" s="94"/>
      <c r="E37" s="94"/>
      <c r="F37" s="94"/>
      <c r="G37" s="94"/>
      <c r="H37" s="94"/>
      <c r="I37" s="94"/>
      <c r="J37" s="94"/>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24"/>
    <col collapsed="false" customWidth="true" hidden="false" outlineLevel="0" max="2" min="2" style="30" width="30"/>
    <col collapsed="false" customWidth="true" hidden="false" outlineLevel="0" max="3" min="3" style="30" width="72"/>
  </cols>
  <sheetData>
    <row r="1" customFormat="false" ht="24.75" hidden="false" customHeight="true" outlineLevel="0" collapsed="false">
      <c r="A1" s="91" t="s">
        <v>7478</v>
      </c>
      <c r="B1" s="91"/>
      <c r="C1" s="91"/>
    </row>
    <row r="2" customFormat="false" ht="42" hidden="false" customHeight="true" outlineLevel="0" collapsed="false">
      <c r="A2" s="96" t="s">
        <v>7479</v>
      </c>
      <c r="B2" s="96"/>
      <c r="C2" s="96"/>
    </row>
    <row r="4" customFormat="false" ht="30" hidden="false" customHeight="true" outlineLevel="0" collapsed="false">
      <c r="A4" s="97" t="s">
        <v>3832</v>
      </c>
      <c r="B4" s="97" t="s">
        <v>7480</v>
      </c>
      <c r="C4" s="97" t="s">
        <v>7481</v>
      </c>
    </row>
    <row r="5" customFormat="false" ht="33.75" hidden="false" customHeight="true" outlineLevel="0" collapsed="false">
      <c r="A5" s="98" t="s">
        <v>7482</v>
      </c>
      <c r="B5" s="98" t="n">
        <v>1</v>
      </c>
      <c r="C5" s="98" t="s">
        <v>7483</v>
      </c>
    </row>
    <row r="6" customFormat="false" ht="33.75" hidden="false" customHeight="true" outlineLevel="0" collapsed="false">
      <c r="A6" s="98" t="s">
        <v>6739</v>
      </c>
      <c r="B6" s="98" t="n">
        <v>2</v>
      </c>
      <c r="C6" s="98" t="s">
        <v>7484</v>
      </c>
    </row>
    <row r="7" customFormat="false" ht="33.75" hidden="false" customHeight="true" outlineLevel="0" collapsed="false">
      <c r="A7" s="98" t="s">
        <v>7485</v>
      </c>
      <c r="B7" s="98" t="n">
        <v>13</v>
      </c>
      <c r="C7" s="98" t="s">
        <v>7486</v>
      </c>
    </row>
    <row r="8" customFormat="false" ht="33.75" hidden="false" customHeight="true" outlineLevel="0" collapsed="false">
      <c r="A8" s="98" t="s">
        <v>7487</v>
      </c>
      <c r="B8" s="98" t="n">
        <v>24</v>
      </c>
      <c r="C8" s="98" t="s">
        <v>7488</v>
      </c>
    </row>
    <row r="9" customFormat="false" ht="33.75" hidden="false" customHeight="true" outlineLevel="0" collapsed="false">
      <c r="A9" s="98" t="s">
        <v>7489</v>
      </c>
      <c r="B9" s="98" t="n">
        <v>29</v>
      </c>
      <c r="C9" s="98" t="s">
        <v>7488</v>
      </c>
    </row>
    <row r="10" customFormat="false" ht="33.75" hidden="false" customHeight="true" outlineLevel="0" collapsed="false">
      <c r="A10" s="98" t="s">
        <v>6859</v>
      </c>
      <c r="B10" s="98" t="n">
        <v>62</v>
      </c>
      <c r="C10" s="98" t="s">
        <v>7490</v>
      </c>
    </row>
    <row r="11" customFormat="false" ht="33.75" hidden="false" customHeight="true" outlineLevel="0" collapsed="false">
      <c r="A11" s="98" t="s">
        <v>7491</v>
      </c>
      <c r="B11" s="98" t="s">
        <v>7492</v>
      </c>
      <c r="C11" s="98" t="s">
        <v>7493</v>
      </c>
    </row>
    <row r="12" customFormat="false" ht="33.75" hidden="false" customHeight="true" outlineLevel="0" collapsed="false">
      <c r="A12" s="98" t="s">
        <v>4015</v>
      </c>
      <c r="B12" s="98" t="s">
        <v>7494</v>
      </c>
      <c r="C12" s="98" t="s">
        <v>7495</v>
      </c>
    </row>
    <row r="13" customFormat="false" ht="33.75" hidden="false" customHeight="true" outlineLevel="0" collapsed="false">
      <c r="A13" s="98" t="s">
        <v>5313</v>
      </c>
      <c r="B13" s="98" t="s">
        <v>7496</v>
      </c>
      <c r="C13" s="98" t="s">
        <v>7497</v>
      </c>
    </row>
    <row r="14" customFormat="false" ht="33.75" hidden="false" customHeight="true" outlineLevel="0" collapsed="false">
      <c r="A14" s="98" t="s">
        <v>4009</v>
      </c>
      <c r="B14" s="98" t="s">
        <v>7498</v>
      </c>
      <c r="C14" s="98" t="s">
        <v>7499</v>
      </c>
    </row>
  </sheetData>
  <mergeCells count="2">
    <mergeCell ref="A1:C1"/>
    <mergeCell ref="A2:C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3" min="1" style="30" width="25"/>
    <col collapsed="false" customWidth="true" hidden="false" outlineLevel="0" max="4" min="4" style="30" width="70"/>
  </cols>
  <sheetData>
    <row r="1" customFormat="false" ht="24.75" hidden="false" customHeight="true" outlineLevel="0" collapsed="false">
      <c r="A1" s="91" t="s">
        <v>7500</v>
      </c>
      <c r="B1" s="91"/>
      <c r="C1" s="91"/>
      <c r="D1" s="91"/>
    </row>
    <row r="2" customFormat="false" ht="42" hidden="false" customHeight="true" outlineLevel="0" collapsed="false">
      <c r="A2" s="96" t="s">
        <v>7501</v>
      </c>
      <c r="B2" s="96"/>
      <c r="C2" s="96"/>
      <c r="D2" s="96"/>
    </row>
    <row r="4" customFormat="false" ht="30" hidden="false" customHeight="true" outlineLevel="0" collapsed="false">
      <c r="A4" s="97" t="s">
        <v>7502</v>
      </c>
      <c r="B4" s="97" t="s">
        <v>7503</v>
      </c>
      <c r="C4" s="97" t="s">
        <v>7504</v>
      </c>
      <c r="D4" s="97" t="s">
        <v>7505</v>
      </c>
    </row>
    <row r="5" customFormat="false" ht="33.75" hidden="false" customHeight="true" outlineLevel="0" collapsed="false">
      <c r="A5" s="98" t="s">
        <v>7506</v>
      </c>
      <c r="B5" s="98" t="s">
        <v>7507</v>
      </c>
      <c r="C5" s="98" t="s">
        <v>7508</v>
      </c>
      <c r="D5" s="98" t="s">
        <v>7509</v>
      </c>
    </row>
    <row r="6" customFormat="false" ht="33.75" hidden="false" customHeight="true" outlineLevel="0" collapsed="false">
      <c r="A6" s="98" t="s">
        <v>7482</v>
      </c>
      <c r="B6" s="98" t="n">
        <v>1</v>
      </c>
      <c r="C6" s="98" t="n">
        <v>2</v>
      </c>
      <c r="D6" s="98" t="s">
        <v>7510</v>
      </c>
    </row>
    <row r="7" customFormat="false" ht="33.75" hidden="false" customHeight="true" outlineLevel="0" collapsed="false">
      <c r="A7" s="98" t="s">
        <v>6739</v>
      </c>
      <c r="B7" s="98" t="n">
        <v>2</v>
      </c>
      <c r="C7" s="98" t="n">
        <v>2</v>
      </c>
      <c r="D7" s="98" t="s">
        <v>7511</v>
      </c>
    </row>
    <row r="8" customFormat="false" ht="33.75" hidden="false" customHeight="true" outlineLevel="0" collapsed="false">
      <c r="A8" s="98" t="s">
        <v>7491</v>
      </c>
      <c r="B8" s="98" t="s">
        <v>7492</v>
      </c>
      <c r="C8" s="98" t="s">
        <v>7492</v>
      </c>
      <c r="D8" s="98" t="s">
        <v>7512</v>
      </c>
    </row>
    <row r="9" customFormat="false" ht="33.75" hidden="false" customHeight="true" outlineLevel="0" collapsed="false">
      <c r="A9" s="98" t="s">
        <v>7513</v>
      </c>
      <c r="B9" s="98" t="n">
        <v>6</v>
      </c>
      <c r="C9" s="98" t="n">
        <v>6</v>
      </c>
      <c r="D9" s="98" t="s">
        <v>7514</v>
      </c>
    </row>
    <row r="10" customFormat="false" ht="33.75" hidden="false" customHeight="true" outlineLevel="0" collapsed="false">
      <c r="A10" s="98" t="s">
        <v>6854</v>
      </c>
      <c r="B10" s="98" t="n">
        <v>13</v>
      </c>
      <c r="C10" s="98" t="n">
        <v>13</v>
      </c>
      <c r="D10" s="98" t="s">
        <v>7515</v>
      </c>
    </row>
    <row r="11" customFormat="false" ht="33.75" hidden="false" customHeight="true" outlineLevel="0" collapsed="false">
      <c r="A11" s="98" t="s">
        <v>3833</v>
      </c>
      <c r="B11" s="98" t="s">
        <v>7516</v>
      </c>
      <c r="C11" s="98" t="s">
        <v>7517</v>
      </c>
      <c r="D11" s="98" t="s">
        <v>7518</v>
      </c>
    </row>
    <row r="12" customFormat="false" ht="33.75" hidden="false" customHeight="true" outlineLevel="0" collapsed="false">
      <c r="A12" s="98" t="s">
        <v>3834</v>
      </c>
      <c r="B12" s="98" t="s">
        <v>7519</v>
      </c>
      <c r="C12" s="98" t="s">
        <v>7517</v>
      </c>
      <c r="D12" s="98" t="s">
        <v>7520</v>
      </c>
    </row>
    <row r="13" customFormat="false" ht="33.75" hidden="false" customHeight="true" outlineLevel="0" collapsed="false">
      <c r="A13" s="98" t="s">
        <v>3835</v>
      </c>
      <c r="B13" s="98" t="s">
        <v>7521</v>
      </c>
      <c r="C13" s="98" t="s">
        <v>7517</v>
      </c>
      <c r="D13" s="98" t="s">
        <v>7522</v>
      </c>
    </row>
    <row r="14" customFormat="false" ht="33.75" hidden="false" customHeight="true" outlineLevel="0" collapsed="false">
      <c r="A14" s="98" t="s">
        <v>7259</v>
      </c>
      <c r="B14" s="98" t="s">
        <v>3862</v>
      </c>
      <c r="C14" s="98" t="s">
        <v>7523</v>
      </c>
      <c r="D14" s="98" t="s">
        <v>7524</v>
      </c>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31"/>
    <col collapsed="false" customWidth="true" hidden="false" outlineLevel="0" max="2" min="2" style="30" width="11"/>
    <col collapsed="false" customWidth="true" hidden="false" outlineLevel="0" max="3" min="3" style="30" width="48"/>
    <col collapsed="false" customWidth="true" hidden="false" outlineLevel="0" max="4" min="4" style="30" width="62"/>
  </cols>
  <sheetData>
    <row r="1" customFormat="false" ht="24.75" hidden="false" customHeight="true" outlineLevel="0" collapsed="false">
      <c r="A1" s="91" t="s">
        <v>7525</v>
      </c>
      <c r="B1" s="91"/>
      <c r="C1" s="91"/>
      <c r="D1" s="91"/>
    </row>
    <row r="2" customFormat="false" ht="42" hidden="false" customHeight="true" outlineLevel="0" collapsed="false">
      <c r="A2" s="96" t="s">
        <v>7526</v>
      </c>
      <c r="B2" s="96"/>
      <c r="C2" s="96"/>
      <c r="D2" s="96"/>
    </row>
    <row r="4" customFormat="false" ht="30" hidden="false" customHeight="true" outlineLevel="0" collapsed="false">
      <c r="A4" s="97" t="s">
        <v>5774</v>
      </c>
      <c r="B4" s="97" t="s">
        <v>7527</v>
      </c>
      <c r="C4" s="97" t="s">
        <v>7528</v>
      </c>
      <c r="D4" s="97" t="s">
        <v>5220</v>
      </c>
    </row>
    <row r="5" customFormat="false" ht="33.75" hidden="false" customHeight="true" outlineLevel="0" collapsed="false">
      <c r="A5" s="98" t="s">
        <v>4009</v>
      </c>
      <c r="B5" s="98" t="n">
        <v>2</v>
      </c>
      <c r="C5" s="98" t="s">
        <v>7529</v>
      </c>
      <c r="D5" s="98" t="s">
        <v>7530</v>
      </c>
    </row>
    <row r="6" customFormat="false" ht="33.75" hidden="false" customHeight="true" outlineLevel="0" collapsed="false">
      <c r="A6" s="98" t="s">
        <v>7531</v>
      </c>
      <c r="B6" s="98" t="n">
        <v>2</v>
      </c>
      <c r="C6" s="98" t="s">
        <v>7532</v>
      </c>
      <c r="D6" s="98" t="s">
        <v>7533</v>
      </c>
    </row>
    <row r="7" customFormat="false" ht="33.75" hidden="false" customHeight="true" outlineLevel="0" collapsed="false">
      <c r="A7" s="98" t="s">
        <v>7534</v>
      </c>
      <c r="B7" s="98" t="n">
        <v>2</v>
      </c>
      <c r="C7" s="98" t="s">
        <v>7535</v>
      </c>
      <c r="D7" s="98" t="s">
        <v>7536</v>
      </c>
    </row>
    <row r="8" customFormat="false" ht="33.75" hidden="false" customHeight="true" outlineLevel="0" collapsed="false">
      <c r="A8" s="98" t="s">
        <v>7418</v>
      </c>
      <c r="B8" s="98" t="n">
        <v>2</v>
      </c>
      <c r="C8" s="98" t="s">
        <v>7537</v>
      </c>
      <c r="D8" s="98" t="s">
        <v>7538</v>
      </c>
    </row>
    <row r="9" customFormat="false" ht="33.75" hidden="false" customHeight="true" outlineLevel="0" collapsed="false">
      <c r="A9" s="98" t="s">
        <v>7539</v>
      </c>
      <c r="B9" s="98" t="n">
        <v>2</v>
      </c>
      <c r="C9" s="98" t="s">
        <v>7540</v>
      </c>
      <c r="D9" s="98" t="s">
        <v>7541</v>
      </c>
    </row>
    <row r="10" customFormat="false" ht="33.75" hidden="false" customHeight="true" outlineLevel="0" collapsed="false">
      <c r="A10" s="98" t="s">
        <v>7542</v>
      </c>
      <c r="B10" s="98" t="n">
        <v>2</v>
      </c>
      <c r="C10" s="98" t="s">
        <v>7543</v>
      </c>
      <c r="D10" s="98" t="s">
        <v>7544</v>
      </c>
    </row>
    <row r="11" customFormat="false" ht="33.75" hidden="false" customHeight="true" outlineLevel="0" collapsed="false">
      <c r="A11" s="98" t="s">
        <v>7545</v>
      </c>
      <c r="B11" s="98" t="n">
        <v>2</v>
      </c>
      <c r="C11" s="98" t="s">
        <v>7546</v>
      </c>
      <c r="D11" s="98" t="s">
        <v>7547</v>
      </c>
    </row>
    <row r="12" customFormat="false" ht="33.75" hidden="false" customHeight="true" outlineLevel="0" collapsed="false">
      <c r="A12" s="98" t="s">
        <v>7548</v>
      </c>
      <c r="B12" s="98" t="n">
        <v>2</v>
      </c>
      <c r="C12" s="98" t="s">
        <v>7549</v>
      </c>
      <c r="D12" s="98" t="s">
        <v>7550</v>
      </c>
    </row>
    <row r="13" customFormat="false" ht="33.75" hidden="false" customHeight="true" outlineLevel="0" collapsed="false">
      <c r="A13" s="98" t="s">
        <v>7551</v>
      </c>
      <c r="B13" s="98" t="n">
        <v>2</v>
      </c>
      <c r="C13" s="98" t="s">
        <v>7552</v>
      </c>
      <c r="D13" s="98" t="s">
        <v>7553</v>
      </c>
    </row>
    <row r="14" customFormat="false" ht="33.75" hidden="false" customHeight="true" outlineLevel="0" collapsed="false">
      <c r="A14" s="98" t="s">
        <v>7554</v>
      </c>
      <c r="B14" s="98" t="n">
        <v>2</v>
      </c>
      <c r="C14" s="98" t="s">
        <v>7555</v>
      </c>
      <c r="D14" s="98" t="s">
        <v>7556</v>
      </c>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30" width="43"/>
    <col collapsed="false" customWidth="true" hidden="false" outlineLevel="0" max="2" min="2" style="30" width="12"/>
    <col collapsed="false" customWidth="true" hidden="false" outlineLevel="0" max="3" min="3" style="30" width="72"/>
    <col collapsed="false" customWidth="true" hidden="false" outlineLevel="0" max="4" min="4" style="30" width="74"/>
  </cols>
  <sheetData>
    <row r="1" customFormat="false" ht="24.75" hidden="false" customHeight="true" outlineLevel="0" collapsed="false">
      <c r="A1" s="91" t="s">
        <v>7557</v>
      </c>
      <c r="B1" s="91"/>
      <c r="C1" s="91"/>
      <c r="D1" s="91"/>
    </row>
    <row r="2" customFormat="false" ht="42" hidden="false" customHeight="true" outlineLevel="0" collapsed="false">
      <c r="A2" s="96" t="s">
        <v>7558</v>
      </c>
      <c r="B2" s="96"/>
      <c r="C2" s="96"/>
      <c r="D2" s="96"/>
    </row>
    <row r="4" customFormat="false" ht="30" hidden="false" customHeight="true" outlineLevel="0" collapsed="false">
      <c r="A4" s="97" t="s">
        <v>3818</v>
      </c>
      <c r="B4" s="97" t="s">
        <v>5761</v>
      </c>
      <c r="C4" s="97" t="s">
        <v>7559</v>
      </c>
      <c r="D4" s="97" t="s">
        <v>4837</v>
      </c>
    </row>
    <row r="5" customFormat="false" ht="33.75" hidden="false" customHeight="true" outlineLevel="0" collapsed="false">
      <c r="A5" s="98" t="s">
        <v>7560</v>
      </c>
      <c r="B5" s="98" t="n">
        <v>180</v>
      </c>
      <c r="C5" s="98" t="s">
        <v>7561</v>
      </c>
      <c r="D5" s="98" t="s">
        <v>7562</v>
      </c>
    </row>
    <row r="6" customFormat="false" ht="33.75" hidden="false" customHeight="true" outlineLevel="0" collapsed="false">
      <c r="A6" s="98" t="s">
        <v>7563</v>
      </c>
      <c r="B6" s="98" t="n">
        <v>243</v>
      </c>
      <c r="C6" s="98" t="s">
        <v>7564</v>
      </c>
      <c r="D6" s="98" t="s">
        <v>7565</v>
      </c>
    </row>
    <row r="7" customFormat="false" ht="33.75" hidden="false" customHeight="true" outlineLevel="0" collapsed="false">
      <c r="A7" s="98" t="s">
        <v>7566</v>
      </c>
      <c r="B7" s="98" t="n">
        <v>468</v>
      </c>
      <c r="C7" s="98" t="s">
        <v>7567</v>
      </c>
      <c r="D7" s="98" t="s">
        <v>7568</v>
      </c>
    </row>
    <row r="8" customFormat="false" ht="33.75" hidden="false" customHeight="true" outlineLevel="0" collapsed="false">
      <c r="A8" s="98" t="s">
        <v>7569</v>
      </c>
      <c r="B8" s="98" t="n">
        <v>120</v>
      </c>
      <c r="C8" s="98" t="s">
        <v>7570</v>
      </c>
      <c r="D8" s="98" t="s">
        <v>7571</v>
      </c>
    </row>
    <row r="9" customFormat="false" ht="33.75" hidden="false" customHeight="true" outlineLevel="0" collapsed="false">
      <c r="A9" s="98" t="s">
        <v>7572</v>
      </c>
      <c r="B9" s="98" t="n">
        <v>144</v>
      </c>
      <c r="C9" s="98" t="s">
        <v>7573</v>
      </c>
      <c r="D9" s="98" t="s">
        <v>7574</v>
      </c>
    </row>
    <row r="10" customFormat="false" ht="33.75" hidden="false" customHeight="true" outlineLevel="0" collapsed="false">
      <c r="A10" s="98" t="s">
        <v>7575</v>
      </c>
      <c r="B10" s="98" t="n">
        <v>1155</v>
      </c>
      <c r="C10" s="98" t="s">
        <v>7576</v>
      </c>
      <c r="D10" s="98" t="s">
        <v>7577</v>
      </c>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30" width="12"/>
    <col collapsed="false" customWidth="true" hidden="false" outlineLevel="0" max="2" min="2" style="30" width="22"/>
    <col collapsed="false" customWidth="true" hidden="false" outlineLevel="0" max="4" min="3" style="30" width="16"/>
    <col collapsed="false" customWidth="true" hidden="false" outlineLevel="0" max="5" min="5" style="30" width="74"/>
  </cols>
  <sheetData>
    <row r="1" customFormat="false" ht="25.5" hidden="false" customHeight="true" outlineLevel="0" collapsed="false">
      <c r="A1" s="8" t="s">
        <v>7578</v>
      </c>
      <c r="B1" s="8"/>
      <c r="C1" s="8"/>
      <c r="D1" s="8"/>
      <c r="E1" s="8"/>
    </row>
    <row r="2" customFormat="false" ht="31.5" hidden="false" customHeight="true" outlineLevel="0" collapsed="false">
      <c r="A2" s="9" t="s">
        <v>7579</v>
      </c>
      <c r="B2" s="9"/>
      <c r="C2" s="9"/>
      <c r="D2" s="9"/>
      <c r="E2" s="9"/>
    </row>
    <row r="4" customFormat="false" ht="31.5" hidden="false" customHeight="true" outlineLevel="0" collapsed="false">
      <c r="A4" s="76" t="s">
        <v>6178</v>
      </c>
      <c r="B4" s="76" t="s">
        <v>7235</v>
      </c>
      <c r="C4" s="76" t="s">
        <v>7580</v>
      </c>
      <c r="D4" s="76" t="s">
        <v>6739</v>
      </c>
      <c r="E4" s="76" t="s">
        <v>6740</v>
      </c>
    </row>
    <row r="5" customFormat="false" ht="24" hidden="false" customHeight="true" outlineLevel="0" collapsed="false">
      <c r="A5" s="84" t="n">
        <v>1</v>
      </c>
      <c r="B5" s="86" t="s">
        <v>7236</v>
      </c>
      <c r="C5" s="86" t="n">
        <v>1</v>
      </c>
      <c r="D5" s="86" t="n">
        <v>1</v>
      </c>
      <c r="E5" s="85" t="s">
        <v>7237</v>
      </c>
    </row>
    <row r="6" customFormat="false" ht="24" hidden="false" customHeight="true" outlineLevel="0" collapsed="false">
      <c r="A6" s="84" t="n">
        <v>2</v>
      </c>
      <c r="B6" s="86" t="s">
        <v>7238</v>
      </c>
      <c r="C6" s="86" t="n">
        <v>1</v>
      </c>
      <c r="D6" s="86" t="n">
        <v>1</v>
      </c>
      <c r="E6" s="85" t="s">
        <v>7239</v>
      </c>
    </row>
    <row r="7" customFormat="false" ht="24" hidden="false" customHeight="true" outlineLevel="0" collapsed="false">
      <c r="A7" s="84" t="n">
        <v>3</v>
      </c>
      <c r="B7" s="86" t="s">
        <v>7240</v>
      </c>
      <c r="C7" s="86" t="n">
        <v>1</v>
      </c>
      <c r="D7" s="86" t="n">
        <v>2</v>
      </c>
      <c r="E7" s="85" t="s">
        <v>7581</v>
      </c>
    </row>
    <row r="8" customFormat="false" ht="24" hidden="false" customHeight="true" outlineLevel="0" collapsed="false">
      <c r="A8" s="84" t="n">
        <v>4</v>
      </c>
      <c r="B8" s="86" t="s">
        <v>7242</v>
      </c>
      <c r="C8" s="86" t="n">
        <v>1</v>
      </c>
      <c r="D8" s="86" t="n">
        <v>2</v>
      </c>
      <c r="E8" s="85" t="s">
        <v>7582</v>
      </c>
    </row>
    <row r="9" customFormat="false" ht="24" hidden="false" customHeight="true" outlineLevel="0" collapsed="false">
      <c r="A9" s="84" t="n">
        <v>5</v>
      </c>
      <c r="B9" s="86" t="s">
        <v>7244</v>
      </c>
      <c r="C9" s="86" t="n">
        <v>1</v>
      </c>
      <c r="D9" s="86" t="n">
        <v>2</v>
      </c>
      <c r="E9" s="85" t="s">
        <v>7583</v>
      </c>
    </row>
    <row r="10" customFormat="false" ht="24" hidden="false" customHeight="true" outlineLevel="0" collapsed="false">
      <c r="A10" s="84" t="n">
        <v>6</v>
      </c>
      <c r="B10" s="86" t="s">
        <v>7246</v>
      </c>
      <c r="C10" s="86" t="n">
        <v>1</v>
      </c>
      <c r="D10" s="86" t="n">
        <v>3</v>
      </c>
      <c r="E10" s="85" t="s">
        <v>7247</v>
      </c>
    </row>
    <row r="11" customFormat="false" ht="33" hidden="false" customHeight="true" outlineLevel="0" collapsed="false">
      <c r="A11" s="84" t="n">
        <v>7</v>
      </c>
      <c r="B11" s="86" t="s">
        <v>7248</v>
      </c>
      <c r="C11" s="86" t="n">
        <v>1</v>
      </c>
      <c r="D11" s="86" t="n">
        <v>3</v>
      </c>
      <c r="E11" s="85" t="s">
        <v>7584</v>
      </c>
    </row>
    <row r="12" customFormat="false" ht="24" hidden="false" customHeight="true" outlineLevel="0" collapsed="false">
      <c r="A12" s="84" t="n">
        <v>8</v>
      </c>
      <c r="B12" s="86" t="s">
        <v>7250</v>
      </c>
      <c r="C12" s="86" t="n">
        <v>1</v>
      </c>
      <c r="D12" s="86" t="n">
        <v>3</v>
      </c>
      <c r="E12" s="85" t="s">
        <v>7585</v>
      </c>
    </row>
    <row r="13" customFormat="false" ht="24" hidden="false" customHeight="true" outlineLevel="0" collapsed="false">
      <c r="A13" s="84" t="n">
        <v>9</v>
      </c>
      <c r="B13" s="86" t="s">
        <v>7252</v>
      </c>
      <c r="C13" s="86" t="n">
        <v>1</v>
      </c>
      <c r="D13" s="86" t="n">
        <v>4</v>
      </c>
      <c r="E13" s="85" t="s">
        <v>7586</v>
      </c>
    </row>
    <row r="14" customFormat="false" ht="27.75" hidden="false" customHeight="true" outlineLevel="0" collapsed="false">
      <c r="A14" s="84" t="s">
        <v>7254</v>
      </c>
      <c r="B14" s="86" t="s">
        <v>7587</v>
      </c>
      <c r="C14" s="86" t="s">
        <v>7588</v>
      </c>
      <c r="D14" s="86" t="s">
        <v>7589</v>
      </c>
      <c r="E14" s="90" t="s">
        <v>7590</v>
      </c>
    </row>
    <row r="15" customFormat="false" ht="27.75" hidden="false" customHeight="true" outlineLevel="0" collapsed="false">
      <c r="A15" s="84" t="s">
        <v>7591</v>
      </c>
      <c r="B15" s="86" t="s">
        <v>7592</v>
      </c>
      <c r="C15" s="86" t="s">
        <v>7593</v>
      </c>
      <c r="D15" s="86" t="s">
        <v>7594</v>
      </c>
      <c r="E15" s="90" t="s">
        <v>7595</v>
      </c>
    </row>
    <row r="16" customFormat="false" ht="27.75" hidden="false" customHeight="true" outlineLevel="0" collapsed="false">
      <c r="A16" s="84"/>
      <c r="B16" s="86"/>
      <c r="C16" s="86"/>
      <c r="D16" s="86"/>
      <c r="E16" s="90"/>
    </row>
    <row r="17" customFormat="false" ht="27.75" hidden="false" customHeight="true" outlineLevel="0" collapsed="false">
      <c r="A17" s="84"/>
      <c r="B17" s="86"/>
      <c r="C17" s="86"/>
      <c r="D17" s="86"/>
      <c r="E17" s="90"/>
    </row>
    <row r="18" customFormat="false" ht="15" hidden="false" customHeight="true" outlineLevel="0" collapsed="false">
      <c r="A18" s="84"/>
      <c r="B18" s="86"/>
      <c r="C18" s="86"/>
      <c r="D18" s="86"/>
      <c r="E18" s="85"/>
    </row>
    <row r="19" customFormat="false" ht="15" hidden="false" customHeight="true" outlineLevel="0" collapsed="false">
      <c r="A19" s="84"/>
      <c r="B19" s="86"/>
      <c r="C19" s="86"/>
      <c r="D19" s="86"/>
      <c r="E19" s="85"/>
    </row>
    <row r="20" customFormat="false" ht="15" hidden="false" customHeight="true" outlineLevel="0" collapsed="false">
      <c r="A20" s="84"/>
      <c r="B20" s="86"/>
      <c r="C20" s="86"/>
      <c r="D20" s="86"/>
      <c r="E20" s="85"/>
    </row>
    <row r="21" customFormat="false" ht="15" hidden="false" customHeight="true" outlineLevel="0" collapsed="false">
      <c r="A21" s="84"/>
      <c r="B21" s="86"/>
      <c r="C21" s="86"/>
      <c r="D21" s="86"/>
      <c r="E21" s="85"/>
    </row>
  </sheetData>
  <mergeCells count="2">
    <mergeCell ref="A1:E1"/>
    <mergeCell ref="A2:E2"/>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30" width="34"/>
    <col collapsed="false" customWidth="true" hidden="false" outlineLevel="0" max="2" min="2" style="30" width="30"/>
    <col collapsed="false" customWidth="true" hidden="false" outlineLevel="0" max="3" min="3" style="30" width="22"/>
    <col collapsed="false" customWidth="true" hidden="false" outlineLevel="0" max="4" min="4" style="30" width="18"/>
    <col collapsed="false" customWidth="true" hidden="false" outlineLevel="0" max="5" min="5" style="30" width="52"/>
    <col collapsed="false" customWidth="true" hidden="false" outlineLevel="0" max="6" min="6" style="30" width="20"/>
  </cols>
  <sheetData>
    <row r="1" customFormat="false" ht="24.75" hidden="false" customHeight="true" outlineLevel="0" collapsed="false">
      <c r="A1" s="91" t="s">
        <v>7596</v>
      </c>
      <c r="B1" s="91"/>
      <c r="C1" s="91"/>
      <c r="D1" s="91"/>
      <c r="E1" s="91"/>
      <c r="F1" s="91"/>
    </row>
    <row r="2" customFormat="false" ht="42" hidden="false" customHeight="true" outlineLevel="0" collapsed="false">
      <c r="A2" s="96" t="s">
        <v>7597</v>
      </c>
      <c r="B2" s="96"/>
      <c r="C2" s="96"/>
      <c r="D2" s="96"/>
      <c r="E2" s="96"/>
      <c r="F2" s="96"/>
    </row>
    <row r="4" customFormat="false" ht="30" hidden="false" customHeight="true" outlineLevel="0" collapsed="false">
      <c r="A4" s="97" t="s">
        <v>5617</v>
      </c>
      <c r="B4" s="97" t="s">
        <v>7598</v>
      </c>
      <c r="C4" s="97" t="s">
        <v>94</v>
      </c>
      <c r="D4" s="97" t="s">
        <v>7599</v>
      </c>
      <c r="E4" s="97" t="s">
        <v>7600</v>
      </c>
      <c r="F4" s="97" t="s">
        <v>4718</v>
      </c>
    </row>
    <row r="5" customFormat="false" ht="33.75" hidden="false" customHeight="true" outlineLevel="0" collapsed="false">
      <c r="A5" s="98" t="s">
        <v>7601</v>
      </c>
      <c r="B5" s="98"/>
      <c r="C5" s="98"/>
      <c r="D5" s="98"/>
    </row>
    <row r="6" customFormat="false" ht="33.75" hidden="false" customHeight="true" outlineLevel="0" collapsed="false">
      <c r="A6" s="98" t="s">
        <v>7602</v>
      </c>
      <c r="B6" s="98" t="s">
        <v>7602</v>
      </c>
      <c r="C6" s="98" t="s">
        <v>7603</v>
      </c>
      <c r="D6" s="98" t="s">
        <v>7604</v>
      </c>
      <c r="E6" s="30" t="s">
        <v>7605</v>
      </c>
      <c r="F6" s="30" t="s">
        <v>7606</v>
      </c>
    </row>
    <row r="7" customFormat="false" ht="33.75" hidden="false" customHeight="true" outlineLevel="0" collapsed="false">
      <c r="A7" s="98" t="s">
        <v>7607</v>
      </c>
      <c r="B7" s="98" t="s">
        <v>7607</v>
      </c>
      <c r="C7" s="98" t="s">
        <v>7603</v>
      </c>
      <c r="D7" s="98" t="s">
        <v>7608</v>
      </c>
      <c r="E7" s="30" t="s">
        <v>7609</v>
      </c>
      <c r="F7" s="30" t="s">
        <v>7606</v>
      </c>
    </row>
    <row r="8" customFormat="false" ht="33.75" hidden="false" customHeight="true" outlineLevel="0" collapsed="false">
      <c r="A8" s="98" t="s">
        <v>7610</v>
      </c>
      <c r="B8" s="98" t="s">
        <v>7610</v>
      </c>
      <c r="C8" s="98" t="s">
        <v>7603</v>
      </c>
      <c r="D8" s="98" t="s">
        <v>7604</v>
      </c>
      <c r="E8" s="30" t="s">
        <v>7611</v>
      </c>
      <c r="F8" s="30" t="s">
        <v>7606</v>
      </c>
    </row>
    <row r="9" customFormat="false" ht="33.75" hidden="false" customHeight="true" outlineLevel="0" collapsed="false">
      <c r="A9" s="98" t="s">
        <v>7612</v>
      </c>
      <c r="B9" s="98" t="s">
        <v>7612</v>
      </c>
      <c r="C9" s="98" t="s">
        <v>7603</v>
      </c>
      <c r="D9" s="98" t="s">
        <v>7613</v>
      </c>
      <c r="E9" s="30" t="s">
        <v>7605</v>
      </c>
      <c r="F9" s="30" t="s">
        <v>7606</v>
      </c>
    </row>
    <row r="10" customFormat="false" ht="33.75" hidden="false" customHeight="true" outlineLevel="0" collapsed="false">
      <c r="A10" s="98" t="s">
        <v>7614</v>
      </c>
      <c r="B10" s="98" t="s">
        <v>7614</v>
      </c>
      <c r="C10" s="98" t="s">
        <v>7615</v>
      </c>
      <c r="D10" s="98" t="s">
        <v>7604</v>
      </c>
      <c r="E10" s="30" t="s">
        <v>7605</v>
      </c>
      <c r="F10" s="30" t="s">
        <v>7606</v>
      </c>
    </row>
    <row r="11" customFormat="false" ht="33.75" hidden="false" customHeight="true" outlineLevel="0" collapsed="false">
      <c r="A11" s="98" t="s">
        <v>7616</v>
      </c>
      <c r="B11" s="98" t="s">
        <v>7616</v>
      </c>
      <c r="C11" s="98" t="s">
        <v>7617</v>
      </c>
      <c r="D11" s="98" t="s">
        <v>7604</v>
      </c>
      <c r="E11" s="30" t="s">
        <v>7605</v>
      </c>
      <c r="F11" s="30" t="s">
        <v>7606</v>
      </c>
    </row>
    <row r="12" customFormat="false" ht="33.75" hidden="false" customHeight="true" outlineLevel="0" collapsed="false">
      <c r="A12" s="98" t="s">
        <v>7618</v>
      </c>
      <c r="B12" s="98" t="s">
        <v>7618</v>
      </c>
      <c r="C12" s="98" t="s">
        <v>7619</v>
      </c>
      <c r="D12" s="98" t="s">
        <v>7604</v>
      </c>
      <c r="E12" s="30" t="s">
        <v>7605</v>
      </c>
      <c r="F12" s="30" t="s">
        <v>7606</v>
      </c>
    </row>
    <row r="13" customFormat="false" ht="33.75" hidden="false" customHeight="true" outlineLevel="0" collapsed="false">
      <c r="A13" s="98" t="s">
        <v>7620</v>
      </c>
      <c r="B13" s="98" t="s">
        <v>7620</v>
      </c>
      <c r="C13" s="98" t="s">
        <v>7603</v>
      </c>
      <c r="D13" s="98" t="s">
        <v>7604</v>
      </c>
      <c r="E13" s="30" t="s">
        <v>7605</v>
      </c>
      <c r="F13" s="30" t="s">
        <v>7621</v>
      </c>
    </row>
    <row r="14" customFormat="false" ht="33.75" hidden="false" customHeight="true" outlineLevel="0" collapsed="false">
      <c r="A14" s="98" t="s">
        <v>7622</v>
      </c>
      <c r="B14" s="98"/>
      <c r="C14" s="98"/>
      <c r="D14" s="98"/>
    </row>
    <row r="15" customFormat="false" ht="15" hidden="false" customHeight="true" outlineLevel="0" collapsed="false">
      <c r="A15" s="98" t="s">
        <v>7623</v>
      </c>
      <c r="B15" s="98" t="s">
        <v>7623</v>
      </c>
      <c r="C15" s="98" t="s">
        <v>7603</v>
      </c>
      <c r="D15" s="98" t="s">
        <v>7624</v>
      </c>
      <c r="E15" s="30" t="s">
        <v>7609</v>
      </c>
      <c r="F15" s="30" t="s">
        <v>7606</v>
      </c>
    </row>
    <row r="16" customFormat="false" ht="15" hidden="false" customHeight="true" outlineLevel="0" collapsed="false">
      <c r="A16" s="98" t="s">
        <v>7625</v>
      </c>
      <c r="B16" s="98" t="s">
        <v>7625</v>
      </c>
      <c r="C16" s="98" t="s">
        <v>7603</v>
      </c>
      <c r="D16" s="98" t="s">
        <v>7624</v>
      </c>
      <c r="E16" s="30" t="s">
        <v>7626</v>
      </c>
      <c r="F16" s="30" t="s">
        <v>7606</v>
      </c>
    </row>
    <row r="17" customFormat="false" ht="15" hidden="false" customHeight="true" outlineLevel="0" collapsed="false">
      <c r="A17" s="98" t="s">
        <v>7627</v>
      </c>
      <c r="B17" s="98" t="s">
        <v>7627</v>
      </c>
      <c r="C17" s="98" t="s">
        <v>7615</v>
      </c>
      <c r="D17" s="98" t="s">
        <v>7624</v>
      </c>
      <c r="E17" s="30" t="s">
        <v>7609</v>
      </c>
      <c r="F17" s="30" t="s">
        <v>7606</v>
      </c>
    </row>
    <row r="18" customFormat="false" ht="23.25" hidden="false" customHeight="true" outlineLevel="0" collapsed="false">
      <c r="A18" s="98" t="s">
        <v>7628</v>
      </c>
      <c r="B18" s="98" t="s">
        <v>7628</v>
      </c>
      <c r="C18" s="98" t="s">
        <v>7615</v>
      </c>
      <c r="D18" s="98" t="s">
        <v>7624</v>
      </c>
      <c r="E18" s="30" t="s">
        <v>7626</v>
      </c>
      <c r="F18" s="30" t="s">
        <v>7606</v>
      </c>
    </row>
    <row r="19" customFormat="false" ht="15" hidden="false" customHeight="true" outlineLevel="0" collapsed="false">
      <c r="A19" s="98" t="s">
        <v>7629</v>
      </c>
      <c r="B19" s="98" t="s">
        <v>7629</v>
      </c>
      <c r="C19" s="98" t="s">
        <v>7617</v>
      </c>
      <c r="D19" s="98" t="s">
        <v>7624</v>
      </c>
      <c r="E19" s="30" t="s">
        <v>7626</v>
      </c>
      <c r="F19" s="30" t="s">
        <v>7606</v>
      </c>
    </row>
    <row r="20" customFormat="false" ht="23.25" hidden="false" customHeight="true" outlineLevel="0" collapsed="false">
      <c r="A20" s="98" t="s">
        <v>7630</v>
      </c>
      <c r="B20" s="98" t="s">
        <v>7630</v>
      </c>
      <c r="C20" s="98" t="s">
        <v>7603</v>
      </c>
      <c r="D20" s="98" t="s">
        <v>7624</v>
      </c>
      <c r="E20" s="30" t="s">
        <v>7626</v>
      </c>
      <c r="F20" s="30" t="s">
        <v>7621</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30" width="38"/>
    <col collapsed="false" customWidth="true" hidden="false" outlineLevel="0" max="2" min="2" style="30" width="28"/>
    <col collapsed="false" customWidth="true" hidden="false" outlineLevel="0" max="3" min="3" style="30" width="11"/>
    <col collapsed="false" customWidth="true" hidden="false" outlineLevel="0" max="4" min="4" style="30" width="38"/>
    <col collapsed="false" customWidth="true" hidden="false" outlineLevel="0" max="5" min="5" style="30" width="24"/>
    <col collapsed="false" customWidth="true" hidden="false" outlineLevel="0" max="6" min="6" style="30" width="50"/>
  </cols>
  <sheetData>
    <row r="1" customFormat="false" ht="24.75" hidden="false" customHeight="true" outlineLevel="0" collapsed="false">
      <c r="A1" s="91" t="s">
        <v>7631</v>
      </c>
      <c r="B1" s="91"/>
      <c r="C1" s="91"/>
      <c r="D1" s="91"/>
      <c r="E1" s="91"/>
      <c r="F1" s="91"/>
    </row>
    <row r="2" customFormat="false" ht="42" hidden="false" customHeight="true" outlineLevel="0" collapsed="false">
      <c r="A2" s="96" t="s">
        <v>7632</v>
      </c>
      <c r="B2" s="96"/>
      <c r="C2" s="96"/>
      <c r="D2" s="96"/>
      <c r="E2" s="96"/>
      <c r="F2" s="96"/>
    </row>
    <row r="4" customFormat="false" ht="30" hidden="false" customHeight="true" outlineLevel="0" collapsed="false">
      <c r="A4" s="97" t="s">
        <v>5617</v>
      </c>
      <c r="B4" s="97" t="s">
        <v>7633</v>
      </c>
      <c r="C4" s="97" t="s">
        <v>7527</v>
      </c>
      <c r="D4" s="97" t="s">
        <v>7634</v>
      </c>
      <c r="E4" s="97" t="s">
        <v>7635</v>
      </c>
      <c r="F4" s="97" t="s">
        <v>7636</v>
      </c>
    </row>
    <row r="5" customFormat="false" ht="42" hidden="false" customHeight="true" outlineLevel="0" collapsed="false">
      <c r="A5" s="98" t="s">
        <v>7637</v>
      </c>
      <c r="B5" s="98" t="s">
        <v>7638</v>
      </c>
      <c r="C5" s="98" t="n">
        <v>1</v>
      </c>
      <c r="D5" s="98" t="s">
        <v>7639</v>
      </c>
      <c r="E5" s="99" t="s">
        <v>4197</v>
      </c>
      <c r="F5" s="99" t="s">
        <v>7640</v>
      </c>
    </row>
    <row r="6" customFormat="false" ht="42" hidden="false" customHeight="true" outlineLevel="0" collapsed="false">
      <c r="A6" s="98" t="s">
        <v>7641</v>
      </c>
      <c r="B6" s="98" t="s">
        <v>7642</v>
      </c>
      <c r="C6" s="98" t="n">
        <v>1</v>
      </c>
      <c r="D6" s="98" t="s">
        <v>7643</v>
      </c>
      <c r="E6" s="99" t="s">
        <v>4197</v>
      </c>
      <c r="F6" s="99" t="s">
        <v>7640</v>
      </c>
    </row>
    <row r="7" customFormat="false" ht="42" hidden="false" customHeight="true" outlineLevel="0" collapsed="false">
      <c r="A7" s="98" t="s">
        <v>7644</v>
      </c>
      <c r="B7" s="98" t="s">
        <v>7645</v>
      </c>
      <c r="C7" s="98" t="n">
        <v>1</v>
      </c>
      <c r="D7" s="98" t="s">
        <v>7646</v>
      </c>
      <c r="E7" s="99" t="s">
        <v>4197</v>
      </c>
      <c r="F7" s="99" t="s">
        <v>7640</v>
      </c>
    </row>
    <row r="8" customFormat="false" ht="42" hidden="false" customHeight="true" outlineLevel="0" collapsed="false">
      <c r="A8" s="98" t="s">
        <v>7647</v>
      </c>
      <c r="B8" s="98" t="s">
        <v>7648</v>
      </c>
      <c r="C8" s="98" t="n">
        <v>1</v>
      </c>
      <c r="D8" s="98" t="s">
        <v>7649</v>
      </c>
      <c r="E8" s="99" t="s">
        <v>4197</v>
      </c>
      <c r="F8" s="99" t="s">
        <v>7640</v>
      </c>
    </row>
    <row r="9" customFormat="false" ht="42" hidden="false" customHeight="true" outlineLevel="0" collapsed="false">
      <c r="A9" s="98" t="s">
        <v>7650</v>
      </c>
      <c r="B9" s="98" t="s">
        <v>7651</v>
      </c>
      <c r="C9" s="98" t="n">
        <v>1</v>
      </c>
      <c r="D9" s="98" t="s">
        <v>7652</v>
      </c>
      <c r="E9" s="99" t="s">
        <v>4197</v>
      </c>
      <c r="F9" s="99" t="s">
        <v>7640</v>
      </c>
    </row>
    <row r="10" customFormat="false" ht="42" hidden="false" customHeight="true" outlineLevel="0" collapsed="false">
      <c r="A10" s="98" t="s">
        <v>7653</v>
      </c>
      <c r="B10" s="98" t="s">
        <v>7654</v>
      </c>
      <c r="C10" s="98" t="n">
        <v>1</v>
      </c>
      <c r="D10" s="98" t="s">
        <v>7655</v>
      </c>
      <c r="E10" s="99" t="s">
        <v>4197</v>
      </c>
      <c r="F10" s="99" t="s">
        <v>7640</v>
      </c>
    </row>
    <row r="11" customFormat="false" ht="42" hidden="false" customHeight="true" outlineLevel="0" collapsed="false">
      <c r="A11" s="98" t="s">
        <v>7656</v>
      </c>
      <c r="B11" s="98" t="s">
        <v>7657</v>
      </c>
      <c r="C11" s="98" t="n">
        <v>2</v>
      </c>
      <c r="D11" s="98" t="s">
        <v>7639</v>
      </c>
      <c r="E11" s="99" t="s">
        <v>7362</v>
      </c>
      <c r="F11" s="99" t="s">
        <v>7640</v>
      </c>
    </row>
    <row r="12" customFormat="false" ht="42" hidden="false" customHeight="true" outlineLevel="0" collapsed="false">
      <c r="A12" s="98" t="s">
        <v>7658</v>
      </c>
      <c r="B12" s="98" t="s">
        <v>7659</v>
      </c>
      <c r="C12" s="98" t="n">
        <v>2</v>
      </c>
      <c r="D12" s="98" t="s">
        <v>7639</v>
      </c>
      <c r="E12" s="99" t="s">
        <v>7370</v>
      </c>
      <c r="F12" s="99" t="s">
        <v>7640</v>
      </c>
    </row>
    <row r="13" customFormat="false" ht="42" hidden="false" customHeight="true" outlineLevel="0" collapsed="false">
      <c r="A13" s="98" t="s">
        <v>7660</v>
      </c>
      <c r="B13" s="98" t="s">
        <v>7661</v>
      </c>
      <c r="C13" s="98" t="n">
        <v>2</v>
      </c>
      <c r="D13" s="98" t="s">
        <v>7649</v>
      </c>
      <c r="E13" s="99" t="s">
        <v>7362</v>
      </c>
      <c r="F13" s="99" t="s">
        <v>7640</v>
      </c>
    </row>
    <row r="14" customFormat="false" ht="42" hidden="false" customHeight="true" outlineLevel="0" collapsed="false">
      <c r="A14" s="98" t="s">
        <v>7662</v>
      </c>
      <c r="B14" s="98" t="s">
        <v>7663</v>
      </c>
      <c r="C14" s="98" t="n">
        <v>2</v>
      </c>
      <c r="D14" s="98" t="s">
        <v>7649</v>
      </c>
      <c r="E14" s="99" t="s">
        <v>7370</v>
      </c>
      <c r="F14" s="99" t="s">
        <v>7640</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30" width="32"/>
    <col collapsed="false" customWidth="true" hidden="false" outlineLevel="0" max="2" min="2" style="30" width="12"/>
    <col collapsed="false" customWidth="true" hidden="false" outlineLevel="0" max="3" min="3" style="30" width="42"/>
    <col collapsed="false" customWidth="true" hidden="false" outlineLevel="0" max="4" min="4" style="30" width="64"/>
  </cols>
  <sheetData>
    <row r="1" customFormat="false" ht="24.75" hidden="false" customHeight="true" outlineLevel="0" collapsed="false">
      <c r="A1" s="91" t="s">
        <v>7664</v>
      </c>
      <c r="B1" s="91"/>
      <c r="C1" s="91"/>
      <c r="D1" s="91"/>
    </row>
    <row r="2" customFormat="false" ht="42" hidden="false" customHeight="true" outlineLevel="0" collapsed="false">
      <c r="A2" s="96" t="s">
        <v>7665</v>
      </c>
      <c r="B2" s="96"/>
      <c r="C2" s="96"/>
      <c r="D2" s="96"/>
    </row>
    <row r="4" customFormat="false" ht="30" hidden="false" customHeight="true" outlineLevel="0" collapsed="false">
      <c r="A4" s="97" t="s">
        <v>7666</v>
      </c>
      <c r="B4" s="97" t="s">
        <v>7527</v>
      </c>
      <c r="C4" s="97" t="s">
        <v>7528</v>
      </c>
      <c r="D4" s="97" t="s">
        <v>5220</v>
      </c>
    </row>
    <row r="5" customFormat="false" ht="33.75" hidden="false" customHeight="true" outlineLevel="0" collapsed="false">
      <c r="A5" s="98" t="s">
        <v>4009</v>
      </c>
      <c r="B5" s="98" t="n">
        <v>2</v>
      </c>
      <c r="C5" s="98" t="s">
        <v>7529</v>
      </c>
      <c r="D5" s="98" t="s">
        <v>7667</v>
      </c>
    </row>
    <row r="6" customFormat="false" ht="33.75" hidden="false" customHeight="true" outlineLevel="0" collapsed="false">
      <c r="A6" s="98" t="s">
        <v>7668</v>
      </c>
      <c r="B6" s="98" t="n">
        <v>2</v>
      </c>
      <c r="C6" s="98" t="s">
        <v>7669</v>
      </c>
      <c r="D6" s="98" t="s">
        <v>7670</v>
      </c>
    </row>
    <row r="7" customFormat="false" ht="33.75" hidden="false" customHeight="true" outlineLevel="0" collapsed="false">
      <c r="A7" s="98" t="s">
        <v>7671</v>
      </c>
      <c r="B7" s="98" t="n">
        <v>2</v>
      </c>
      <c r="C7" s="98" t="s">
        <v>7672</v>
      </c>
      <c r="D7" s="98" t="s">
        <v>7673</v>
      </c>
    </row>
    <row r="8" customFormat="false" ht="33.75" hidden="false" customHeight="true" outlineLevel="0" collapsed="false">
      <c r="A8" s="98" t="s">
        <v>7674</v>
      </c>
      <c r="B8" s="98" t="n">
        <v>2</v>
      </c>
      <c r="C8" s="98" t="s">
        <v>7675</v>
      </c>
      <c r="D8" s="98" t="s">
        <v>7676</v>
      </c>
    </row>
    <row r="9" customFormat="false" ht="33.75" hidden="false" customHeight="true" outlineLevel="0" collapsed="false">
      <c r="A9" s="98" t="s">
        <v>7677</v>
      </c>
      <c r="B9" s="98" t="n">
        <v>2</v>
      </c>
      <c r="C9" s="98" t="s">
        <v>7678</v>
      </c>
      <c r="D9" s="98" t="s">
        <v>7679</v>
      </c>
    </row>
    <row r="10" customFormat="false" ht="33.75" hidden="false" customHeight="true" outlineLevel="0" collapsed="false">
      <c r="A10" s="98" t="s">
        <v>7680</v>
      </c>
      <c r="B10" s="98" t="n">
        <v>2</v>
      </c>
      <c r="C10" s="98" t="s">
        <v>7681</v>
      </c>
      <c r="D10" s="98" t="s">
        <v>7682</v>
      </c>
    </row>
    <row r="11" customFormat="false" ht="33.75" hidden="false" customHeight="true" outlineLevel="0" collapsed="false">
      <c r="A11" s="98" t="s">
        <v>7683</v>
      </c>
      <c r="B11" s="98" t="n">
        <v>2</v>
      </c>
      <c r="C11" s="98" t="s">
        <v>7678</v>
      </c>
      <c r="D11" s="98" t="s">
        <v>7684</v>
      </c>
    </row>
    <row r="12" customFormat="false" ht="33.75" hidden="false" customHeight="true" outlineLevel="0" collapsed="false">
      <c r="A12" s="98" t="s">
        <v>7685</v>
      </c>
      <c r="B12" s="98" t="n">
        <v>2</v>
      </c>
      <c r="C12" s="98" t="s">
        <v>7681</v>
      </c>
      <c r="D12" s="98" t="s">
        <v>7686</v>
      </c>
    </row>
    <row r="13" customFormat="false" ht="33.75" hidden="false" customHeight="true" outlineLevel="0" collapsed="false">
      <c r="A13" s="98"/>
      <c r="B13" s="98"/>
      <c r="C13" s="98"/>
      <c r="D13" s="98"/>
    </row>
    <row r="14" customFormat="false" ht="33.75" hidden="false" customHeight="true" outlineLevel="0" collapsed="false">
      <c r="A14" s="98"/>
      <c r="B14" s="98"/>
      <c r="C14" s="98"/>
      <c r="D14" s="98"/>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30" width="44"/>
    <col collapsed="false" customWidth="true" hidden="false" outlineLevel="0" max="2" min="2" style="30" width="12"/>
    <col collapsed="false" customWidth="true" hidden="false" outlineLevel="0" max="3" min="3" style="30" width="60"/>
    <col collapsed="false" customWidth="true" hidden="false" outlineLevel="0" max="4" min="4" style="30" width="68"/>
  </cols>
  <sheetData>
    <row r="1" customFormat="false" ht="24.75" hidden="false" customHeight="true" outlineLevel="0" collapsed="false">
      <c r="A1" s="91" t="s">
        <v>7687</v>
      </c>
      <c r="B1" s="91"/>
      <c r="C1" s="91"/>
      <c r="D1" s="91"/>
    </row>
    <row r="2" customFormat="false" ht="42" hidden="false" customHeight="true" outlineLevel="0" collapsed="false">
      <c r="A2" s="96" t="s">
        <v>7688</v>
      </c>
      <c r="B2" s="96"/>
      <c r="C2" s="96"/>
      <c r="D2" s="96"/>
    </row>
    <row r="4" customFormat="false" ht="30" hidden="false" customHeight="true" outlineLevel="0" collapsed="false">
      <c r="A4" s="97" t="s">
        <v>3818</v>
      </c>
      <c r="B4" s="97" t="s">
        <v>5761</v>
      </c>
      <c r="C4" s="97" t="s">
        <v>7559</v>
      </c>
      <c r="D4" s="97" t="s">
        <v>4837</v>
      </c>
    </row>
    <row r="5" customFormat="false" ht="33.75" hidden="false" customHeight="true" outlineLevel="0" collapsed="false">
      <c r="A5" s="98" t="s">
        <v>7689</v>
      </c>
      <c r="B5" s="98" t="n">
        <v>144</v>
      </c>
      <c r="C5" s="98" t="s">
        <v>7690</v>
      </c>
      <c r="D5" s="98" t="s">
        <v>7691</v>
      </c>
    </row>
    <row r="6" customFormat="false" ht="33.75" hidden="false" customHeight="true" outlineLevel="0" collapsed="false">
      <c r="A6" s="98" t="s">
        <v>7692</v>
      </c>
      <c r="B6" s="98" t="n">
        <v>108</v>
      </c>
      <c r="C6" s="98" t="s">
        <v>7693</v>
      </c>
      <c r="D6" s="98" t="s">
        <v>7694</v>
      </c>
    </row>
    <row r="7" customFormat="false" ht="33.75" hidden="false" customHeight="true" outlineLevel="0" collapsed="false">
      <c r="A7" s="98" t="s">
        <v>7695</v>
      </c>
      <c r="B7" s="98" t="n">
        <v>468</v>
      </c>
      <c r="C7" s="98" t="s">
        <v>7696</v>
      </c>
      <c r="D7" s="98" t="s">
        <v>7697</v>
      </c>
    </row>
    <row r="8" customFormat="false" ht="33.75" hidden="false" customHeight="true" outlineLevel="0" collapsed="false">
      <c r="A8" s="98" t="s">
        <v>7698</v>
      </c>
      <c r="B8" s="98" t="n">
        <v>36</v>
      </c>
      <c r="C8" s="98" t="s">
        <v>7699</v>
      </c>
      <c r="D8" s="98" t="s">
        <v>7700</v>
      </c>
    </row>
    <row r="9" customFormat="false" ht="33.75" hidden="false" customHeight="true" outlineLevel="0" collapsed="false">
      <c r="A9" s="98" t="s">
        <v>7701</v>
      </c>
      <c r="B9" s="98" t="n">
        <v>60</v>
      </c>
      <c r="C9" s="98" t="s">
        <v>7702</v>
      </c>
      <c r="D9" s="98" t="s">
        <v>7703</v>
      </c>
    </row>
    <row r="10" customFormat="false" ht="33.75" hidden="false" customHeight="true" outlineLevel="0" collapsed="false">
      <c r="A10" s="98" t="s">
        <v>7704</v>
      </c>
      <c r="B10" s="98" t="n">
        <v>84</v>
      </c>
      <c r="C10" s="98" t="s">
        <v>7705</v>
      </c>
      <c r="D10" s="98" t="s">
        <v>7706</v>
      </c>
    </row>
    <row r="11" customFormat="false" ht="15" hidden="false" customHeight="true" outlineLevel="0" collapsed="false">
      <c r="A11" s="98" t="s">
        <v>7575</v>
      </c>
      <c r="B11" s="98" t="n">
        <v>900</v>
      </c>
      <c r="C11" s="98" t="s">
        <v>7707</v>
      </c>
      <c r="D11" s="98" t="s">
        <v>7708</v>
      </c>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2026-08-08T11:12:36Z</dcterms:created>
  <dc:creator>openpyxl</dc:creator>
  <dc:description/>
  <dc:language>en-US</dc:language>
  <cp:lastModifiedBy/>
  <dcterms:modified xsi:type="dcterms:W3CDTF">2026-08-08T11:21:55Z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