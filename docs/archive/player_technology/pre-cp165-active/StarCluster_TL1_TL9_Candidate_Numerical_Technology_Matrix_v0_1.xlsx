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TL Grid" sheetId="2" state="visible" r:id="rId4"/>
    <sheet name="Lineage Map" sheetId="3" state="visible" r:id="rId5"/>
    <sheet name="Optional Components" sheetId="4" state="visible" r:id="rId6"/>
    <sheet name="Research Relations" sheetId="5" state="visible" r:id="rId7"/>
    <sheet name="Review Changes" sheetId="6" state="visible" r:id="rId8"/>
    <sheet name="Numerical Overview" sheetId="7" state="visible" r:id="rId9"/>
    <sheet name="Hull Defense" sheetId="8" state="visible" r:id="rId10"/>
    <sheet name="Power Drives" sheetId="9" state="visible" r:id="rId11"/>
    <sheet name="Information" sheetId="10" state="visible" r:id="rId12"/>
    <sheet name="Weapons" sheetId="11" state="visible" r:id="rId13"/>
    <sheet name="Branches Gates" sheetId="12" state="visible" r:id="rId14"/>
    <sheet name="Lower TL Changes" sheetId="13" state="visible" r:id="rId15"/>
    <sheet name="Whole Ship Sanity" sheetId="14" state="visible" r:id="rId16"/>
  </sheets>
  <definedNames>
    <definedName function="false" hidden="true" localSheetId="11" name="_xlnm._FilterDatabase" vbProcedure="false">'Branches Gates'!$A$1:$J$1</definedName>
    <definedName function="false" hidden="true" localSheetId="7" name="_xlnm._FilterDatabase" vbProcedure="false">'Hull Defense'!$A$1:$O$1</definedName>
    <definedName function="false" hidden="true" localSheetId="9" name="_xlnm._FilterDatabase" vbProcedure="false">Information!$A$1:$P$1</definedName>
    <definedName function="false" hidden="true" localSheetId="2" name="_xlnm._FilterDatabase" vbProcedure="false">'Lineage Map'!$A$1:$M$215</definedName>
    <definedName function="false" hidden="true" localSheetId="12" name="_xlnm._FilterDatabase" vbProcedure="false">'Lower TL Changes'!$A$1:$D$1</definedName>
    <definedName function="false" hidden="true" localSheetId="6" name="_xlnm._FilterDatabase" vbProcedure="false">'Numerical Overview'!$A$1:$F$1</definedName>
    <definedName function="false" hidden="true" localSheetId="3" name="_xlnm._FilterDatabase" vbProcedure="false">'Optional Components'!$A$1:$K$36</definedName>
    <definedName function="false" hidden="true" localSheetId="8" name="_xlnm._FilterDatabase" vbProcedure="false">'Power Drives'!$A$1:$O$1</definedName>
    <definedName function="false" hidden="true" localSheetId="4" name="_xlnm._FilterDatabase" vbProcedure="false">'Research Relations'!$A$1:$F$215</definedName>
    <definedName function="false" hidden="true" localSheetId="5" name="_xlnm._FilterDatabase" vbProcedure="false">'Review Changes'!$A$1:$C$10</definedName>
    <definedName function="false" hidden="true" localSheetId="1" name="_xlnm._FilterDatabase" vbProcedure="false">'TL Grid'!$A$1:$E$91</definedName>
    <definedName function="false" hidden="true" localSheetId="10" name="_xlnm._FilterDatabase" vbProcedure="false">Weapons!$A$1:$Q$1</definedName>
    <definedName function="false" hidden="true" localSheetId="13" name="_xlnm._FilterDatabase" vbProcedure="false">'Whole Ship Sanity'!$A$1:$L$1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<sst xmlns="http://schemas.openxmlformats.org/spreadsheetml/2006/main" count="6604" uniqueCount="1205">
  <si>
    <t xml:space="preserve">Candidate TL1-TL9 Numerical Technology Matrix v0.1</t>
  </si>
  <si>
    <t xml:space="preserve">Post-CP108 whole-ladder candidate table. No balance calibration; TL1-TL3 prior values are evidence seeds, not locks.</t>
  </si>
  <si>
    <t xml:space="preserve">Primary/default progression is separated from branches/support so specialist unlocks do not silently become mandatory replacements.</t>
  </si>
  <si>
    <t xml:space="preserve">Every Storyboard beat is classified by player expression.</t>
  </si>
  <si>
    <t xml:space="preserve">CP108 related-research metadata remains non-gating; this numerical-matrix v0.1 adds sparse explicit hard prerequisites only where enabling science is causal.</t>
  </si>
  <si>
    <t xml:space="preserve">Causal/precognitive information remains Precursor-only.</t>
  </si>
  <si>
    <t xml:space="preserve">C# / Godot is the production game runtime; Python is permitted for simulation/testing/checkpoint validation, not required by the shipped game runtime.</t>
  </si>
  <si>
    <t xml:space="preserve">Starting shuttle = 1. Fuel working scale = 100 capacity / 2 per traversed hex / +1 EvM per turn. TL1 Ablative Armor = 1 Space.</t>
  </si>
  <si>
    <t xml:space="preserve">Use the Lineage Map for complete 214-beat detail and CP108 review rationale.</t>
  </si>
  <si>
    <t xml:space="preserve">Use Optional Components for gameplay-linked support candidates; TBD means no numerical value is promoted here.</t>
  </si>
  <si>
    <t xml:space="preserve">Hard-gated technologies unlock automatically once owning TL and all listed external prerequisites are complete; no second project or cost.</t>
  </si>
  <si>
    <t xml:space="preserve">Uneven jumps are intentional. Quiet TLs and family handoffs are allowed; no universal +stat-per-TL rule is used.</t>
  </si>
  <si>
    <t xml:space="preserve">All numbers in the added sheets are provisional candidate values pending later calibration/integration studies.</t>
  </si>
  <si>
    <t xml:space="preserve">Discipline</t>
  </si>
  <si>
    <t xml:space="preserve">TL</t>
  </si>
  <si>
    <t xml:space="preserve">Primary/default progression</t>
  </si>
  <si>
    <t xml:space="preserve">Branch/support/campaign unlocks</t>
  </si>
  <si>
    <t xml:space="preserve">Deferred/consolidated</t>
  </si>
  <si>
    <t xml:space="preserve">Hull</t>
  </si>
  <si>
    <t xml:space="preserve">Cruiser Structural Integration: Mature aerospace/composite cruiser construction</t>
  </si>
  <si>
    <t xml:space="preserve">Maintainability and Damage Control: Expert crew, distributed spares and diagnostic access
Habitation and Gravity Architecture: Spin/acceleration gravity and mature long-duration habitation</t>
  </si>
  <si>
    <t xml:space="preserve">—</t>
  </si>
  <si>
    <t xml:space="preserve">Cruiser Structural Integration: Distributed structural monitoring and modular service architecture</t>
  </si>
  <si>
    <t xml:space="preserve">Cruiser Structural Integration: Integrated cruiser architecture</t>
  </si>
  <si>
    <t xml:space="preserve">Maintainability and Damage Control: Predictive diagnostics and better service distribution</t>
  </si>
  <si>
    <t xml:space="preserve">Cruiser Structural Integration: Nanostructured load-bearing frame</t>
  </si>
  <si>
    <t xml:space="preserve">Maintainability and Damage Control: Remote repair robotics
Habitation and Gravity Architecture: Compact/stowable gravity habitats</t>
  </si>
  <si>
    <t xml:space="preserve">Cruiser Structural Integration: Atomically engineered structural composites</t>
  </si>
  <si>
    <t xml:space="preserve">Maintainability and Damage Control: Onboard fabrication-assisted repair</t>
  </si>
  <si>
    <t xml:space="preserve">Cruiser Structural Integration: Self-monitoring smart lattice</t>
  </si>
  <si>
    <t xml:space="preserve">Maintainability and Damage Control: Autonomous repair swarm
Habitation and Gravity Architecture: Generated local gravity</t>
  </si>
  <si>
    <t xml:space="preserve">Cruiser Structural Integration: Active load-distribution structure</t>
  </si>
  <si>
    <t xml:space="preserve">Maintainability and Damage Control: Self-healing structural materials</t>
  </si>
  <si>
    <t xml:space="preserve">Cruiser Structural Integration: Field-assisted structural support</t>
  </si>
  <si>
    <t xml:space="preserve">Maintainability and Damage Control: Programmable matter repair patches</t>
  </si>
  <si>
    <t xml:space="preserve">Habitation and Gravity Architecture: Inertial-comfort field</t>
  </si>
  <si>
    <t xml:space="preserve">Cruiser Structural Integration: Dynamic programmable cruiser architecture</t>
  </si>
  <si>
    <t xml:space="preserve">Maintainability and Damage Control: Autonomous reconstruction architecture</t>
  </si>
  <si>
    <t xml:space="preserve">Armor</t>
  </si>
  <si>
    <t xml:space="preserve">Passive Armor Materials: Advanced alloy/ceramic composite armor</t>
  </si>
  <si>
    <t xml:space="preserve">Armor Enhancement Branches: Ablative outer layer</t>
  </si>
  <si>
    <t xml:space="preserve">Passive Armor Materials: Toughened ceramic-composite laminate</t>
  </si>
  <si>
    <t xml:space="preserve">Passive Armor Materials: Protected layered composite</t>
  </si>
  <si>
    <t xml:space="preserve">Passive Armor Materials: Nanostructured armor matrix</t>
  </si>
  <si>
    <t xml:space="preserve">Armor Enhancement Branches: Thermal/radiation hardening package</t>
  </si>
  <si>
    <t xml:space="preserve">Passive Armor Materials: Gradient/diamondoid composite armor</t>
  </si>
  <si>
    <t xml:space="preserve">Armor Enhancement Branches: Powered reactive armor</t>
  </si>
  <si>
    <t xml:space="preserve">Passive Armor Materials: Self-healing smart laminate</t>
  </si>
  <si>
    <t xml:space="preserve">Armor Enhancement Branches: Adaptive reactive armor architecture</t>
  </si>
  <si>
    <t xml:space="preserve">Armor Enhancement Branches: Electromagnetic particle screen</t>
  </si>
  <si>
    <t xml:space="preserve">Armor Enhancement Branches: Field-assisted armor reinforcement</t>
  </si>
  <si>
    <t xml:space="preserve">Passive Armor Materials: Programmable matter armor</t>
  </si>
  <si>
    <t xml:space="preserve">Power</t>
  </si>
  <si>
    <t xml:space="preserve">Main Reactor Generation: Peak Fission</t>
  </si>
  <si>
    <t xml:space="preserve">Pulse Storage and Power Conditioning: High-density battery / pulse capacitor
Thermal Management and Energy Conversion: Heat pipes, coolant loops, radiators and phase-change reserves</t>
  </si>
  <si>
    <t xml:space="preserve">Main Reactor Generation: Early Practical Fusion</t>
  </si>
  <si>
    <t xml:space="preserve">Pulse Storage and Power Conditioning: Supercapacitor bank</t>
  </si>
  <si>
    <t xml:space="preserve">Main Reactor Generation: Mature Compact Fusion</t>
  </si>
  <si>
    <t xml:space="preserve">Thermal Management and Energy Conversion: High-temperature compact radiators</t>
  </si>
  <si>
    <t xml:space="preserve">Main Reactor Generation: High-Output Fusion</t>
  </si>
  <si>
    <t xml:space="preserve">Pulse Storage and Power Conditioning: Superconducting magnetic storage
Thermal Management and Energy Conversion: Droplet/mist radiator architecture</t>
  </si>
  <si>
    <t xml:space="preserve">Main Reactor Generation: Early Antimatter Reactor</t>
  </si>
  <si>
    <t xml:space="preserve">Late Fission Specialist Revival: Direct-conversion / advanced-containment fission specialist
Thermal Management and Energy Conversion: Retractable thermal suppression</t>
  </si>
  <si>
    <t xml:space="preserve">Main Reactor Generation: Mature Antimatter</t>
  </si>
  <si>
    <t xml:space="preserve">Pulse Storage and Power Conditioning: Molecular dielectric ultracapacitor
Thermal Management and Energy Conversion: Direct energy recovery / advanced heat pumping</t>
  </si>
  <si>
    <t xml:space="preserve">Main Reactor Generation: High-Output Antimatter</t>
  </si>
  <si>
    <t xml:space="preserve">Late Fission Specialist Revival: Pinnacle fission expedition/auxiliary reactor</t>
  </si>
  <si>
    <t xml:space="preserve">Main Reactor Generation: Fractional / Direct Matter-Conversion Reactor</t>
  </si>
  <si>
    <t xml:space="preserve">Pulse Storage and Power Conditioning: Field-energy reservoir
Thermal Management and Energy Conversion: Entropy-routing field</t>
  </si>
  <si>
    <t xml:space="preserve">Main Reactor Generation: Total Matter Conversion</t>
  </si>
  <si>
    <t xml:space="preserve">Propulsion</t>
  </si>
  <si>
    <t xml:space="preserve">Sublight Propulsion: High-power electric/plasma cruiser drive
Strategic FTL Drive: First-generation practical FTL</t>
  </si>
  <si>
    <t xml:space="preserve">Specialist Sublight Drives: Solar/nuclear electric endurance drive</t>
  </si>
  <si>
    <t xml:space="preserve">Sublight Propulsion: Pulsed high-energy plasma drive
Strategic FTL Drive: Stabilized FTL transit</t>
  </si>
  <si>
    <t xml:space="preserve">Specialist Sublight Drives: Nuclear thermal sprint drive</t>
  </si>
  <si>
    <t xml:space="preserve">Sublight Propulsion: Fusion-assisted torch / mature high-energy STL
Strategic FTL Drive: Integrated FTL navigation</t>
  </si>
  <si>
    <t xml:space="preserve">Sublight Propulsion: Mature fusion torch architecture
Strategic FTL Drive: High-throughput FTL field</t>
  </si>
  <si>
    <t xml:space="preserve">Specialist Sublight Drives: Fission pulse expedition drive
Transit Infrastructure and Natural/Artificial Routes: Mapped natural shortcuts / stable anomalies</t>
  </si>
  <si>
    <t xml:space="preserve">Sublight Propulsion: Antimatter-catalyzed fusion drive
Strategic FTL Drive: Adaptive transition geometry</t>
  </si>
  <si>
    <t xml:space="preserve">Sublight Propulsion: Antimatter plasma drive
Strategic FTL Drive: Deep-route FTL navigation</t>
  </si>
  <si>
    <t xml:space="preserve">Sublight Propulsion: Beam-core / ultra-high-energy propulsion
Strategic FTL Drive: Resilient high-energy FTL</t>
  </si>
  <si>
    <t xml:space="preserve">Transit Infrastructure and Natural/Artificial Routes: Player-built transit anchor</t>
  </si>
  <si>
    <t xml:space="preserve">Sublight Propulsion: Inertial-coupled drive
Strategic FTL Drive: Metric-transition FTL</t>
  </si>
  <si>
    <t xml:space="preserve">Sublight Propulsion: Gravitic/metric sublight drive
Strategic FTL Drive: Pinnacle topology-control FTL</t>
  </si>
  <si>
    <t xml:space="preserve">Transit Infrastructure and Natural/Artificial Routes: Limited player-built gate network</t>
  </si>
  <si>
    <t xml:space="preserve">Sensors / EW</t>
  </si>
  <si>
    <t xml:space="preserve">Sensor Suite: Integrated multimodal sensor suite
Electronic Countermeasures: Conventional noise/deception ECM
Electronic Counter-Countermeasures: Conventional filtering and emitter analysis</t>
  </si>
  <si>
    <t xml:space="preserve">Signature Management and Stealth: Passive low-observability design</t>
  </si>
  <si>
    <t xml:space="preserve">Sensor Suite: Improved discrimination resistance
Electronic Countermeasures: High-strength conventional ECM
Electronic Counter-Countermeasures: High-strength conventional ECCM</t>
  </si>
  <si>
    <t xml:space="preserve">Sensor Suite: Dual normal active modes
Electronic Countermeasures: Efficient full-strength ECM
Electronic Counter-Countermeasures: Efficient full-strength ECCM</t>
  </si>
  <si>
    <t xml:space="preserve">Signature Management and Stealth: Emission-controlled operating posture</t>
  </si>
  <si>
    <t xml:space="preserve">Sensor Suite: Multimodal fusion and cooperative apertures
Electronic Countermeasures: Digital deception / false-track synthesis
Electronic Counter-Countermeasures: Sensor-fusion anti-deception</t>
  </si>
  <si>
    <t xml:space="preserve">Sensor Suite: Low-probability active sensing / adaptive waveform suite
Electronic Countermeasures: Adaptive cognitive EW
Electronic Counter-Countermeasures: Adaptive classifier / signature memory</t>
  </si>
  <si>
    <t xml:space="preserve">Signature Management and Stealth: Thermal suppression window</t>
  </si>
  <si>
    <t xml:space="preserve">Sensor Suite: Quantum-limited / precision field sensors
Electronic Counter-Countermeasures: Cooperative track validation</t>
  </si>
  <si>
    <t xml:space="preserve">Electronic Countermeasures: Distributed cooperative EW</t>
  </si>
  <si>
    <t xml:space="preserve">Signature Management and Stealth: Active signature cancellation</t>
  </si>
  <si>
    <t xml:space="preserve">Sensor Suite: Integrated penetrating multimodal sensing</t>
  </si>
  <si>
    <t xml:space="preserve">Electronic Countermeasures: Emitter-targeted electronic attack
Electronic Counter-Countermeasures: Counter-emitter localization</t>
  </si>
  <si>
    <t xml:space="preserve">Sensor Suite: Spacetime/FTL-wake sensing
Electronic Countermeasures: Field/signature spoofing
Electronic Counter-Countermeasures: Exotic-channel correlation</t>
  </si>
  <si>
    <t xml:space="preserve">Signature Management and Stealth: Powered concealment field</t>
  </si>
  <si>
    <t xml:space="preserve">Sensor Suite: Pinnacle multi-domain inference suite
Electronic Countermeasures: Pinnacle adaptive cross-spectrum deception
Electronic Counter-Countermeasures: Pinnacle provenance-weighted track validation</t>
  </si>
  <si>
    <t xml:space="preserve">Computing / Fire Control</t>
  </si>
  <si>
    <t xml:space="preserve">Tactical Computer and Fire Control: Integrated electronic fire control</t>
  </si>
  <si>
    <t xml:space="preserve">Tactical Computer and Fire Control: Refined conventional fire control</t>
  </si>
  <si>
    <t xml:space="preserve">Tactical Computer and Fire Control: Mature integrated fire control / Evasive Compensation</t>
  </si>
  <si>
    <t xml:space="preserve">Autonomy, Networking and Digital Crew: Advanced ship automation</t>
  </si>
  <si>
    <t xml:space="preserve">Tactical Computer and Fire Control: Photonic/optical combat computing</t>
  </si>
  <si>
    <t xml:space="preserve">Tactical Computer and Fire Control: Adaptive AI battle manager</t>
  </si>
  <si>
    <t xml:space="preserve">Autonomy, Networking and Digital Crew: Autonomous specialist agents</t>
  </si>
  <si>
    <t xml:space="preserve">Tactical Computer and Fire Control: Distributed resilient combat cloud</t>
  </si>
  <si>
    <t xml:space="preserve">Tactical Computer and Fire Control: Quantum-assisted optimization</t>
  </si>
  <si>
    <t xml:space="preserve">Autonomy, Networking and Digital Crew: Distributed autonomous mission control</t>
  </si>
  <si>
    <t xml:space="preserve">Tactical Computer and Fire Control: Predictive battle-state synthesis</t>
  </si>
  <si>
    <t xml:space="preserve">Tactical Computer and Fire Control: Pinnacle self-verifying battle synthesis</t>
  </si>
  <si>
    <t xml:space="preserve">Autonomy, Networking and Digital Crew: Synthetic crew core</t>
  </si>
  <si>
    <t xml:space="preserve">Shields</t>
  </si>
  <si>
    <t xml:space="preserve">Defensive Field Generator: Baseline defensive field</t>
  </si>
  <si>
    <t xml:space="preserve">Shield Support and Specialist Fields: Shield Battery / Booster concepts</t>
  </si>
  <si>
    <t xml:space="preserve">Defensive Field Generator: Higher-capacity field</t>
  </si>
  <si>
    <t xml:space="preserve">Defensive Field Generator: Mature stabilized field generator</t>
  </si>
  <si>
    <t xml:space="preserve">Shield Support and Specialist Fields: Shield Hardener</t>
  </si>
  <si>
    <t xml:space="preserve">Defensive Field Generator: Segmented/adaptive field geometry</t>
  </si>
  <si>
    <t xml:space="preserve">Defensive Field Generator: Frequency/phase-tuned shielding</t>
  </si>
  <si>
    <t xml:space="preserve">Shield Support and Specialist Fields: Particle/charged-beam screen</t>
  </si>
  <si>
    <t xml:space="preserve">Defensive Field Generator: Predictive localized reinforcement</t>
  </si>
  <si>
    <t xml:space="preserve">Defensive Field Generator: Stand-off shear field</t>
  </si>
  <si>
    <t xml:space="preserve">Shield Support and Specialist Fields: Field stabilizer / anti-penetration tuner</t>
  </si>
  <si>
    <t xml:space="preserve">Defensive Field Generator: Metric barrier field</t>
  </si>
  <si>
    <t xml:space="preserve">Defensive Field Generator: Pinnacle adaptive barrier</t>
  </si>
  <si>
    <t xml:space="preserve">Projectile Weapons</t>
  </si>
  <si>
    <t xml:space="preserve">Kinetic Main Weapon: Mature electromagnetic mass driver
Kinetic Point Defense: Rapid-fire kinetic PDS</t>
  </si>
  <si>
    <t xml:space="preserve">Kinetic Ammunition and Projectile Packages: Conventional penetrator / fragmentation packages</t>
  </si>
  <si>
    <t xml:space="preserve">Kinetic Ammunition and Projectile Packages: Improved penetrator/projectile materials</t>
  </si>
  <si>
    <t xml:space="preserve">Kinetic Main Weapon: Power-efficient mature accelerator
Kinetic Point Defense: Mature local fire-control / effective-ammo PDS</t>
  </si>
  <si>
    <t xml:space="preserve">Kinetic Main Weapon: Superconducting coil/induction accelerator
Kinetic Point Defense: Guided intercept projectile PDS</t>
  </si>
  <si>
    <t xml:space="preserve">Kinetic Ammunition and Projectile Packages: Programmable smart projectile</t>
  </si>
  <si>
    <t xml:space="preserve">Kinetic Main Weapon: Helical / continuous-induction cannon branch
Kinetic Ammunition and Projectile Packages: Dense/graded penetrator package</t>
  </si>
  <si>
    <t xml:space="preserve">Kinetic Main Weapon: Smart hypervelocity mass driver</t>
  </si>
  <si>
    <t xml:space="preserve">Kinetic Ammunition and Projectile Packages: Micro-submunition/saturation package
Kinetic Point Defense: Distributed kinetic intercept grid</t>
  </si>
  <si>
    <t xml:space="preserve">Kinetic Main Weapon: Macron/dust accelerator branch</t>
  </si>
  <si>
    <t xml:space="preserve">Kinetic Main Weapon: Field-assisted mass accelerator</t>
  </si>
  <si>
    <t xml:space="preserve">Kinetic Ammunition and Projectile Packages: Exotic dense-matter projectile</t>
  </si>
  <si>
    <t xml:space="preserve">Kinetic Main Weapon: Relativistic kinetic lance</t>
  </si>
  <si>
    <t xml:space="preserve">Energy Weapons</t>
  </si>
  <si>
    <t xml:space="preserve">Coherent Beam Main Weapon: High-energy coherent laser
Energy / Beam Point Defense: Baseline beam point defense</t>
  </si>
  <si>
    <t xml:space="preserve">Coherent Beam Main Weapon: Improved optics and pulse conditioning
Energy / Beam Point Defense: Improved beam tracking and pulse control</t>
  </si>
  <si>
    <t xml:space="preserve">Coherent Beam Main Weapon: Safe high-output beam mode
Energy / Beam Point Defense: Efficient beam-PDS readiness</t>
  </si>
  <si>
    <t xml:space="preserve">Coherent Beam Main Weapon: Short-wavelength / advanced focusing beam
Energy / Beam Point Defense: Rapid-steering beam director</t>
  </si>
  <si>
    <t xml:space="preserve">Special Energy / Radiation Weapon Concepts: Microwave electronic-attack emitter</t>
  </si>
  <si>
    <t xml:space="preserve">Energy / Beam Point Defense: Multi-threat phased beam defense</t>
  </si>
  <si>
    <t xml:space="preserve">Coherent Beam Main Weapon: Tunable-spectrum / free-electron beam branch
Charged-Particle / Ion Beam Branch: Ion/charged-particle cannon</t>
  </si>
  <si>
    <t xml:space="preserve">Coherent Beam Main Weapon: Distributed/phased beam director
Energy / Beam Point Defense: Adaptive-spectrum interception</t>
  </si>
  <si>
    <t xml:space="preserve">Charged-Particle / Ion Beam Branch: Neutralized particle beam
Special Energy / Radiation Weapon Concepts: Plasma cannon</t>
  </si>
  <si>
    <t xml:space="preserve">Coherent Beam Main Weapon: Extreme-frequency beam branch
Charged-Particle / Ion Beam Branch: Adaptive particle species beam</t>
  </si>
  <si>
    <t xml:space="preserve">Special Energy / Radiation Weapon Concepts: Nuclear-pumped sacrificial laser
Special Energy / Radiation Weapon Concepts: Radiation-disruption weapon</t>
  </si>
  <si>
    <t xml:space="preserve">Coherent Beam Main Weapon: Field-guided coherent lance</t>
  </si>
  <si>
    <t xml:space="preserve">Energy / Beam Point Defense: Field-guided defensive lattice
Charged-Particle / Ion Beam Branch: Relativistic particle lance
Special Energy / Radiation Weapon Concepts: Matter-bond disruptor</t>
  </si>
  <si>
    <t xml:space="preserve">Coherent Beam Main Weapon: Pinnacle coherent-energy lance</t>
  </si>
  <si>
    <t xml:space="preserve">Missile Weapons</t>
  </si>
  <si>
    <t xml:space="preserve">Missile Launcher, Flight and Propulsion: Command-guided missile flight
Missile Guidance, Seeker and Counter-Countermeasures: Ship-command guidance / datalink
Local AMM PDS and Extended Interceptor Defense: Baseline local AMM point defense</t>
  </si>
  <si>
    <t xml:space="preserve">Missile Warhead Families: Kinetic/explosive conventional warhead</t>
  </si>
  <si>
    <t xml:space="preserve">Missile Launcher, Flight and Propulsion: Improved propulsion/endurance package
Local AMM PDS and Extended Interceptor Defense: Improved local AMM guidance</t>
  </si>
  <si>
    <t xml:space="preserve">Local AMM PDS and Extended Interceptor Defense: Extended-range AMM layer</t>
  </si>
  <si>
    <t xml:space="preserve">Missile Launcher, Flight and Propulsion: Autonomous navigation-enabled missile
Missile Guidance, Seeker and Counter-Countermeasures: Onboard navigation and local reacquisition
Local AMM PDS and Extended Interceptor Defense: Mature AMM readiness</t>
  </si>
  <si>
    <t xml:space="preserve">Missile Warhead Families: Shaped/advanced penetrator warhead</t>
  </si>
  <si>
    <t xml:space="preserve">Missile Launcher, Flight and Propulsion: Terminal maneuver / multi-stage propulsion
Missile Guidance, Seeker and Counter-Countermeasures: Multi-mode terminal seeker</t>
  </si>
  <si>
    <t xml:space="preserve">Missile Warhead Families: Nuclear shaped-charge / directed-energy warhead</t>
  </si>
  <si>
    <t xml:space="preserve">Missile Guidance, Seeker and Counter-Countermeasures: Cooperative seeker network
Local AMM PDS and Extended Interceptor Defense: Cooperative AMM screen</t>
  </si>
  <si>
    <t xml:space="preserve">Missile Launcher, Flight and Propulsion: Cooperative swarm/bus architecture
Missile Warhead Families: Fusion microcharge warhead</t>
  </si>
  <si>
    <t xml:space="preserve">Missile Launcher, Flight and Propulsion: High-energy fusion sprint missile
Missile Guidance, Seeker and Counter-Countermeasures: Adaptive anti-jam seeker</t>
  </si>
  <si>
    <t xml:space="preserve">Missile Warhead Families: Radiation/electronics-disruption warhead</t>
  </si>
  <si>
    <t xml:space="preserve">Missile Launcher, Flight and Propulsion: Antimatter-catalyzed missile drive
Missile Guidance, Seeker and Counter-Countermeasures: Anti-emitter seeker mode
Local AMM PDS and Extended Interceptor Defense: Hit-to-kill / extreme-sprint AMM</t>
  </si>
  <si>
    <t xml:space="preserve">Missile Warhead Families: Antimatter-catalyzed / antimatter warhead</t>
  </si>
  <si>
    <t xml:space="preserve">Missile Guidance, Seeker and Counter-Countermeasures: Exotic-field seeker</t>
  </si>
  <si>
    <t xml:space="preserve">Missile Launcher, Flight and Propulsion: Field-assisted terminal maneuver package</t>
  </si>
  <si>
    <t xml:space="preserve">Missile Launcher, Flight and Propulsion: Integrated field-coupled strike vehicle</t>
  </si>
  <si>
    <t xml:space="preserve">Missile Warhead Families: Matter-conversion warhead</t>
  </si>
  <si>
    <t xml:space="preserve">Lineage</t>
  </si>
  <si>
    <t xml:space="preserve">Technology</t>
  </si>
  <si>
    <t xml:space="preserve">Status</t>
  </si>
  <si>
    <t xml:space="preserve">Role</t>
  </si>
  <si>
    <t xml:space="preserve">Player expression</t>
  </si>
  <si>
    <t xml:space="preserve">Disposition</t>
  </si>
  <si>
    <t xml:space="preserve">Primary lineage</t>
  </si>
  <si>
    <t xml:space="preserve">Related research</t>
  </si>
  <si>
    <t xml:space="preserve">Hard prerequisites</t>
  </si>
  <si>
    <t xml:space="preserve">Review disposition</t>
  </si>
  <si>
    <t xml:space="preserve">Review rationale</t>
  </si>
  <si>
    <t xml:space="preserve">Cruiser Structural Integration</t>
  </si>
  <si>
    <t xml:space="preserve">Mature aerospace/composite cruiser construction</t>
  </si>
  <si>
    <t xml:space="preserve">base</t>
  </si>
  <si>
    <t xml:space="preserve">core_family</t>
  </si>
  <si>
    <t xml:space="preserve">automatic_architecture</t>
  </si>
  <si>
    <t xml:space="preserve">provisional_standard_progression</t>
  </si>
  <si>
    <t xml:space="preserve">Yes</t>
  </si>
  <si>
    <t xml:space="preserve">Armor; Computing / Fire Control</t>
  </si>
  <si>
    <t xml:space="preserve">retained</t>
  </si>
  <si>
    <t xml:space="preserve">Distributed structural monitoring and modular service architecture</t>
  </si>
  <si>
    <t xml:space="preserve">candidate</t>
  </si>
  <si>
    <t xml:space="preserve">maturation</t>
  </si>
  <si>
    <t xml:space="preserve">Integrated cruiser architecture</t>
  </si>
  <si>
    <t xml:space="preserve">existing</t>
  </si>
  <si>
    <t xml:space="preserve">Power; Propulsion</t>
  </si>
  <si>
    <t xml:space="preserve">Nanostructured load-bearing frame</t>
  </si>
  <si>
    <t xml:space="preserve">cross_pollinated_derivative</t>
  </si>
  <si>
    <t xml:space="preserve">Atomically engineered structural composites</t>
  </si>
  <si>
    <t xml:space="preserve">Armor; Power</t>
  </si>
  <si>
    <t xml:space="preserve">Self-monitoring smart lattice</t>
  </si>
  <si>
    <t xml:space="preserve">Computing / Fire Control; Armor</t>
  </si>
  <si>
    <t xml:space="preserve">Active load-distribution structure</t>
  </si>
  <si>
    <t xml:space="preserve">Field-assisted structural support</t>
  </si>
  <si>
    <t xml:space="preserve">weird_science</t>
  </si>
  <si>
    <t xml:space="preserve">Shields; Propulsion</t>
  </si>
  <si>
    <t xml:space="preserve">Dynamic programmable cruiser architecture</t>
  </si>
  <si>
    <t xml:space="preserve">Maintainability and Damage Control</t>
  </si>
  <si>
    <t xml:space="preserve">Expert crew, distributed spares and diagnostic access</t>
  </si>
  <si>
    <t xml:space="preserve">automatic_capability</t>
  </si>
  <si>
    <t xml:space="preserve">No</t>
  </si>
  <si>
    <t xml:space="preserve">Predictive diagnostics and better service distribution</t>
  </si>
  <si>
    <t xml:space="preserve">Remote repair robotics</t>
  </si>
  <si>
    <t xml:space="preserve">optional_component</t>
  </si>
  <si>
    <t xml:space="preserve">provisional_optional_component</t>
  </si>
  <si>
    <t xml:space="preserve">Onboard fabrication-assisted repair</t>
  </si>
  <si>
    <t xml:space="preserve">specialist_auxiliary</t>
  </si>
  <si>
    <t xml:space="preserve">Autonomous repair swarm</t>
  </si>
  <si>
    <t xml:space="preserve">Computing / Fire Control; Power</t>
  </si>
  <si>
    <t xml:space="preserve">Self-healing structural materials</t>
  </si>
  <si>
    <t xml:space="preserve">Programmable matter repair patches</t>
  </si>
  <si>
    <t xml:space="preserve">Autonomous reconstruction architecture</t>
  </si>
  <si>
    <t xml:space="preserve">Power; Computing / Fire Control</t>
  </si>
  <si>
    <t xml:space="preserve">Habitation and Gravity Architecture</t>
  </si>
  <si>
    <t xml:space="preserve">Spin/acceleration gravity and mature long-duration habitation</t>
  </si>
  <si>
    <t xml:space="preserve">branch</t>
  </si>
  <si>
    <t xml:space="preserve">supporting_research</t>
  </si>
  <si>
    <t xml:space="preserve">supporting_research_no_standalone_item</t>
  </si>
  <si>
    <t xml:space="preserve">Compact/stowable gravity habitats</t>
  </si>
  <si>
    <t xml:space="preserve">Generated local gravity</t>
  </si>
  <si>
    <t xml:space="preserve">Inertial-comfort field</t>
  </si>
  <si>
    <t xml:space="preserve">deferred</t>
  </si>
  <si>
    <t xml:space="preserve">deferred_concept</t>
  </si>
  <si>
    <t xml:space="preserve">deferred_preserved_not_adopted</t>
  </si>
  <si>
    <t xml:space="preserve">Propulsion; Shields</t>
  </si>
  <si>
    <t xml:space="preserve">retained_deferred</t>
  </si>
  <si>
    <t xml:space="preserve">Passive Armor Materials</t>
  </si>
  <si>
    <t xml:space="preserve">Advanced alloy/ceramic composite armor</t>
  </si>
  <si>
    <t xml:space="preserve">Toughened ceramic-composite laminate</t>
  </si>
  <si>
    <t xml:space="preserve">Protected layered composite</t>
  </si>
  <si>
    <t xml:space="preserve">Nanostructured armor matrix</t>
  </si>
  <si>
    <t xml:space="preserve">Gradient/diamondoid composite armor</t>
  </si>
  <si>
    <t xml:space="preserve">Self-healing smart laminate</t>
  </si>
  <si>
    <t xml:space="preserve">Hull; Computing / Fire Control</t>
  </si>
  <si>
    <t xml:space="preserve">Programmable matter armor</t>
  </si>
  <si>
    <t xml:space="preserve">Hull; Power</t>
  </si>
  <si>
    <t xml:space="preserve">Armor Enhancement Branches</t>
  </si>
  <si>
    <t xml:space="preserve">Ablative outer layer</t>
  </si>
  <si>
    <t xml:space="preserve">Thermal/radiation hardening package</t>
  </si>
  <si>
    <t xml:space="preserve">Powered reactive armor</t>
  </si>
  <si>
    <t xml:space="preserve">Adaptive reactive armor architecture</t>
  </si>
  <si>
    <t xml:space="preserve">revised</t>
  </si>
  <si>
    <t xml:space="preserve">Moved from passive Armor because a powered/reactive system is a specialist enhancement, not passive primary armor.</t>
  </si>
  <si>
    <t xml:space="preserve">Electromagnetic particle screen</t>
  </si>
  <si>
    <t xml:space="preserve">consolidated_duplicate_not_adopted</t>
  </si>
  <si>
    <t xml:space="preserve">Power; Shields</t>
  </si>
  <si>
    <t xml:space="preserve">Consolidated with Shield Support to avoid duplicate charged-particle defenses in two disciplines.</t>
  </si>
  <si>
    <t xml:space="preserve">Field-assisted armor reinforcement</t>
  </si>
  <si>
    <t xml:space="preserve">Shields; Power</t>
  </si>
  <si>
    <t xml:space="preserve">Moved from passive Armor because the field layer is powered specialist protection; primary passive armor remains unpowered.</t>
  </si>
  <si>
    <t xml:space="preserve">Main Reactor Generation</t>
  </si>
  <si>
    <t xml:space="preserve">Peak Fission</t>
  </si>
  <si>
    <t xml:space="preserve">installed_component</t>
  </si>
  <si>
    <t xml:space="preserve">Early Practical Fusion</t>
  </si>
  <si>
    <t xml:space="preserve">Mature Compact Fusion</t>
  </si>
  <si>
    <t xml:space="preserve">High-Output Fusion</t>
  </si>
  <si>
    <t xml:space="preserve">Early Antimatter Reactor</t>
  </si>
  <si>
    <t xml:space="preserve">Hull; Armor</t>
  </si>
  <si>
    <t xml:space="preserve">Renamed so the component name describes the new reactor principle; legacy Peak Fusion coexistence remains a catalog/story rule.</t>
  </si>
  <si>
    <t xml:space="preserve">Mature Antimatter</t>
  </si>
  <si>
    <t xml:space="preserve">High-Output Antimatter</t>
  </si>
  <si>
    <t xml:space="preserve">Fractional / Direct Matter-Conversion Reactor</t>
  </si>
  <si>
    <t xml:space="preserve">Renamed so legacy Peak Antimatter coexistence is not mistaken for one hybrid reactor component.</t>
  </si>
  <si>
    <t xml:space="preserve">Total Matter Conversion</t>
  </si>
  <si>
    <t xml:space="preserve">Late Fission Specialist Revival</t>
  </si>
  <si>
    <t xml:space="preserve">Direct-conversion / advanced-containment fission specialist</t>
  </si>
  <si>
    <t xml:space="preserve">legacy_revival</t>
  </si>
  <si>
    <t xml:space="preserve">provisional_branch_or_specialist</t>
  </si>
  <si>
    <t xml:space="preserve">Armor; Hull</t>
  </si>
  <si>
    <t xml:space="preserve">Pinnacle fission expedition/auxiliary reactor</t>
  </si>
  <si>
    <t xml:space="preserve">Pulse Storage and Power Conditioning</t>
  </si>
  <si>
    <t xml:space="preserve">High-density battery / pulse capacitor</t>
  </si>
  <si>
    <t xml:space="preserve">Supercapacitor bank</t>
  </si>
  <si>
    <t xml:space="preserve">Superconducting magnetic storage</t>
  </si>
  <si>
    <t xml:space="preserve">Molecular dielectric ultracapacitor</t>
  </si>
  <si>
    <t xml:space="preserve">Field-energy reservoir</t>
  </si>
  <si>
    <t xml:space="preserve">Thermal Management and Energy Conversion</t>
  </si>
  <si>
    <t xml:space="preserve">Heat pipes, coolant loops, radiators and phase-change reserves</t>
  </si>
  <si>
    <t xml:space="preserve">High-temperature compact radiators</t>
  </si>
  <si>
    <t xml:space="preserve">Droplet/mist radiator architecture</t>
  </si>
  <si>
    <t xml:space="preserve">Retractable thermal suppression</t>
  </si>
  <si>
    <t xml:space="preserve">operating_capability</t>
  </si>
  <si>
    <t xml:space="preserve">Direct energy recovery / advanced heat pumping</t>
  </si>
  <si>
    <t xml:space="preserve">Entropy-routing field</t>
  </si>
  <si>
    <t xml:space="preserve">Sublight Propulsion</t>
  </si>
  <si>
    <t xml:space="preserve">High-power electric/plasma cruiser drive</t>
  </si>
  <si>
    <t xml:space="preserve">Pulsed high-energy plasma drive</t>
  </si>
  <si>
    <t xml:space="preserve">Fusion-assisted torch / mature high-energy STL</t>
  </si>
  <si>
    <t xml:space="preserve">Mature fusion torch architecture</t>
  </si>
  <si>
    <t xml:space="preserve">Antimatter-catalyzed fusion drive</t>
  </si>
  <si>
    <t xml:space="preserve">Antimatter plasma drive</t>
  </si>
  <si>
    <t xml:space="preserve">Beam-core / ultra-high-energy propulsion</t>
  </si>
  <si>
    <t xml:space="preserve">Inertial-coupled drive</t>
  </si>
  <si>
    <t xml:space="preserve">Hull; Shields</t>
  </si>
  <si>
    <t xml:space="preserve">Gravitic/metric sublight drive</t>
  </si>
  <si>
    <t xml:space="preserve">Specialist Sublight Drives</t>
  </si>
  <si>
    <t xml:space="preserve">Solar/nuclear electric endurance drive</t>
  </si>
  <si>
    <t xml:space="preserve">Nuclear thermal sprint drive</t>
  </si>
  <si>
    <t xml:space="preserve">Fission pulse expedition drive</t>
  </si>
  <si>
    <t xml:space="preserve">Strategic FTL Drive</t>
  </si>
  <si>
    <t xml:space="preserve">First-generation practical FTL</t>
  </si>
  <si>
    <t xml:space="preserve">Stabilized FTL transit</t>
  </si>
  <si>
    <t xml:space="preserve">Integrated FTL navigation</t>
  </si>
  <si>
    <t xml:space="preserve">High-throughput FTL field</t>
  </si>
  <si>
    <t xml:space="preserve">Adaptive transition geometry</t>
  </si>
  <si>
    <t xml:space="preserve">Deep-route FTL navigation</t>
  </si>
  <si>
    <t xml:space="preserve">Sensors / EW; Computing / Fire Control</t>
  </si>
  <si>
    <t xml:space="preserve">Resilient high-energy FTL</t>
  </si>
  <si>
    <t xml:space="preserve">Metric-transition FTL</t>
  </si>
  <si>
    <t xml:space="preserve">Power; Sensors / EW</t>
  </si>
  <si>
    <t xml:space="preserve">Pinnacle topology-control FTL</t>
  </si>
  <si>
    <t xml:space="preserve">Transit Infrastructure and Natural/Artificial Routes</t>
  </si>
  <si>
    <t xml:space="preserve">Mapped natural shortcuts / stable anomalies</t>
  </si>
  <si>
    <t xml:space="preserve">campaign_technology</t>
  </si>
  <si>
    <t xml:space="preserve">infrastructure</t>
  </si>
  <si>
    <t xml:space="preserve">provisional_campaign_infrastructure</t>
  </si>
  <si>
    <t xml:space="preserve">Player-built transit anchor</t>
  </si>
  <si>
    <t xml:space="preserve">Power; Hull</t>
  </si>
  <si>
    <t xml:space="preserve">Limited player-built gate network</t>
  </si>
  <si>
    <t xml:space="preserve">Precursor gate / one-way conduit / impossible shortcut</t>
  </si>
  <si>
    <t xml:space="preserve">exotic</t>
  </si>
  <si>
    <t xml:space="preserve">precursor_artifact</t>
  </si>
  <si>
    <t xml:space="preserve">precursor_exception</t>
  </si>
  <si>
    <t xml:space="preserve">exotic_precursor_not_normal_player_table</t>
  </si>
  <si>
    <t xml:space="preserve">retained_precursor_exception</t>
  </si>
  <si>
    <t xml:space="preserve">Sensor Suite</t>
  </si>
  <si>
    <t xml:space="preserve">Integrated multimodal sensor suite</t>
  </si>
  <si>
    <t xml:space="preserve">Improved discrimination resistance</t>
  </si>
  <si>
    <t xml:space="preserve">Dual normal active modes</t>
  </si>
  <si>
    <t xml:space="preserve">operating_mode</t>
  </si>
  <si>
    <t xml:space="preserve">provisional_operating_capability</t>
  </si>
  <si>
    <t xml:space="preserve">Multimodal fusion and cooperative apertures</t>
  </si>
  <si>
    <t xml:space="preserve">Low-probability active sensing / adaptive waveform suite</t>
  </si>
  <si>
    <t xml:space="preserve">Quantum-limited / precision field sensors</t>
  </si>
  <si>
    <t xml:space="preserve">Integrated penetrating multimodal sensing</t>
  </si>
  <si>
    <t xml:space="preserve">Reframed as integrated sensor maturation rather than a narrow mandatory particle/gravity branch.</t>
  </si>
  <si>
    <t xml:space="preserve">Spacetime/FTL-wake sensing</t>
  </si>
  <si>
    <t xml:space="preserve">Pinnacle multi-domain inference suite</t>
  </si>
  <si>
    <t xml:space="preserve">Replaced deferred causal wording with a bounded normal-player TL9 endpoint consistent with observer-safe information.</t>
  </si>
  <si>
    <t xml:space="preserve">Electronic Countermeasures</t>
  </si>
  <si>
    <t xml:space="preserve">Conventional noise/deception ECM</t>
  </si>
  <si>
    <t xml:space="preserve">High-strength conventional ECM</t>
  </si>
  <si>
    <t xml:space="preserve">Efficient full-strength ECM</t>
  </si>
  <si>
    <t xml:space="preserve">Digital deception / false-track synthesis</t>
  </si>
  <si>
    <t xml:space="preserve">Adaptive cognitive EW</t>
  </si>
  <si>
    <t xml:space="preserve">Distributed cooperative EW</t>
  </si>
  <si>
    <t xml:space="preserve">Emitter-targeted electronic attack</t>
  </si>
  <si>
    <t xml:space="preserve">one_off</t>
  </si>
  <si>
    <t xml:space="preserve">Field/signature spoofing</t>
  </si>
  <si>
    <t xml:space="preserve">Pinnacle adaptive cross-spectrum deception</t>
  </si>
  <si>
    <t xml:space="preserve">Promoted a bounded, counterable normal-player TL9 endpoint without perfect concealment.</t>
  </si>
  <si>
    <t xml:space="preserve">Electronic Counter-Countermeasures</t>
  </si>
  <si>
    <t xml:space="preserve">Conventional filtering and emitter analysis</t>
  </si>
  <si>
    <t xml:space="preserve">High-strength conventional ECCM</t>
  </si>
  <si>
    <t xml:space="preserve">Efficient full-strength ECCM</t>
  </si>
  <si>
    <t xml:space="preserve">Sensor-fusion anti-deception</t>
  </si>
  <si>
    <t xml:space="preserve">Adaptive classifier / signature memory</t>
  </si>
  <si>
    <t xml:space="preserve">Cooperative track validation</t>
  </si>
  <si>
    <t xml:space="preserve">Counter-emitter localization</t>
  </si>
  <si>
    <t xml:space="preserve">Exotic-channel correlation</t>
  </si>
  <si>
    <t xml:space="preserve">Pinnacle provenance-weighted track validation</t>
  </si>
  <si>
    <t xml:space="preserve">Promoted a bounded normal-player TL9 endpoint without a truth oracle.</t>
  </si>
  <si>
    <t xml:space="preserve">Signature Management and Stealth</t>
  </si>
  <si>
    <t xml:space="preserve">Passive low-observability design</t>
  </si>
  <si>
    <t xml:space="preserve">Emission-controlled operating posture</t>
  </si>
  <si>
    <t xml:space="preserve">Thermal suppression window</t>
  </si>
  <si>
    <t xml:space="preserve">Active signature cancellation</t>
  </si>
  <si>
    <t xml:space="preserve">Powered concealment field</t>
  </si>
  <si>
    <t xml:space="preserve">Precursor phase cloak</t>
  </si>
  <si>
    <t xml:space="preserve">Tactical Computer and Fire Control</t>
  </si>
  <si>
    <t xml:space="preserve">Integrated electronic fire control</t>
  </si>
  <si>
    <t xml:space="preserve">Refined conventional fire control</t>
  </si>
  <si>
    <t xml:space="preserve">Mature integrated fire control / Evasive Compensation</t>
  </si>
  <si>
    <t xml:space="preserve">Photonic/optical combat computing</t>
  </si>
  <si>
    <t xml:space="preserve">Adaptive AI battle manager</t>
  </si>
  <si>
    <t xml:space="preserve">Distributed resilient combat cloud</t>
  </si>
  <si>
    <t xml:space="preserve">Quantum-assisted optimization</t>
  </si>
  <si>
    <t xml:space="preserve">Predictive battle-state synthesis</t>
  </si>
  <si>
    <t xml:space="preserve">Pinnacle self-verifying battle synthesis</t>
  </si>
  <si>
    <t xml:space="preserve">Removed causal/precognitive implication while preserving a meaningful computing pinnacle.</t>
  </si>
  <si>
    <t xml:space="preserve">Autonomy, Networking and Digital Crew</t>
  </si>
  <si>
    <t xml:space="preserve">Advanced ship automation</t>
  </si>
  <si>
    <t xml:space="preserve">Autonomous specialist agents</t>
  </si>
  <si>
    <t xml:space="preserve">Hull; Sensors / EW</t>
  </si>
  <si>
    <t xml:space="preserve">Distributed autonomous mission control</t>
  </si>
  <si>
    <t xml:space="preserve">campaign_capability</t>
  </si>
  <si>
    <t xml:space="preserve">provisional_campaign_capability</t>
  </si>
  <si>
    <t xml:space="preserve">Synthetic crew core</t>
  </si>
  <si>
    <t xml:space="preserve">Defensive Field Generator</t>
  </si>
  <si>
    <t xml:space="preserve">Baseline defensive field</t>
  </si>
  <si>
    <t xml:space="preserve">Higher-capacity field</t>
  </si>
  <si>
    <t xml:space="preserve">Mature stabilized field generator</t>
  </si>
  <si>
    <t xml:space="preserve">Separated primary generator maturation from the optional Shield Hardener support component.</t>
  </si>
  <si>
    <t xml:space="preserve">Segmented/adaptive field geometry</t>
  </si>
  <si>
    <t xml:space="preserve">Frequency/phase-tuned shielding</t>
  </si>
  <si>
    <t xml:space="preserve">Predictive localized reinforcement</t>
  </si>
  <si>
    <t xml:space="preserve">Stand-off shear field</t>
  </si>
  <si>
    <t xml:space="preserve">Metric barrier field</t>
  </si>
  <si>
    <t xml:space="preserve">Pinnacle adaptive barrier</t>
  </si>
  <si>
    <t xml:space="preserve">Shield Support and Specialist Fields</t>
  </si>
  <si>
    <t xml:space="preserve">Shield Battery / Booster concepts</t>
  </si>
  <si>
    <t xml:space="preserve">Shield Hardener</t>
  </si>
  <si>
    <t xml:space="preserve">Particle/charged-beam screen</t>
  </si>
  <si>
    <t xml:space="preserve">Field stabilizer / anti-penetration tuner</t>
  </si>
  <si>
    <t xml:space="preserve">Precursor stasis/phase barrier</t>
  </si>
  <si>
    <t xml:space="preserve">Kinetic Main Weapon</t>
  </si>
  <si>
    <t xml:space="preserve">Mature electromagnetic mass driver</t>
  </si>
  <si>
    <t xml:space="preserve">Power-efficient mature accelerator</t>
  </si>
  <si>
    <t xml:space="preserve">Superconducting coil/induction accelerator</t>
  </si>
  <si>
    <t xml:space="preserve">Power; Armor</t>
  </si>
  <si>
    <t xml:space="preserve">Helical / continuous-induction cannon branch</t>
  </si>
  <si>
    <t xml:space="preserve">Made branch status explicit so it does not silently replace the standard mass-driver family.</t>
  </si>
  <si>
    <t xml:space="preserve">Smart hypervelocity mass driver</t>
  </si>
  <si>
    <t xml:space="preserve">Macron/dust accelerator branch</t>
  </si>
  <si>
    <t xml:space="preserve">Field-assisted mass accelerator</t>
  </si>
  <si>
    <t xml:space="preserve">Relativistic kinetic lance</t>
  </si>
  <si>
    <t xml:space="preserve">Kinetic Ammunition and Projectile Packages</t>
  </si>
  <si>
    <t xml:space="preserve">Conventional penetrator / fragmentation packages</t>
  </si>
  <si>
    <t xml:space="preserve">payload_variant</t>
  </si>
  <si>
    <t xml:space="preserve">provisional_variant_or_payload</t>
  </si>
  <si>
    <t xml:space="preserve">Improved penetrator/projectile materials</t>
  </si>
  <si>
    <t xml:space="preserve">Moved from launcher progression to ammunition progression; launcher may be quiet at TL2.</t>
  </si>
  <si>
    <t xml:space="preserve">Programmable smart projectile</t>
  </si>
  <si>
    <t xml:space="preserve">Dense/graded penetrator package</t>
  </si>
  <si>
    <t xml:space="preserve">Micro-submunition/saturation package</t>
  </si>
  <si>
    <t xml:space="preserve">Exotic dense-matter projectile</t>
  </si>
  <si>
    <t xml:space="preserve">Kinetic Point Defense</t>
  </si>
  <si>
    <t xml:space="preserve">Rapid-fire kinetic PDS</t>
  </si>
  <si>
    <t xml:space="preserve">Mature local fire-control / effective-ammo PDS</t>
  </si>
  <si>
    <t xml:space="preserve">Guided intercept projectile PDS</t>
  </si>
  <si>
    <t xml:space="preserve">Distributed kinetic intercept grid</t>
  </si>
  <si>
    <t xml:space="preserve">Coherent Beam Main Weapon</t>
  </si>
  <si>
    <t xml:space="preserve">High-energy coherent laser</t>
  </si>
  <si>
    <t xml:space="preserve">Improved optics and pulse conditioning</t>
  </si>
  <si>
    <t xml:space="preserve">Safe high-output beam mode</t>
  </si>
  <si>
    <t xml:space="preserve">Short-wavelength / advanced focusing beam</t>
  </si>
  <si>
    <t xml:space="preserve">Tunable-spectrum / free-electron beam branch</t>
  </si>
  <si>
    <t xml:space="preserve">Made branch status explicit rather than implying automatic replacement.</t>
  </si>
  <si>
    <t xml:space="preserve">Distributed/phased beam director</t>
  </si>
  <si>
    <t xml:space="preserve">Extreme-frequency beam branch</t>
  </si>
  <si>
    <t xml:space="preserve">Field-guided coherent lance</t>
  </si>
  <si>
    <t xml:space="preserve">Pinnacle coherent-energy lance</t>
  </si>
  <si>
    <t xml:space="preserve">Renamed to keep the weapon in the beam family; matter-conversion-era power does not imply matter-conversion damage.</t>
  </si>
  <si>
    <t xml:space="preserve">Energy / Beam Point Defense</t>
  </si>
  <si>
    <t xml:space="preserve">Baseline beam point defense</t>
  </si>
  <si>
    <t xml:space="preserve">Improved beam tracking and pulse control</t>
  </si>
  <si>
    <t xml:space="preserve">Efficient beam-PDS readiness</t>
  </si>
  <si>
    <t xml:space="preserve">Rapid-steering beam director</t>
  </si>
  <si>
    <t xml:space="preserve">Multi-threat phased beam defense</t>
  </si>
  <si>
    <t xml:space="preserve">Adaptive-spectrum interception</t>
  </si>
  <si>
    <t xml:space="preserve">Field-guided defensive lattice</t>
  </si>
  <si>
    <t xml:space="preserve">Charged-Particle / Ion Beam Branch</t>
  </si>
  <si>
    <t xml:space="preserve">Ion/charged-particle cannon</t>
  </si>
  <si>
    <t xml:space="preserve">Neutralized particle beam</t>
  </si>
  <si>
    <t xml:space="preserve">Adaptive particle species beam</t>
  </si>
  <si>
    <t xml:space="preserve">Relativistic particle lance</t>
  </si>
  <si>
    <t xml:space="preserve">Special Energy / Radiation Weapon Concepts</t>
  </si>
  <si>
    <t xml:space="preserve">Microwave electronic-attack emitter</t>
  </si>
  <si>
    <t xml:space="preserve">Plasma cannon</t>
  </si>
  <si>
    <t xml:space="preserve">Nuclear-pumped sacrificial laser</t>
  </si>
  <si>
    <t xml:space="preserve">Radiation-disruption weapon</t>
  </si>
  <si>
    <t xml:space="preserve">Matter-bond disruptor</t>
  </si>
  <si>
    <t xml:space="preserve">Singularity/black-hole gun</t>
  </si>
  <si>
    <t xml:space="preserve">Missile Launcher, Flight and Propulsion</t>
  </si>
  <si>
    <t xml:space="preserve">Command-guided missile flight</t>
  </si>
  <si>
    <t xml:space="preserve">Improved propulsion/endurance package</t>
  </si>
  <si>
    <t xml:space="preserve">Autonomous navigation-enabled missile</t>
  </si>
  <si>
    <t xml:space="preserve">Terminal maneuver / multi-stage propulsion</t>
  </si>
  <si>
    <t xml:space="preserve">Cooperative swarm/bus architecture</t>
  </si>
  <si>
    <t xml:space="preserve">High-energy fusion sprint missile</t>
  </si>
  <si>
    <t xml:space="preserve">Antimatter-catalyzed missile drive</t>
  </si>
  <si>
    <t xml:space="preserve">Field-assisted terminal maneuver package</t>
  </si>
  <si>
    <t xml:space="preserve">Promoted as a bounded optional branch with explicit interception/track guardrails.</t>
  </si>
  <si>
    <t xml:space="preserve">Integrated field-coupled strike vehicle</t>
  </si>
  <si>
    <t xml:space="preserve">Provides a meaningful normal-player TL9 missile endpoint without micro-jump bypass of geometry or PDS.</t>
  </si>
  <si>
    <t xml:space="preserve">Missile Guidance, Seeker and Counter-Countermeasures</t>
  </si>
  <si>
    <t xml:space="preserve">Ship-command guidance / datalink</t>
  </si>
  <si>
    <t xml:space="preserve">Onboard navigation and local reacquisition</t>
  </si>
  <si>
    <t xml:space="preserve">Multi-mode terminal seeker</t>
  </si>
  <si>
    <t xml:space="preserve">Cooperative seeker network</t>
  </si>
  <si>
    <t xml:space="preserve">Adaptive anti-jam seeker</t>
  </si>
  <si>
    <t xml:space="preserve">Anti-emitter seeker mode</t>
  </si>
  <si>
    <t xml:space="preserve">Exotic-field seeker</t>
  </si>
  <si>
    <t xml:space="preserve">Missile Warhead Families</t>
  </si>
  <si>
    <t xml:space="preserve">Kinetic/explosive conventional warhead</t>
  </si>
  <si>
    <t xml:space="preserve">Shaped/advanced penetrator warhead</t>
  </si>
  <si>
    <t xml:space="preserve">Nuclear shaped-charge / directed-energy warhead</t>
  </si>
  <si>
    <t xml:space="preserve">Fusion microcharge warhead</t>
  </si>
  <si>
    <t xml:space="preserve">Radiation/electronics-disruption warhead</t>
  </si>
  <si>
    <t xml:space="preserve">Antimatter-catalyzed / antimatter warhead</t>
  </si>
  <si>
    <t xml:space="preserve">Matter-conversion warhead</t>
  </si>
  <si>
    <t xml:space="preserve">Local AMM PDS and Extended Interceptor Defense</t>
  </si>
  <si>
    <t xml:space="preserve">Baseline local AMM point defense</t>
  </si>
  <si>
    <t xml:space="preserve">Extended-range AMM layer</t>
  </si>
  <si>
    <t xml:space="preserve">Improved local AMM guidance</t>
  </si>
  <si>
    <t xml:space="preserve">Mature AMM readiness</t>
  </si>
  <si>
    <t xml:space="preserve">Cooperative AMM screen</t>
  </si>
  <si>
    <t xml:space="preserve">Hit-to-kill / extreme-sprint AMM</t>
  </si>
  <si>
    <t xml:space="preserve">ID</t>
  </si>
  <si>
    <t xml:space="preserve">Component</t>
  </si>
  <si>
    <t xml:space="preserve">Owner</t>
  </si>
  <si>
    <t xml:space="preserve">Window</t>
  </si>
  <si>
    <t xml:space="preserve">Placement TL</t>
  </si>
  <si>
    <t xml:space="preserve">Kind</t>
  </si>
  <si>
    <t xml:space="preserve">Space</t>
  </si>
  <si>
    <t xml:space="preserve">Gameplay loop</t>
  </si>
  <si>
    <t xml:space="preserve">Mechanical identity</t>
  </si>
  <si>
    <t xml:space="preserve">Notes</t>
  </si>
  <si>
    <t xml:space="preserve">ablative-armor</t>
  </si>
  <si>
    <t xml:space="preserve">Ablative Armor Layer</t>
  </si>
  <si>
    <t xml:space="preserve">TL1</t>
  </si>
  <si>
    <t xml:space="preserve">Ship design / layered defense</t>
  </si>
  <si>
    <t xml:space="preserve">Optional expendable outer armor layer; normally replaced rather than repaired in combat.</t>
  </si>
  <si>
    <t xml:space="preserve">Explicit CP108 decision: costs 1 universal Installation Space; not preinstalled.</t>
  </si>
  <si>
    <t xml:space="preserve">architecture_locked_starting_legal</t>
  </si>
  <si>
    <t xml:space="preserve">communications-relay</t>
  </si>
  <si>
    <t xml:space="preserve">Communications Relay / Mission Communications Suite</t>
  </si>
  <si>
    <t xml:space="preserve">TL1-7</t>
  </si>
  <si>
    <t xml:space="preserve">TBD</t>
  </si>
  <si>
    <t xml:space="preserve">Exploration / diplomacy / datalinks / strategic awareness</t>
  </si>
  <si>
    <t xml:space="preserve">Improves contact, beacon, relay, or strategic communication options while preserving observability/provenance.</t>
  </si>
  <si>
    <t xml:space="preserve">Starting-legal candidate placement follows the IDEA window; exact effect remains TBD.</t>
  </si>
  <si>
    <t xml:space="preserve">provisional_table_candidate</t>
  </si>
  <si>
    <t xml:space="preserve">scientific-laboratory</t>
  </si>
  <si>
    <t xml:space="preserve">Scientific Laboratory</t>
  </si>
  <si>
    <t xml:space="preserve">TL1-6</t>
  </si>
  <si>
    <t xml:space="preserve">Exploration / Research Data / alien technology</t>
  </si>
  <si>
    <t xml:space="preserve">Improves analysis of anomalies, samples, ruins, artifacts, and Research Data.</t>
  </si>
  <si>
    <t xml:space="preserve">Must change outcomes or efficiency rather than exist as flavor.</t>
  </si>
  <si>
    <t xml:space="preserve">energy-pds</t>
  </si>
  <si>
    <t xml:space="preserve">Energy / Beam Point-Defense Array</t>
  </si>
  <si>
    <t xml:space="preserve">TL1+</t>
  </si>
  <si>
    <t xml:space="preserve">defensive_component</t>
  </si>
  <si>
    <t xml:space="preserve">current profile / no new CP108 value</t>
  </si>
  <si>
    <t xml:space="preserve">Terminal defense / power allocation</t>
  </si>
  <si>
    <t xml:space="preserve">Power-intensive ammunition-free beam interception.</t>
  </si>
  <si>
    <t xml:space="preserve">CP106 established TL1 baseline; obsolete CP43 TL2 floor is superseded.</t>
  </si>
  <si>
    <t xml:space="preserve">existing_family</t>
  </si>
  <si>
    <t xml:space="preserve">mission-package</t>
  </si>
  <si>
    <t xml:space="preserve">Boarding / Planetary Mission Package</t>
  </si>
  <si>
    <t xml:space="preserve">TL1-5</t>
  </si>
  <si>
    <t xml:space="preserve">Boarding / rescue / survey / landing</t>
  </si>
  <si>
    <t xml:space="preserve">Swappable support package improving one mission class.</t>
  </si>
  <si>
    <t xml:space="preserve">Avoid individual gear-loadout bookkeeping.</t>
  </si>
  <si>
    <t xml:space="preserve">cargo-expansion</t>
  </si>
  <si>
    <t xml:space="preserve">Cargo Expansion</t>
  </si>
  <si>
    <t xml:space="preserve">Trade / salvage / Resources / missions</t>
  </si>
  <si>
    <t xml:space="preserve">Adds finite cargo capacity while competing directly with combat/support installations.</t>
  </si>
  <si>
    <t xml:space="preserve">No detailed loading puzzle.</t>
  </si>
  <si>
    <t xml:space="preserve">medical-bay</t>
  </si>
  <si>
    <t xml:space="preserve">Medical Bay</t>
  </si>
  <si>
    <t xml:space="preserve">TL1-4</t>
  </si>
  <si>
    <t xml:space="preserve">Crew survival / exploration / combat recovery</t>
  </si>
  <si>
    <t xml:space="preserve">Mitigates explicit crew casualty and recovery outcomes.</t>
  </si>
  <si>
    <t xml:space="preserve">No individual-health or treatment micromanagement.</t>
  </si>
  <si>
    <t xml:space="preserve">mining-module</t>
  </si>
  <si>
    <t xml:space="preserve">Mining and Extraction Module</t>
  </si>
  <si>
    <t xml:space="preserve">Resources / exploration</t>
  </si>
  <si>
    <t xml:space="preserve">Enables or improves extraction at eligible sites, trading time/exposure for yield.</t>
  </si>
  <si>
    <t xml:space="preserve">Site/yield rules TBD.</t>
  </si>
  <si>
    <t xml:space="preserve">local-amm-pds</t>
  </si>
  <si>
    <t xml:space="preserve">Local AMM Point-Defense Battery</t>
  </si>
  <si>
    <t xml:space="preserve">Terminal defense / ammunition</t>
  </si>
  <si>
    <t xml:space="preserve">Finite-ammunition guided terminal interception.</t>
  </si>
  <si>
    <t xml:space="preserve">Distinct from later extended-range AMM.</t>
  </si>
  <si>
    <t xml:space="preserve">missile-magazine</t>
  </si>
  <si>
    <t xml:space="preserve">Missile Magazine Expansion</t>
  </si>
  <si>
    <t xml:space="preserve">Missile endurance / logistics</t>
  </si>
  <si>
    <t xml:space="preserve">Extends missile reserve; Ready Packages remain distinct.</t>
  </si>
  <si>
    <t xml:space="preserve">Exact store TBD.</t>
  </si>
  <si>
    <t xml:space="preserve">auxiliary-power-unit</t>
  </si>
  <si>
    <t xml:space="preserve">Auxiliary Power Unit</t>
  </si>
  <si>
    <t xml:space="preserve">Damage survival / emergency power</t>
  </si>
  <si>
    <t xml:space="preserve">Preserves core-power continuity only; not normal Tactical Power generation.</t>
  </si>
  <si>
    <t xml:space="preserve">Exact footprint remains later component design.</t>
  </si>
  <si>
    <t xml:space="preserve">existing_concept</t>
  </si>
  <si>
    <t xml:space="preserve">auxiliary-reactor</t>
  </si>
  <si>
    <t xml:space="preserve">Auxiliary Reactor</t>
  </si>
  <si>
    <t xml:space="preserve">Power resilience / ship design</t>
  </si>
  <si>
    <t xml:space="preserve">Small renewable Tactical Power source with bounded output/damage behavior.</t>
  </si>
  <si>
    <t xml:space="preserve">Active Concept supports TL1; obsolete CP43 TL2 floor is superseded.</t>
  </si>
  <si>
    <t xml:space="preserve">combat-battery</t>
  </si>
  <si>
    <t xml:space="preserve">Combat Battery</t>
  </si>
  <si>
    <t xml:space="preserve">Tactical power allocation</t>
  </si>
  <si>
    <t xml:space="preserve">Finite flexible Tactical Power injection for a later legal window.</t>
  </si>
  <si>
    <t xml:space="preserve">Storage remains distinct from sustained generation.</t>
  </si>
  <si>
    <t xml:space="preserve">kinetic-magazine</t>
  </si>
  <si>
    <t xml:space="preserve">Kinetic Magazine Expansion</t>
  </si>
  <si>
    <t xml:space="preserve">Ammunition endurance</t>
  </si>
  <si>
    <t xml:space="preserve">Extends Kinetic ammunition endurance using broad magazine families.</t>
  </si>
  <si>
    <t xml:space="preserve">No individual feed-path bookkeeping.</t>
  </si>
  <si>
    <t xml:space="preserve">kinetic-pds</t>
  </si>
  <si>
    <t xml:space="preserve">Kinetic Point-Defense Battery</t>
  </si>
  <si>
    <t xml:space="preserve">Terminal defense</t>
  </si>
  <si>
    <t xml:space="preserve">Finite-reaction kinetic interception with ammunition.</t>
  </si>
  <si>
    <t xml:space="preserve">Sibling PDS lineage; current 2-Space footprint retained from existing catalog.</t>
  </si>
  <si>
    <t xml:space="preserve">existing_current_footprint</t>
  </si>
  <si>
    <t xml:space="preserve">expedition-endurance</t>
  </si>
  <si>
    <t xml:space="preserve">Expedition Endurance Module</t>
  </si>
  <si>
    <t xml:space="preserve">Exploration / logistics</t>
  </si>
  <si>
    <t xml:space="preserve">Adds bounded Fuel/endurance support without tank-by-tank propellant bookkeeping.</t>
  </si>
  <si>
    <t xml:space="preserve">Current Fuel baseline remains 100; exact bonus TBD.</t>
  </si>
  <si>
    <t xml:space="preserve">fuel-processor</t>
  </si>
  <si>
    <t xml:space="preserve">Fuel Processor</t>
  </si>
  <si>
    <t xml:space="preserve">Mining / Resources / expedition endurance</t>
  </si>
  <si>
    <t xml:space="preserve">Converts eligible mined or traded Resources into the single Fuel resource at bounded time/efficiency cost.</t>
  </si>
  <si>
    <t xml:space="preserve">Yields and campaign economy bridge remain future work.</t>
  </si>
  <si>
    <t xml:space="preserve">shield-battery</t>
  </si>
  <si>
    <t xml:space="preserve">Shield Battery</t>
  </si>
  <si>
    <t xml:space="preserve">Shield endurance / emergency defense</t>
  </si>
  <si>
    <t xml:space="preserve">Finite shield-specific support that does not become general Tactical Power.</t>
  </si>
  <si>
    <t xml:space="preserve">Exact capacity/charge TBD.</t>
  </si>
  <si>
    <t xml:space="preserve">fabricator</t>
  </si>
  <si>
    <t xml:space="preserve">General Fabrication Module</t>
  </si>
  <si>
    <t xml:space="preserve">TL2-7</t>
  </si>
  <si>
    <t xml:space="preserve">Resources / repair / ammunition / mission support</t>
  </si>
  <si>
    <t xml:space="preserve">Converts carried Resources into bounded repair or mission supplies over time.</t>
  </si>
  <si>
    <t xml:space="preserve">No free tactical replenishment.</t>
  </si>
  <si>
    <t xml:space="preserve">power-stabilizer</t>
  </si>
  <si>
    <t xml:space="preserve">Power Stabilizer / Conditioner</t>
  </si>
  <si>
    <t xml:space="preserve">TL2+</t>
  </si>
  <si>
    <t xml:space="preserve">High-demand equipment integration</t>
  </si>
  <si>
    <t xml:space="preserve">Improves bounded power-quality/integration cases rather than adding free output.</t>
  </si>
  <si>
    <t xml:space="preserve">Only implement if explicit compatibility/strain decisions justify it.</t>
  </si>
  <si>
    <t xml:space="preserve">supercapacitor</t>
  </si>
  <si>
    <t xml:space="preserve">Supercapacitor Pulse Bank</t>
  </si>
  <si>
    <t xml:space="preserve">TL2-4</t>
  </si>
  <si>
    <t xml:space="preserve">Burst power / tactical allocation</t>
  </si>
  <si>
    <t xml:space="preserve">Burst-power storage for a bounded operation/window; does not raise sustained reactor output.</t>
  </si>
  <si>
    <t xml:space="preserve">Charge/discharge timing must prevent free loops.</t>
  </si>
  <si>
    <t xml:space="preserve">probe-survey-drone</t>
  </si>
  <si>
    <t xml:space="preserve">Probe / Survey Drone Package</t>
  </si>
  <si>
    <t xml:space="preserve">TL2-5</t>
  </si>
  <si>
    <t xml:space="preserve">Exploration / surveying / hazard reconnaissance</t>
  </si>
  <si>
    <t xml:space="preserve">Deployable disposable/reusable probes automate routine remote surveying and reconnaissance while preserving consequential player decisions about where to investigate and what risks to take.</t>
  </si>
  <si>
    <t xml:space="preserve">No probe-fleet command layer; exact stores, recovery, persistence, and survey benefit remain future campaign design.</t>
  </si>
  <si>
    <t xml:space="preserve">shield-booster</t>
  </si>
  <si>
    <t xml:space="preserve">Shield Booster</t>
  </si>
  <si>
    <t xml:space="preserve">Shield allocation / burst defense</t>
  </si>
  <si>
    <t xml:space="preserve">Optional powered shield support distinct from the primary generator.</t>
  </si>
  <si>
    <t xml:space="preserve">Exact effect remains later component design.</t>
  </si>
  <si>
    <t xml:space="preserve">shield-hardener</t>
  </si>
  <si>
    <t xml:space="preserve">TL3+</t>
  </si>
  <si>
    <t xml:space="preserve">Defense / Tactical Power</t>
  </si>
  <si>
    <t xml:space="preserve">Existing TL3 optional powered hardening candidate.</t>
  </si>
  <si>
    <t xml:space="preserve">Current 1-Space footprint retained; CP108 does not change its numerical profile.</t>
  </si>
  <si>
    <t xml:space="preserve">implemented_executable_candidate_not_promoted</t>
  </si>
  <si>
    <t xml:space="preserve">radiation-hardening</t>
  </si>
  <si>
    <t xml:space="preserve">Particle / Radiation Hardening Package</t>
  </si>
  <si>
    <t xml:space="preserve">TL4-7</t>
  </si>
  <si>
    <t xml:space="preserve">Special-threat defense</t>
  </si>
  <si>
    <t xml:space="preserve">Specialized protection against explicit particle/radiation effects if those effects exist.</t>
  </si>
  <si>
    <t xml:space="preserve">Not a universal radiation subsystem.</t>
  </si>
  <si>
    <t xml:space="preserve">repair-drone-bay</t>
  </si>
  <si>
    <t xml:space="preserve">Damage-Control Drone Bay</t>
  </si>
  <si>
    <t xml:space="preserve">TL4-6</t>
  </si>
  <si>
    <t xml:space="preserve">Damage Control / crew risk</t>
  </si>
  <si>
    <t xml:space="preserve">Robotic inspection/repair support using existing repair capacity, supplies, and condition rules.</t>
  </si>
  <si>
    <t xml:space="preserve">Does not create a second repair engine.</t>
  </si>
  <si>
    <t xml:space="preserve">smagnetic-store</t>
  </si>
  <si>
    <t xml:space="preserve">Superconducting Magnetic Energy Store</t>
  </si>
  <si>
    <t xml:space="preserve">Power storage / burst demand</t>
  </si>
  <si>
    <t xml:space="preserve">Advanced low-loss storage/conditioning branch.</t>
  </si>
  <si>
    <t xml:space="preserve">Distinct from reactor output.</t>
  </si>
  <si>
    <t xml:space="preserve">tractor-tow</t>
  </si>
  <si>
    <t xml:space="preserve">Tractor / Tow Projector</t>
  </si>
  <si>
    <t xml:space="preserve">Salvage / rescue / mission movement</t>
  </si>
  <si>
    <t xml:space="preserve">Bounded manipulation/towing utility for ships, wreckage, cargo, or mission objects.</t>
  </si>
  <si>
    <t xml:space="preserve">Must not become unrestricted combat movement denial.</t>
  </si>
  <si>
    <t xml:space="preserve">powered-reactive-armor</t>
  </si>
  <si>
    <t xml:space="preserve">Powered Reactive Armor System</t>
  </si>
  <si>
    <t xml:space="preserve">TL5+</t>
  </si>
  <si>
    <t xml:space="preserve">Powered specialist protection layered onto passive armor; loses active bonus when unpowered.</t>
  </si>
  <si>
    <t xml:space="preserve">Passive armor remains intact.</t>
  </si>
  <si>
    <t xml:space="preserve">molecular-repair-fabricator</t>
  </si>
  <si>
    <t xml:space="preserve">Molecular Repair Fabricator</t>
  </si>
  <si>
    <t xml:space="preserve">TL5-7</t>
  </si>
  <si>
    <t xml:space="preserve">Repair / Resources / expedition endurance</t>
  </si>
  <si>
    <t xml:space="preserve">Advanced fabrication improves field repair using Resources without free resurrection.</t>
  </si>
  <si>
    <t xml:space="preserve">Later maturation of the Fabricator/repair lineage.</t>
  </si>
  <si>
    <t xml:space="preserve">thermal-suppression</t>
  </si>
  <si>
    <t xml:space="preserve">Thermal Suppression Module</t>
  </si>
  <si>
    <t xml:space="preserve">Signature management / temporary high-output operations</t>
  </si>
  <si>
    <t xml:space="preserve">Finite low-signature/high-output window using thermal storage/retraction abstractions.</t>
  </si>
  <si>
    <t xml:space="preserve">No universal heat meter.</t>
  </si>
  <si>
    <t xml:space="preserve">particle-deflection-screen</t>
  </si>
  <si>
    <t xml:space="preserve">Particle / Charged-Beam Deflection Screen</t>
  </si>
  <si>
    <t xml:space="preserve">Special-threat defense / Tactical Power</t>
  </si>
  <si>
    <t xml:space="preserve">Optional powered shield-support field tuned against charged-particle/ion/plasma-like threats rather than universal Shield Armor growth.</t>
  </si>
  <si>
    <t xml:space="preserve">Consolidates the overlapping Armor EM-screen idea into the Shield Support lineage; exact effect/counter profile remains TBD.</t>
  </si>
  <si>
    <t xml:space="preserve">field-stabilizer</t>
  </si>
  <si>
    <t xml:space="preserve">Field Stabilizer / Anti-Penetration Tuner</t>
  </si>
  <si>
    <t xml:space="preserve">TL7+</t>
  </si>
  <si>
    <t xml:space="preserve">Shield specialization / penetration counterplay</t>
  </si>
  <si>
    <t xml:space="preserve">Late specialist shield support that alters a bounded penetration/field-stability interaction rather than adding a universal defensive layer.</t>
  </si>
  <si>
    <t xml:space="preserve">Must retain specific counterplay and meaningful Space/Power opportunity cost.</t>
  </si>
  <si>
    <t xml:space="preserve">programmable-repair-patch</t>
  </si>
  <si>
    <t xml:space="preserve">Programmable Matter Repair Patch System</t>
  </si>
  <si>
    <t xml:space="preserve">TL8+</t>
  </si>
  <si>
    <t xml:space="preserve">High-TL repair / logistics</t>
  </si>
  <si>
    <t xml:space="preserve">Configurable matter patches accelerate bounded structural/component repair.</t>
  </si>
  <si>
    <t xml:space="preserve">Does not resurrect destroyed systems for free.</t>
  </si>
  <si>
    <t xml:space="preserve">hangar-mission-bay</t>
  </si>
  <si>
    <t xml:space="preserve">Hangar / Mission Bay</t>
  </si>
  <si>
    <t xml:space="preserve">TL2-6</t>
  </si>
  <si>
    <t xml:space="preserve">Shuttles / boarding / exploration / logistics</t>
  </si>
  <si>
    <t xml:space="preserve">May add small-craft capacity, support heavier craft, or improve turnaround/safety.</t>
  </si>
  <si>
    <t xml:space="preserve">Starting ship has one shuttle. Exact unlock TL and extra-shuttle effect are deliberately not committed in CP108.</t>
  </si>
  <si>
    <t xml:space="preserve">provisional_window_only</t>
  </si>
  <si>
    <t xml:space="preserve">Related research (non-gating)</t>
  </si>
  <si>
    <t xml:space="preserve">Hard external prerequisites</t>
  </si>
  <si>
    <t xml:space="preserve">Area</t>
  </si>
  <si>
    <t xml:space="preserve">Decision</t>
  </si>
  <si>
    <t xml:space="preserve">Reason</t>
  </si>
  <si>
    <t xml:space="preserve">Powered reactive and field-assisted concepts moved out of passive primary Armor into optional enhancement branches.</t>
  </si>
  <si>
    <t xml:space="preserve">Keeps primary armor unpowered/passive and preserves real support tradeoffs.</t>
  </si>
  <si>
    <t xml:space="preserve">Armor/Shields</t>
  </si>
  <si>
    <t xml:space="preserve">Armor EM particle-screen component consolidated into Shield particle-deflection support; Shield TL5/TL7 support entries materialized.</t>
  </si>
  <si>
    <t xml:space="preserve">Avoids duplicate specialist counters and aligns catalog with Storyboard.</t>
  </si>
  <si>
    <t xml:space="preserve">Projectile</t>
  </si>
  <si>
    <t xml:space="preserve">TL2 projectile materials moved to ammunition; TL5 helical and TL7 macron remain branches.</t>
  </si>
  <si>
    <t xml:space="preserve">Launcher and projectile progression are separate; branches should not silently become defaults.</t>
  </si>
  <si>
    <t xml:space="preserve">Energy</t>
  </si>
  <si>
    <t xml:space="preserve">TL5 tunable/FEL and TL7 extreme-frequency remain branches; TL9 renamed coherent-energy lance.</t>
  </si>
  <si>
    <t xml:space="preserve">Preserves beam-family identity and avoids implying matter-conversion damage.</t>
  </si>
  <si>
    <t xml:space="preserve">Sensors/EW</t>
  </si>
  <si>
    <t xml:space="preserve">Bounded TL9 Sensor/ECM/ECCM endpoints replace causal/truth language.</t>
  </si>
  <si>
    <t xml:space="preserve">TL9 needs a native pinnacle without breaking observer-safe information.</t>
  </si>
  <si>
    <t xml:space="preserve">Computing</t>
  </si>
  <si>
    <t xml:space="preserve">TL9 renamed self-verifying battle synthesis.</t>
  </si>
  <si>
    <t xml:space="preserve">Avoids causal/precognitive implication.</t>
  </si>
  <si>
    <t xml:space="preserve">Missiles</t>
  </si>
  <si>
    <t xml:space="preserve">TL8 field terminal maneuver becomes bounded branch; TL9 field-coupled strike vehicle becomes normal-player pinnacle.</t>
  </si>
  <si>
    <t xml:space="preserve">Keeps missiles meaningful at TL9 without bypassing track/PDS/geometry.</t>
  </si>
  <si>
    <t xml:space="preserve">Support</t>
  </si>
  <si>
    <t xml:space="preserve">Probe / Survey Drone Package added as optional candidate.</t>
  </si>
  <si>
    <t xml:space="preserve">Directly supports exploration while avoiding a fleet-management layer.</t>
  </si>
  <si>
    <t xml:space="preserve">Tooling</t>
  </si>
  <si>
    <t xml:space="preserve">C#/Godot production runtime separated from Python-enabled simulation/test/checkpoint tooling.</t>
  </si>
  <si>
    <t xml:space="preserve">Reflects current implementation architecture and avoids treating Python development tooling as a violation.</t>
  </si>
  <si>
    <t xml:space="preserve">Qualitative primary/default</t>
  </si>
  <si>
    <t xml:space="preserve">Candidate numerical expression</t>
  </si>
  <si>
    <t xml:space="preserve">Branch/support context</t>
  </si>
  <si>
    <t xml:space="preserve">Quiet primary?</t>
  </si>
  <si>
    <t xml:space="preserve">Cruiser Structural Integration: Hull capacity 35 Space</t>
  </si>
  <si>
    <t xml:space="preserve">Cruiser Structural Integration: Hull capacity 36 Space</t>
  </si>
  <si>
    <t xml:space="preserve">Cruiser Structural Integration: Hull capacity 37 Space</t>
  </si>
  <si>
    <t xml:space="preserve">Cruiser Structural Integration: Hull capacity 38 Space</t>
  </si>
  <si>
    <t xml:space="preserve">Cruiser Structural Integration: Hull capacity 39 Space</t>
  </si>
  <si>
    <t xml:space="preserve">Cruiser Structural Integration: Hull capacity 41 Space</t>
  </si>
  <si>
    <t xml:space="preserve">Cruiser Structural Integration: Hull capacity 43 Space</t>
  </si>
  <si>
    <t xml:space="preserve">Cruiser Structural Integration: Hull capacity 45 Space</t>
  </si>
  <si>
    <t xml:space="preserve">Passive Armor Materials: AP0 / AI4</t>
  </si>
  <si>
    <t xml:space="preserve">Passive Armor Materials: AP0 / AI5</t>
  </si>
  <si>
    <t xml:space="preserve">Passive Armor Materials: AP1 / AI5</t>
  </si>
  <si>
    <t xml:space="preserve">Passive Armor Materials: AP1 / AI6</t>
  </si>
  <si>
    <t xml:space="preserve">Passive Armor Materials: AP2 / AI6</t>
  </si>
  <si>
    <t xml:space="preserve">Passive Armor Materials: AP2 / AI7</t>
  </si>
  <si>
    <t xml:space="preserve">Passive Armor Materials: AP2 / AI7 (hold)</t>
  </si>
  <si>
    <t xml:space="preserve">Passive Armor Materials: AP3 / AI8</t>
  </si>
  <si>
    <t xml:space="preserve">Main Reactor Generation: 6S; 5/3/1 TP O/D/E</t>
  </si>
  <si>
    <t xml:space="preserve">Main Reactor Generation: 6S; 7/3/0 TP O/D/E</t>
  </si>
  <si>
    <t xml:space="preserve">Main Reactor Generation: 5S; 7/4/1 TP O/D/E</t>
  </si>
  <si>
    <t xml:space="preserve">Main Reactor Generation: 5S; 9/5/1 TP O/D/E</t>
  </si>
  <si>
    <t xml:space="preserve">Main Reactor Generation: 5S; 12/4/0 TP O/D/E</t>
  </si>
  <si>
    <t xml:space="preserve">Main Reactor Generation: 4S; 12/7/1 TP O/D/E</t>
  </si>
  <si>
    <t xml:space="preserve">Main Reactor Generation: 4S; 15/8/1 TP O/D/E</t>
  </si>
  <si>
    <t xml:space="preserve">Main Reactor Generation: 4S; 17/6/0 TP O/D/E</t>
  </si>
  <si>
    <t xml:space="preserve">Main Reactor Generation: 3S; 20/12/2 TP O/D/E</t>
  </si>
  <si>
    <t xml:space="preserve">STL Propulsion: 5S; Move 1; Fuel 2/hex
FTL Propulsion: 5S; Strategic Move 1</t>
  </si>
  <si>
    <t xml:space="preserve">STL Propulsion: 5S; Move 2; Fuel 2/hex
FTL Propulsion: 5S; Strategic Move 2</t>
  </si>
  <si>
    <t xml:space="preserve">STL Propulsion: 5S; Move 3; Fuel 2/hex
FTL Propulsion: 5S; Strategic Move 3</t>
  </si>
  <si>
    <t xml:space="preserve">STL Propulsion: 5S; Move 4; Fuel 2/hex
FTL Propulsion: 5S; Strategic Move 4</t>
  </si>
  <si>
    <t xml:space="preserve">STL Propulsion: 5S; Move 6; Fuel 2/hex
FTL Propulsion: 5S; Strategic Move 4</t>
  </si>
  <si>
    <t xml:space="preserve">STL Propulsion: 5S; Move 6; Fuel 2/hex
FTL Propulsion: 5S; Strategic Move 6</t>
  </si>
  <si>
    <t xml:space="preserve">STL Propulsion: 4S; Move 7; Fuel 2/hex
FTL Propulsion: 5S; Strategic Move 7</t>
  </si>
  <si>
    <t xml:space="preserve">STL Propulsion: 4S; Move 9; Fuel 2/hex
FTL Propulsion: 4S; Strategic Move 9</t>
  </si>
  <si>
    <t xml:space="preserve">STL Propulsion: 4S; Move 10; Fuel 2/hex
FTL Propulsion: 4S; Strategic Move 12</t>
  </si>
  <si>
    <t xml:space="preserve">Sensors: 3S; DR0; P 1/3; A 3/4@1TP; H -
ECM: 1S; Rating 1 at 1 TP
ECCM: 1S; Rating 1 at 1 TP</t>
  </si>
  <si>
    <t xml:space="preserve">Sensors: 3S; DR1; P 1/3; A 3/4@1TP; H -
ECM: 1S; Rating 2 at 2 TP
ECCM: 1S; Rating 2 at 2 TP</t>
  </si>
  <si>
    <t xml:space="preserve">Sensors: 3S; DR1; P 1/3; A 3/4@1TP; H 4/5@2TP
ECM: 1S; Rating 2 at 1 TP
ECCM: 1S; Rating 2 at 1 TP</t>
  </si>
  <si>
    <t xml:space="preserve">Sensors: 3S; DR2; P 2/4; A 4/5@1TP; H 5/6@2TP
ECM: 1S; Rating 2 at 1 TP
ECCM: 1S; Rating 2 at 1 TP</t>
  </si>
  <si>
    <t xml:space="preserve">Sensors: 3S; DR2; P 2/4; A 4/5@1TP; H 5/6@2TP
ECM: 1S; Rating 3 at 2 TP
ECCM: 1S; Rating 3 at 2 TP</t>
  </si>
  <si>
    <t xml:space="preserve">Sensors: 3S; DR3; P 3/5; A 5/6@1TP; H 6/7@2TP
ECM: 1S; Rating 3 at 2 TP
ECCM: 1S; Rating 3 at 2 TP</t>
  </si>
  <si>
    <t xml:space="preserve">Sensors: 2S; DR3; P 3/6; A 5/7@1TP; H 7/8@2TP
ECM: 1S; Rating 3 at 1 TP
ECCM: 1S; Rating 3 at 1 TP</t>
  </si>
  <si>
    <t xml:space="preserve">Sensors: 2S; DR4; P 4/7; A 6/8@1TP; H 8/9@2TP
ECM: 1S; Rating 4 at 2 TP
ECCM: 1S; Rating 4 at 2 TP</t>
  </si>
  <si>
    <t xml:space="preserve">Sensors: 2S; DR5; P 5/8; A 7/9@1TP; H 9/10@2TP
ECM: 1S; Rating 4 at 1 TP
ECCM: 1S; Rating 4 at 1 TP</t>
  </si>
  <si>
    <t xml:space="preserve">Tactical Computing: 3S; target +10pp; Approx -25pp; EvComp 0pp</t>
  </si>
  <si>
    <t xml:space="preserve">Tactical Computing: 3S; target +12pp; Approx -25pp; EvComp 0pp</t>
  </si>
  <si>
    <t xml:space="preserve">Tactical Computing: 3S; target +12pp; Approx -25pp; EvComp 5pp</t>
  </si>
  <si>
    <t xml:space="preserve">Tactical Computing: 3S; target +15pp; Approx -25pp; EvComp 5pp</t>
  </si>
  <si>
    <t xml:space="preserve">Tactical Computing: 3S; target +15pp; Approx -20pp; EvComp 5pp</t>
  </si>
  <si>
    <t xml:space="preserve">Tactical Computing: 2S; target +15pp; Approx -20pp; EvComp 10pp</t>
  </si>
  <si>
    <t xml:space="preserve">Tactical Computing: 2S; target +18pp; Approx -20pp; EvComp 10pp</t>
  </si>
  <si>
    <t xml:space="preserve">Tactical Computing: 2S; target +20pp; Approx -15pp; EvComp 10pp</t>
  </si>
  <si>
    <t xml:space="preserve">Tactical Computing: 2S; target +20pp; Approx -10pp; EvComp 10pp</t>
  </si>
  <si>
    <t xml:space="preserve">Shield Generator: 3S; Cap 2; BaseR 1; Tac 1/TP cap 2; SA 0</t>
  </si>
  <si>
    <t xml:space="preserve">Shield Generator: 3S; Cap 3; BaseR 1; Tac 1/TP cap 2; SA 0</t>
  </si>
  <si>
    <t xml:space="preserve">Shield Generator: 3S; Cap 4; BaseR 1; Tac 1/TP cap 2; SA 0</t>
  </si>
  <si>
    <t xml:space="preserve">Shield Generator: 3S; Cap 5; BaseR 1; Tac 1/TP cap 3; SA 0</t>
  </si>
  <si>
    <t xml:space="preserve">Shield Generator: 3S; Cap 5; BaseR 2; Tac 1/TP cap 3; SA 0</t>
  </si>
  <si>
    <t xml:space="preserve">Shield Generator: 2S; Cap 7; BaseR 2; Tac 1/TP cap 3; SA 1</t>
  </si>
  <si>
    <t xml:space="preserve">Shield Generator: 2S; Cap 9; BaseR 2; Tac 2/TP cap 4; SA 1</t>
  </si>
  <si>
    <t xml:space="preserve">Shield Generator: 2S; Cap 12; BaseR 3; Tac 2/TP cap 4; SA 1</t>
  </si>
  <si>
    <t xml:space="preserve">Kinetic Main Weapon: 6S; DAM4 SP1 AP0 R4 Acc+20 TP1
Kinetic PDS: 2S; Base 10pp RC1 TP1 Ammo50</t>
  </si>
  <si>
    <t xml:space="preserve">Kinetic Main Weapon: 6S; DAM4 SP1 AP1 R4 Acc+20 TP1
Kinetic PDS: 2S; Base 10pp RC1 TP1 Ammo50</t>
  </si>
  <si>
    <t xml:space="preserve">Kinetic Main Weapon: 6S; DAM4 SP1 AP1 R4 Acc+20 TP0
Kinetic PDS: 2S; Base 13pp RC1 TP1 Ammo60</t>
  </si>
  <si>
    <t xml:space="preserve">Kinetic Main Weapon: 6S; DAM5 SP1 AP1 R5 Acc+20 TP1
Kinetic PDS: 2S; Base 18pp RC1 TP1 Ammo50</t>
  </si>
  <si>
    <t xml:space="preserve">Kinetic Main Weapon: 5S; DAM5 SP2 AP1 R6 Acc+25 TP1
Kinetic PDS: 2S; Base 18pp RC1 TP1 Ammo50</t>
  </si>
  <si>
    <t xml:space="preserve">Kinetic Main Weapon: 5S; DAM6 SP2 AP2 R7 Acc+25 TP2
Kinetic PDS: 2S; Base 18pp RC1 TP1 Ammo50</t>
  </si>
  <si>
    <t xml:space="preserve">Kinetic Main Weapon: 5S; DAM7 SP3 AP3 R8 Acc+30 TP3
Kinetic PDS: 2S; Base 18pp RC1 TP1 Ammo50</t>
  </si>
  <si>
    <t xml:space="preserve">Coherent Beam Main Weapon: 6S; R5 Acc+25; L 1TP/D2 S 2TP/D3 H 3TP/D4
Energy / Beam PDS: 2S; Base 12pp RC1 TP2</t>
  </si>
  <si>
    <t xml:space="preserve">Coherent Beam Main Weapon: 6S; R6 Acc+30; L 1TP/D2 S 2TP/D3 H 3TP/D4
Energy / Beam PDS: 2S; Base 16pp RC1 TP2</t>
  </si>
  <si>
    <t xml:space="preserve">Coherent Beam Main Weapon: 6S; R6 Acc+30; L 1TP/D2 S 2TP/D3 H 3TP/D4
Energy / Beam PDS: 2S; Base 16pp RC1 TP1</t>
  </si>
  <si>
    <t xml:space="preserve">Coherent Beam Main Weapon: 6S; R7 Acc+30; L 1TP/D2 S 2TP/D4 H 3TP/D5
Energy / Beam PDS: 2S; Base 20pp RC1 TP1</t>
  </si>
  <si>
    <t xml:space="preserve">Coherent Beam Main Weapon: 6S; R7 Acc+30; L 1TP/D2 S 2TP/D4 H 3TP/D5
Energy / Beam PDS: 2S; Base 20pp RC2 TP2</t>
  </si>
  <si>
    <t xml:space="preserve">Coherent Beam Main Weapon: 5S; R8 Acc+35; L 1TP/D3 S 2TP/D4 H 3TP/D5
Energy / Beam PDS: 2S; Base 24pp RC2 TP2</t>
  </si>
  <si>
    <t xml:space="preserve">Coherent Beam Main Weapon: 5S; R9 Acc+35; L 2TP/D4 S 3TP/D5 H 4TP/D6
Energy / Beam PDS: 2S; Base 24pp RC2 TP2</t>
  </si>
  <si>
    <t xml:space="preserve">Coherent Beam Main Weapon: 5S; R10 Acc+40; L 2TP/D4 S 3TP/D6 H 5TP/D7
Energy / Beam PDS: 2S; Base 24pp RC2 TP2</t>
  </si>
  <si>
    <t xml:space="preserve">Missile Delivery + Guidance: 6S; R6 Move2 Hit55%; warhead D5/SP1/AP2
AMM PDS: 2S; Base 15pp RC1 TP1 Range0 Ammo25</t>
  </si>
  <si>
    <t xml:space="preserve">Missile Delivery + Guidance: 6S; R8 Move3 Hit55%; warhead D5/SP1/AP2
AMM PDS: 2S; Base 20pp RC1 TP1 Range0 Ammo25</t>
  </si>
  <si>
    <t xml:space="preserve">Missile Delivery + Guidance: 6S; R8 Move4 Hit55%; warhead D5/SP1/AP2
AMM PDS: 2S; Base 20pp RC2 TP2 Range0 Ammo25</t>
  </si>
  <si>
    <t xml:space="preserve">Missile Delivery + Guidance: 6S; R9 Move5 Hit60%; warhead D5/SP1/AP2
AMM PDS: 2S; Base 20pp RC2 TP2 Range0 Ammo25</t>
  </si>
  <si>
    <t xml:space="preserve">Missile Delivery + Guidance: 6S; R9 Move5 Hit60%; warhead D5/SP1/AP2
AMM PDS: 2S; Base 24pp RC2 TP2 Range0 Ammo25</t>
  </si>
  <si>
    <t xml:space="preserve">Missile Delivery + Guidance: 5S; R10 Move7 Hit65%; warhead D5/SP1/AP2
AMM PDS: 2S; Base 24pp RC2 TP2 Range0 Ammo25</t>
  </si>
  <si>
    <t xml:space="preserve">Missile Delivery + Guidance: 5S; R10 Move8 Hit65%; warhead D5/SP1/AP2
AMM PDS: 2S; Base 28pp RC2 TP2 Range1 Ammo25</t>
  </si>
  <si>
    <t xml:space="preserve">Missile Delivery + Guidance: 5S; R10 Move8 Hit70%; warhead D5/SP1/AP2
AMM PDS: 2S; Base 28pp RC2 TP2 Range1 Ammo25</t>
  </si>
  <si>
    <t xml:space="preserve">Missile Delivery + Guidance: 5S; R10 Move9 Hit75%; warhead D5/SP1/AP2
AMM PDS: 2S; Base 28pp RC2 TP2 Range1 Ammo25</t>
  </si>
  <si>
    <t xml:space="preserve">Family</t>
  </si>
  <si>
    <t xml:space="preserve">New at TL?</t>
  </si>
  <si>
    <t xml:space="preserve">Hull Capacity</t>
  </si>
  <si>
    <t xml:space="preserve">Hull HP</t>
  </si>
  <si>
    <t xml:space="preserve">Armor AP</t>
  </si>
  <si>
    <t xml:space="preserve">Armor AI</t>
  </si>
  <si>
    <t xml:space="preserve">Shield Capacity</t>
  </si>
  <si>
    <t xml:space="preserve">Base Recharge</t>
  </si>
  <si>
    <t xml:space="preserve">Tac Recharge / TP</t>
  </si>
  <si>
    <t xml:space="preserve">Tac Recharge Cap TP</t>
  </si>
  <si>
    <t xml:space="preserve">Shield Armor</t>
  </si>
  <si>
    <t xml:space="preserve">Baseline bounded cruiser; Space is mass/volume/integration budget.</t>
  </si>
  <si>
    <t xml:space="preserve">Shield</t>
  </si>
  <si>
    <t xml:space="preserve">Qualitative maintainability/integration improvement; no filler Space increase.</t>
  </si>
  <si>
    <t xml:space="preserve">Retains the accepted +1 Space direction.</t>
  </si>
  <si>
    <t xml:space="preserve">Base profile holds; Shield Hardener is a separate branch.</t>
  </si>
  <si>
    <t xml:space="preserve">First advanced-material packaging step; durability remains represented elsewhere.</t>
  </si>
  <si>
    <t xml:space="preserve">segmented/adaptive operating mode; exact reactive benefit TBD</t>
  </si>
  <si>
    <t xml:space="preserve">Better material gradients/services, not larger hull size.</t>
  </si>
  <si>
    <t xml:space="preserve">Smart lattice improves integration/repair support; only a modest Space step.</t>
  </si>
  <si>
    <t xml:space="preserve">Self-healing identity is bounded repairability; no free in-combat regeneration number is assigned yet.</t>
  </si>
  <si>
    <t xml:space="preserve">Maturation emphasizes recharge/placement rather than another capacity step.</t>
  </si>
  <si>
    <t xml:space="preserve">Active load management earns a larger integration step.</t>
  </si>
  <si>
    <t xml:space="preserve">TL6 Self-healing smart laminate (held)</t>
  </si>
  <si>
    <t xml:space="preserve">Hold</t>
  </si>
  <si>
    <t xml:space="preserve">Primary passive Armor is intentionally quiet at TL7; reactive branch is separate.</t>
  </si>
  <si>
    <t xml:space="preserve">Science-fantasy support expands the viable installation envelope without immunity.</t>
  </si>
  <si>
    <t xml:space="preserve">Primary passive Armor is intentionally quiet at TL8; field-assisted branch is separate.</t>
  </si>
  <si>
    <t xml:space="preserve">Pinnacle bounded cruiser; still not an unlimited capital-hull progression.</t>
  </si>
  <si>
    <t xml:space="preserve">Pinnacle passive material; reconfiguration remains bounded and resource-dependent.</t>
  </si>
  <si>
    <t xml:space="preserve">Operational TP</t>
  </si>
  <si>
    <t xml:space="preserve">Degraded TP</t>
  </si>
  <si>
    <t xml:space="preserve">Emergency TP</t>
  </si>
  <si>
    <t xml:space="preserve">Move</t>
  </si>
  <si>
    <t xml:space="preserve">Strategic Move</t>
  </si>
  <si>
    <t xml:space="preserve">Fuel / hex</t>
  </si>
  <si>
    <t xml:space="preserve">Overload Move</t>
  </si>
  <si>
    <t xml:space="preserve">Overload TP</t>
  </si>
  <si>
    <t xml:space="preserve">Hard prereq</t>
  </si>
  <si>
    <t xml:space="preserve">Reactor</t>
  </si>
  <si>
    <t xml:space="preserve">Mature, resilient baseline.</t>
  </si>
  <si>
    <t xml:space="preserve">STL</t>
  </si>
  <si>
    <t xml:space="preserve">FTL</t>
  </si>
  <si>
    <t xml:space="preserve">Revised upward from the earlier 6-TP seed so Fusion is a genuine output-frontier leap; immature containment is less resilient than Peak Fission.</t>
  </si>
  <si>
    <t xml:space="preserve">Maturation: same frontier output, smaller footprint and better damaged behavior.</t>
  </si>
  <si>
    <t xml:space="preserve">Power TL2</t>
  </si>
  <si>
    <t xml:space="preserve">Pushes the mature Fusion output frontier.</t>
  </si>
  <si>
    <t xml:space="preserve">Large new-family output leap with intentionally poor damaged-state resilience so mature Fusion remains relevant.</t>
  </si>
  <si>
    <t xml:space="preserve">Power TL5</t>
  </si>
  <si>
    <t xml:space="preserve">Deliberate larger frontier jump at a genuine enabling-science boundary.</t>
  </si>
  <si>
    <t xml:space="preserve">Quiet raw-speed step: value is transition flexibility/geometry, not forced +Move.</t>
  </si>
  <si>
    <t xml:space="preserve">Maturation: compactness and resilience rather than more raw output.</t>
  </si>
  <si>
    <t xml:space="preserve">Maturation holds Move and improves integration/reliability qualitatively; no filler movement increase.</t>
  </si>
  <si>
    <t xml:space="preserve">Second Antimatter frontier push.</t>
  </si>
  <si>
    <t xml:space="preserve">New science-fantasy family expands output density but is deliberately immature/brittle.</t>
  </si>
  <si>
    <t xml:space="preserve">Science-fantasy principle creates another nonuniform movement frontier.</t>
  </si>
  <si>
    <t xml:space="preserve">Pinnacle output density and mature damaged-state behavior; still bounded enough that multiple high-demand systems create choices.</t>
  </si>
  <si>
    <t xml:space="preserve">Fuel-per-hex remains held pending Resources/endurance economy design.</t>
  </si>
  <si>
    <t xml:space="preserve">Unknown-sector interruption/frontier-discovery rules remain; high Move does not erase exploration.</t>
  </si>
  <si>
    <t xml:space="preserve">Primary Rating</t>
  </si>
  <si>
    <t xml:space="preserve">Full TP</t>
  </si>
  <si>
    <t xml:space="preserve">Passive F/A</t>
  </si>
  <si>
    <t xml:space="preserve">Active Low F/A</t>
  </si>
  <si>
    <t xml:space="preserve">Low TP</t>
  </si>
  <si>
    <t xml:space="preserve">Active High F/A</t>
  </si>
  <si>
    <t xml:space="preserve">High TP</t>
  </si>
  <si>
    <t xml:space="preserve">Target +pp</t>
  </si>
  <si>
    <t xml:space="preserve">Degraded +pp</t>
  </si>
  <si>
    <t xml:space="preserve">Approx penalty</t>
  </si>
  <si>
    <t xml:space="preserve">EvComp</t>
  </si>
  <si>
    <t xml:space="preserve">Special / notes</t>
  </si>
  <si>
    <t xml:space="preserve">Computer</t>
  </si>
  <si>
    <t xml:space="preserve">Sensor</t>
  </si>
  <si>
    <t xml:space="preserve">DR 0</t>
  </si>
  <si>
    <t xml:space="preserve">1/3</t>
  </si>
  <si>
    <t xml:space="preserve">3/4</t>
  </si>
  <si>
    <t xml:space="preserve">Uses the later Balanced-0 architecture rather than the stale early 3/5 passive seed.</t>
  </si>
  <si>
    <t xml:space="preserve">ECM</t>
  </si>
  <si>
    <t xml:space="preserve">ECCM</t>
  </si>
  <si>
    <t xml:space="preserve">DR 1</t>
  </si>
  <si>
    <t xml:space="preserve">Strength leap costs proportionally more TP.</t>
  </si>
  <si>
    <t xml:space="preserve">4/5</t>
  </si>
  <si>
    <t xml:space="preserve">The prior overload-level 4/5 envelope becomes a safe normal High mode.</t>
  </si>
  <si>
    <t xml:space="preserve">Maturation is efficiency, not rating inflation.</t>
  </si>
  <si>
    <t xml:space="preserve">DR 2</t>
  </si>
  <si>
    <t xml:space="preserve">2/4</t>
  </si>
  <si>
    <t xml:space="preserve">5/6</t>
  </si>
  <si>
    <t xml:space="preserve">bounded deception capability</t>
  </si>
  <si>
    <t xml:space="preserve">bounded anti-deception capability</t>
  </si>
  <si>
    <t xml:space="preserve">LPI/adaptive-waveform mode; emission benefit TBD, no extra range assumed.</t>
  </si>
  <si>
    <t xml:space="preserve">DR 3</t>
  </si>
  <si>
    <t xml:space="preserve">3/5</t>
  </si>
  <si>
    <t xml:space="preserve">6/7</t>
  </si>
  <si>
    <t xml:space="preserve">cooperative capped effect; no simple additive stacking</t>
  </si>
  <si>
    <t xml:space="preserve">3/6</t>
  </si>
  <si>
    <t xml:space="preserve">5/7</t>
  </si>
  <si>
    <t xml:space="preserve">7/8</t>
  </si>
  <si>
    <t xml:space="preserve">emitter-targeted capability</t>
  </si>
  <si>
    <t xml:space="preserve">DR 4</t>
  </si>
  <si>
    <t xml:space="preserve">4/7</t>
  </si>
  <si>
    <t xml:space="preserve">6/8</t>
  </si>
  <si>
    <t xml:space="preserve">8/9</t>
  </si>
  <si>
    <t xml:space="preserve">No precognition/hidden-state access; pinnacle gains robustness and bounded degraded-track competence.</t>
  </si>
  <si>
    <t xml:space="preserve">DR 5</t>
  </si>
  <si>
    <t xml:space="preserve">5/8</t>
  </si>
  <si>
    <t xml:space="preserve">7/9</t>
  </si>
  <si>
    <t xml:space="preserve">9/10</t>
  </si>
  <si>
    <t xml:space="preserve">Still probabilistic and provenance-bound; no omniscience.</t>
  </si>
  <si>
    <t xml:space="preserve">Pinnacle efficiency/cross-spectrum breadth; no invisibility or truth oracle.</t>
  </si>
  <si>
    <t xml:space="preserve">Accuracy/Base +pp</t>
  </si>
  <si>
    <t xml:space="preserve">Damage / modes</t>
  </si>
  <si>
    <t xml:space="preserve">SPEN</t>
  </si>
  <si>
    <t xml:space="preserve">APEN</t>
  </si>
  <si>
    <t xml:space="preserve">Range</t>
  </si>
  <si>
    <t xml:space="preserve">Power / readiness</t>
  </si>
  <si>
    <t xml:space="preserve">Ammo</t>
  </si>
  <si>
    <t xml:space="preserve">Reaction Capacity</t>
  </si>
  <si>
    <t xml:space="preserve">Missile Move</t>
  </si>
  <si>
    <t xml:space="preserve">Guidance %</t>
  </si>
  <si>
    <t xml:space="preserve">Intercept Range</t>
  </si>
  <si>
    <t xml:space="preserve">Kinetic Main</t>
  </si>
  <si>
    <t xml:space="preserve">Kinetic PDS</t>
  </si>
  <si>
    <t xml:space="preserve">Energy Main</t>
  </si>
  <si>
    <t xml:space="preserve">L 1TP/D2; S 2TP/D3; H 3TP/D4 (overload)</t>
  </si>
  <si>
    <t xml:space="preserve">1/2/3 TP</t>
  </si>
  <si>
    <t xml:space="preserve">Energy PDS</t>
  </si>
  <si>
    <t xml:space="preserve">Missile</t>
  </si>
  <si>
    <t xml:space="preserve">AMM PDS</t>
  </si>
  <si>
    <t xml:space="preserve">TL1 mass driver + improved penetrator materials</t>
  </si>
  <si>
    <t xml:space="preserve">No new accelerator at TL2; the strict payload improvement is folded into the representative standard attack package.</t>
  </si>
  <si>
    <t xml:space="preserve">TL1 rapid-fire kinetic PDS (held)</t>
  </si>
  <si>
    <t xml:space="preserve">CP108 Storyboard has no independent TL2 Kinetic-PDS beat; improvement comes only from the TL2 ship computer unless another payload/support is installed.</t>
  </si>
  <si>
    <t xml:space="preserve">Explicit TL2 optics/pulse improvement; this was missing from the older numerical table.</t>
  </si>
  <si>
    <t xml:space="preserve">Extended-range AMM is a separate branch.</t>
  </si>
  <si>
    <t xml:space="preserve">L 1TP/D2; S 2TP/D3; H 3TP/D4 (safe)</t>
  </si>
  <si>
    <t xml:space="preserve">Nav</t>
  </si>
  <si>
    <t xml:space="preserve">Scalable 1 TP/RC1 or 2 TP/RC2 readiness.</t>
  </si>
  <si>
    <t xml:space="preserve">L 1TP/D2; S 2TP/D4; H 3TP/D5 (safe)</t>
  </si>
  <si>
    <t xml:space="preserve">Terminal maneuver / multi-stage propulsion + multi-mode seeker</t>
  </si>
  <si>
    <t xml:space="preserve">Nav; Seeker; Approx-local acquire</t>
  </si>
  <si>
    <t xml:space="preserve">TL3 mature AMM readiness (held)</t>
  </si>
  <si>
    <t xml:space="preserve">TL4 superconducting accelerator (held)</t>
  </si>
  <si>
    <t xml:space="preserve">Primary accelerator is quiet; helical cannon and dense penetrator are optional branches.</t>
  </si>
  <si>
    <t xml:space="preserve">TL4 guided intercept projectile PDS (held)</t>
  </si>
  <si>
    <t xml:space="preserve">TL4 advanced focusing beam (held)</t>
  </si>
  <si>
    <t xml:space="preserve">Primary coherent beam is quiet; FEL/tunable and particle systems are branches.</t>
  </si>
  <si>
    <t xml:space="preserve">May fund only 1 TP for RC1; 2 TP exposes full RC2.</t>
  </si>
  <si>
    <t xml:space="preserve">TL4 delivery held; cooperative seeker network is native, swarm/bus is branch</t>
  </si>
  <si>
    <t xml:space="preserve">Nav; Seeker; Approx-local acquire; cooperative seeker networking</t>
  </si>
  <si>
    <t xml:space="preserve">capped cooperative allocation/validation; no simple rating stacking</t>
  </si>
  <si>
    <t xml:space="preserve">TL4 guided intercept PDS (held; distributed-grid branch available)</t>
  </si>
  <si>
    <t xml:space="preserve">L 1TP/D3; S 2TP/D4; H 3TP/D5 (safe)</t>
  </si>
  <si>
    <t xml:space="preserve">Scalable 1 TP/RC1 or 2 TP/RC2 readiness remains.</t>
  </si>
  <si>
    <t xml:space="preserve">Nav; Seeker; Approx-local acquire; adaptive anti-jam seeker</t>
  </si>
  <si>
    <t xml:space="preserve">TL5 cooperative AMM screen (held)</t>
  </si>
  <si>
    <t xml:space="preserve">TL6 smart hypervelocity mass driver (held)</t>
  </si>
  <si>
    <t xml:space="preserve">Primary accelerator is quiet; macron/dust remains a branch.</t>
  </si>
  <si>
    <t xml:space="preserve">TL4 guided intercept PDS (held)</t>
  </si>
  <si>
    <t xml:space="preserve">TL6 distributed/phased beam director (held)</t>
  </si>
  <si>
    <t xml:space="preserve">Extreme-frequency beam remains a branch, not the default.</t>
  </si>
  <si>
    <t xml:space="preserve">TL6 adaptive-spectrum Energy PDS (held)</t>
  </si>
  <si>
    <t xml:space="preserve">Nav; Seeker; Approx-local acquire; anti-emitter seeker mode is separately native at Missile TL7; Power TL5</t>
  </si>
  <si>
    <t xml:space="preserve">L 2TP/D4; S 3TP/D5; H 4TP/D6 (safe)</t>
  </si>
  <si>
    <t xml:space="preserve">2/3/4 TP</t>
  </si>
  <si>
    <t xml:space="preserve">TL7 delivery held; exotic-field seeker is native, field terminal maneuver is branch</t>
  </si>
  <si>
    <t xml:space="preserve">Nav; Seeker; Approx-local acquire; exotic-field seeker</t>
  </si>
  <si>
    <t xml:space="preserve">TL7 extreme-sprint AMM (held)</t>
  </si>
  <si>
    <t xml:space="preserve">Later effectiveness still rises through better ship fire control; no filler PDS family is invented.</t>
  </si>
  <si>
    <t xml:space="preserve">L 2TP/D4; S 3TP/D6; H 5TP/D7 (safe)</t>
  </si>
  <si>
    <t xml:space="preserve">2/3/5 TP</t>
  </si>
  <si>
    <t xml:space="preserve">Nav; Seeker; Approx-local acquire; bounded field-coupled terminal agility; remains on-map/interceptable</t>
  </si>
  <si>
    <t xml:space="preserve">Expression</t>
  </si>
  <si>
    <t xml:space="preserve">Candidate numerical identity</t>
  </si>
  <si>
    <t xml:space="preserve">Hard external prerequisite</t>
  </si>
  <si>
    <t xml:space="preserve">AP0 / AI2 expendable outer layer</t>
  </si>
  <si>
    <t xml:space="preserve">-</t>
  </si>
  <si>
    <t xml:space="preserve">candidate_seed_from_historical_screening</t>
  </si>
  <si>
    <t xml:space="preserve">1 Space is architecture-locked; AP0/AI2 is the old screening leader revived only as an initial numerical seed.</t>
  </si>
  <si>
    <t xml:space="preserve">kinetic-smart-projectile</t>
  </si>
  <si>
    <t xml:space="preserve">uses weapon</t>
  </si>
  <si>
    <t xml:space="preserve">+10 pp weapon accuracy; grants Approximate-Track Fire permission; attack still uses Tactical Computer penalty</t>
  </si>
  <si>
    <t xml:space="preserve">Computing / Fire Control TL4</t>
  </si>
  <si>
    <t xml:space="preserve">new_candidate</t>
  </si>
  <si>
    <t xml:space="preserve">Preserves weapon-specific permission vs computer-owned penalty.</t>
  </si>
  <si>
    <t xml:space="preserve">kinetic-dense-penetrator</t>
  </si>
  <si>
    <t xml:space="preserve">DAM -1; APEN +1 relative to current standard Kinetic package</t>
  </si>
  <si>
    <t xml:space="preserve">Explicit tradeoff instead of free universal APEN growth.</t>
  </si>
  <si>
    <t xml:space="preserve">kinetic-submunition</t>
  </si>
  <si>
    <t xml:space="preserve">candidate 2 x DAM3 packets; standard SPEN/APEN per packet</t>
  </si>
  <si>
    <t xml:space="preserve">mechanic_candidate_needs_calibration</t>
  </si>
  <si>
    <t xml:space="preserve">Designed as saturation/packet-shape branch, not raw single-packet damage growth.</t>
  </si>
  <si>
    <t xml:space="preserve">kinetic-helical</t>
  </si>
  <si>
    <t xml:space="preserve">DAM4 / R4 / Acc25 / SPEN1 / APEN1 / 0 TP; candidate high-rate/efficiency identity</t>
  </si>
  <si>
    <t xml:space="preserve">Branch remains distinct from standard superconducting accelerator.</t>
  </si>
  <si>
    <t xml:space="preserve">kinetic-macron</t>
  </si>
  <si>
    <t xml:space="preserve">candidate saturation weapon; 2 x DAM3 packets / R5 / Acc20 / SPEN1 / APEN1 / 2 TP</t>
  </si>
  <si>
    <t xml:space="preserve">Preserves macron as packet/saturation branch rather than default Kinetic main.</t>
  </si>
  <si>
    <t xml:space="preserve">armor-powered-reactive</t>
  </si>
  <si>
    <t xml:space="preserve">1 TP sustained; candidate +1 Protection against first eligible physical packet each turn</t>
  </si>
  <si>
    <t xml:space="preserve">Power TL4</t>
  </si>
  <si>
    <t xml:space="preserve">Does not change passive primary Armor when unpowered/absent.</t>
  </si>
  <si>
    <t xml:space="preserve">armor-adaptive-reactive</t>
  </si>
  <si>
    <t xml:space="preserve">1 TP sustained; candidate +1 Protection against up to 2 eligible physical packets each turn</t>
  </si>
  <si>
    <t xml:space="preserve">Computing / Fire Control TL5</t>
  </si>
  <si>
    <t xml:space="preserve">Matures response selectivity rather than passive AP.</t>
  </si>
  <si>
    <t xml:space="preserve">armor-field-assisted</t>
  </si>
  <si>
    <t xml:space="preserve">2 TP sustained; candidate reduce post-penetration DAM by 1 (minimum 1) for eligible packets</t>
  </si>
  <si>
    <t xml:space="preserve">Shields TL7</t>
  </si>
  <si>
    <t xml:space="preserve">Bounded field layer; never grants immunity.</t>
  </si>
  <si>
    <t xml:space="preserve">1 TP sustained -&gt; Shield Armor 1; nonstacking</t>
  </si>
  <si>
    <t xml:space="preserve">retained_tl3_seed</t>
  </si>
  <si>
    <t xml:space="preserve">Existing executable candidate carried forward.</t>
  </si>
  <si>
    <t xml:space="preserve">shield-particle-screen</t>
  </si>
  <si>
    <t xml:space="preserve">1 TP sustained; candidate Shield Armor +1 only vs particle/charged-beam-tagged attacks</t>
  </si>
  <si>
    <t xml:space="preserve">Energy Weapons TL5</t>
  </si>
  <si>
    <t xml:space="preserve">Specialist counter, not universal shield scalar.</t>
  </si>
  <si>
    <t xml:space="preserve">shield-field-stabilizer</t>
  </si>
  <si>
    <t xml:space="preserve">1 TP sustained; candidate reduce incoming SPEN by 1 (minimum 0) before Shield Armor check</t>
  </si>
  <si>
    <t xml:space="preserve">Computing / Fire Control TL6</t>
  </si>
  <si>
    <t xml:space="preserve">Specialist anti-penetration support.</t>
  </si>
  <si>
    <t xml:space="preserve">energy-fel</t>
  </si>
  <si>
    <t xml:space="preserve">R7 / Acc30 / Standard 3 TP DAM4; choose SPEN2/APEN1 or SPEN1/APEN2 before firing</t>
  </si>
  <si>
    <t xml:space="preserve">Tunable interaction is the branch identity.</t>
  </si>
  <si>
    <t xml:space="preserve">energy-ion</t>
  </si>
  <si>
    <t xml:space="preserve">R5 / Acc25 / 3 TP / DAM4 / SPEN2 / APEN1</t>
  </si>
  <si>
    <t xml:space="preserve">High-power shield/subsystem-oriented branch.</t>
  </si>
  <si>
    <t xml:space="preserve">energy-neutral-particle</t>
  </si>
  <si>
    <t xml:space="preserve">R6 / Acc25 / 3 TP / DAM5 / SPEN1 / APEN2</t>
  </si>
  <si>
    <t xml:space="preserve">Mature particle delivery with better armor interaction.</t>
  </si>
  <si>
    <t xml:space="preserve">energy-plasma</t>
  </si>
  <si>
    <t xml:space="preserve">R3 / Acc20 / 3 TP / DAM6 / SPEN1 / APEN2</t>
  </si>
  <si>
    <t xml:space="preserve">Short-range high-deposition specialist.</t>
  </si>
  <si>
    <t xml:space="preserve">energy-extreme-frequency</t>
  </si>
  <si>
    <t xml:space="preserve">R9 / Acc30 / 4 TP / DAM6 / SPEN2 / APEN2</t>
  </si>
  <si>
    <t xml:space="preserve">Branch extends range/penetration at high power rather than replacing standard beam.</t>
  </si>
  <si>
    <t xml:space="preserve">missile-extended-amm</t>
  </si>
  <si>
    <t xml:space="preserve">intercept range 1; Base Chance 15; RC1; 2 TP; 20 interceptors</t>
  </si>
  <si>
    <t xml:space="preserve">Distinct from local AMM; lower efficiency pays for stand-off interception.</t>
  </si>
  <si>
    <t xml:space="preserve">missile-shaped-warhead</t>
  </si>
  <si>
    <t xml:space="preserve">uses launcher</t>
  </si>
  <si>
    <t xml:space="preserve">DAM5 / SPEN1 / APEN3</t>
  </si>
  <si>
    <t xml:space="preserve">Native Missile penetration specialization.</t>
  </si>
  <si>
    <t xml:space="preserve">missile-nuclear-shaped</t>
  </si>
  <si>
    <t xml:space="preserve">DAM7 / SPEN2 / APEN3</t>
  </si>
  <si>
    <t xml:space="preserve">Large native payload step; exact strategic/crew consequences remain separate.</t>
  </si>
  <si>
    <t xml:space="preserve">missile-swarm-bus</t>
  </si>
  <si>
    <t xml:space="preserve">installed_component_mode</t>
  </si>
  <si>
    <t xml:space="preserve">launcher unchanged</t>
  </si>
  <si>
    <t xml:space="preserve">candidate launch up to 2 Missile Flights in one launch action; each consumes 1 flight and resolves/intercepts independently</t>
  </si>
  <si>
    <t xml:space="preserve">Creates salvo behavior without increasing warhead stats.</t>
  </si>
  <si>
    <t xml:space="preserve">missile-fusion-warhead</t>
  </si>
  <si>
    <t xml:space="preserve">DAM8 / SPEN2 / APEN3</t>
  </si>
  <si>
    <t xml:space="preserve">Automatically unlocks when Missile5 and practical Fusion are both known.</t>
  </si>
  <si>
    <t xml:space="preserve">missile-antimatter-warhead</t>
  </si>
  <si>
    <t xml:space="preserve">DAM10 / SPEN3 / APEN4</t>
  </si>
  <si>
    <t xml:space="preserve">Pinnacle conventional-player payload branch; very strong but finite, track-dependent and interceptable.</t>
  </si>
  <si>
    <t xml:space="preserve">missile-field-terminal</t>
  </si>
  <si>
    <t xml:space="preserve">candidate +2 terminal Move only in final approach; no range extension; remains PDS-interceptable</t>
  </si>
  <si>
    <t xml:space="preserve">Propulsion TL8</t>
  </si>
  <si>
    <t xml:space="preserve">Bounded field application, not tactical micro-jump.</t>
  </si>
  <si>
    <t xml:space="preserve">power-fission-revival-tl5</t>
  </si>
  <si>
    <t xml:space="preserve">6 Operational / 5 Degraded / 2 Emergency TP</t>
  </si>
  <si>
    <t xml:space="preserve">Legacy niche: low frontier output, excellent resilience and straightforward integration.</t>
  </si>
  <si>
    <t xml:space="preserve">power-fission-revival-tl7</t>
  </si>
  <si>
    <t xml:space="preserve">7 Operational / 6 Degraded / 2 Emergency TP</t>
  </si>
  <si>
    <t xml:space="preserve">Late expedition niche; mature old family remains relevant without competing on peak output.</t>
  </si>
  <si>
    <t xml:space="preserve">power-supercapacitor</t>
  </si>
  <si>
    <t xml:space="preserve">candidate 3 stored TP; discharge up to 2 TP/turn; recharge from Available TP</t>
  </si>
  <si>
    <t xml:space="preserve">Storage does not increase sustained generation.</t>
  </si>
  <si>
    <t xml:space="preserve">power-smes</t>
  </si>
  <si>
    <t xml:space="preserve">candidate 5 stored TP; discharge up to 3 TP/turn</t>
  </si>
  <si>
    <t xml:space="preserve">Higher burst/shift capacity.</t>
  </si>
  <si>
    <t xml:space="preserve">power-ultracap</t>
  </si>
  <si>
    <t xml:space="preserve">candidate 7 stored TP; discharge up to 4 TP/turn</t>
  </si>
  <si>
    <t xml:space="preserve">Late storage maturity without replacing reactors.</t>
  </si>
  <si>
    <t xml:space="preserve">hull-repair-robotics</t>
  </si>
  <si>
    <t xml:space="preserve">candidate +10 pp to one Damage Control attempt/turn; no extra repair step</t>
  </si>
  <si>
    <t xml:space="preserve">Computing / Fire Control TL3</t>
  </si>
  <si>
    <t xml:space="preserve">Augments current Damage Control abstraction.</t>
  </si>
  <si>
    <t xml:space="preserve">hull-repair-swarm</t>
  </si>
  <si>
    <t xml:space="preserve">candidate +10 pp and may assist up to 2 allocated Damage Control attempts/turn; no free repair</t>
  </si>
  <si>
    <t xml:space="preserve">Bounded multi-fault assistance.</t>
  </si>
  <si>
    <t xml:space="preserve">HARD PREREQUISITE CANDIDATES</t>
  </si>
  <si>
    <t xml:space="preserve">gate-stl-tl3-fusion</t>
  </si>
  <si>
    <t xml:space="preserve">standard_sparse_gate</t>
  </si>
  <si>
    <t xml:space="preserve">Automatic unlock when all requirements exist</t>
  </si>
  <si>
    <t xml:space="preserve">candidate_not_promoted</t>
  </si>
  <si>
    <t xml:space="preserve">The propulsion concept explicitly relies on practical Fusion; Propulsion still gains its TL3 FTL/navigation advance even if the STL item remains latent.</t>
  </si>
  <si>
    <t xml:space="preserve">gate-stl-tl5-antimatter</t>
  </si>
  <si>
    <t xml:space="preserve">Antimatter catalysis requires practical antimatter production/containment; the Propulsion TL5 FTL advance remains ungated.</t>
  </si>
  <si>
    <t xml:space="preserve">gate-stl-tl6-antimatter</t>
  </si>
  <si>
    <t xml:space="preserve">Uses the same antimatter enabling science while maturing the propulsion application.</t>
  </si>
  <si>
    <t xml:space="preserve">gate-kinetic-smart-projectile</t>
  </si>
  <si>
    <t xml:space="preserve">branch_gate</t>
  </si>
  <si>
    <t xml:space="preserve">Onboard correction, course prediction and bounded Approximate-track fire require contemporary photonic/optical guidance computation.</t>
  </si>
  <si>
    <t xml:space="preserve">gate-armor-reactive</t>
  </si>
  <si>
    <t xml:space="preserve">The branch depends on compact high-rate pulsed power rather than passive material strength alone.</t>
  </si>
  <si>
    <t xml:space="preserve">gate-armor-adaptive-reactive</t>
  </si>
  <si>
    <t xml:space="preserve">Adaptive threat classification/control is the enabling cross-pollination; the earlier powered branch already carries its power burden.</t>
  </si>
  <si>
    <t xml:space="preserve">gate-armor-field</t>
  </si>
  <si>
    <t xml:space="preserve">This branch explicitly reuses mature defensive-field control rather than making passive Armor itself field-dependent.</t>
  </si>
  <si>
    <t xml:space="preserve">gate-energy-ion</t>
  </si>
  <si>
    <t xml:space="preserve">A sustained charged-particle weapon needs the high-output power/conditioning frontier represented by mature high-output Fusion.</t>
  </si>
  <si>
    <t xml:space="preserve">gate-shield-particle-screen</t>
  </si>
  <si>
    <t xml:space="preserve">The specialist screen depends on mature understanding of charged-particle beam behavior.</t>
  </si>
  <si>
    <t xml:space="preserve">gate-shield-stabilizer</t>
  </si>
  <si>
    <t xml:space="preserve">Fast distributed field control is the enabling technology; the base TL7 Shield remains independently researchable.</t>
  </si>
  <si>
    <t xml:space="preserve">gate-missile-fusion-warhead</t>
  </si>
  <si>
    <t xml:space="preserve">Practical controlled Fusion knowledge enables a compact fusion microcharge; unlock is automatic when both requirements exist.</t>
  </si>
  <si>
    <t xml:space="preserve">gate-missile-antimatter-drive</t>
  </si>
  <si>
    <t xml:space="preserve">The drive explicitly consumes antimatter technology; Missile TL7 still provides native anti-emitter seeker and AMM advances if this delivery upgrade remains latent.</t>
  </si>
  <si>
    <t xml:space="preserve">gate-missile-antimatter-warhead</t>
  </si>
  <si>
    <t xml:space="preserve">Antimatter production/containment is a genuine enabling science, not a generic breadth bonus.</t>
  </si>
  <si>
    <t xml:space="preserve">gate-missile-field-terminal</t>
  </si>
  <si>
    <t xml:space="preserve">The optional branch adapts inertial/field propulsion science to terminal maneuvering; the TL8 exotic seeker remains native Missile progression.</t>
  </si>
  <si>
    <t xml:space="preserve">gate-hull-repair-robotics</t>
  </si>
  <si>
    <t xml:space="preserve">Autonomous inspection/manipulation requires the mature automation foundation but does not gate core Hull progression.</t>
  </si>
  <si>
    <t xml:space="preserve">gate-hull-repair-swarm</t>
  </si>
  <si>
    <t xml:space="preserve">Distributed autonomous agents are the causal enabling technology; the Hull TL6 structural lattice remains independent.</t>
  </si>
  <si>
    <t xml:space="preserve">Prior seed/evidence</t>
  </si>
  <si>
    <t xml:space="preserve">v0.1 candidate</t>
  </si>
  <si>
    <t xml:space="preserve">Reason for change / retention</t>
  </si>
  <si>
    <t xml:space="preserve">Early Practical Fusion = 6 Operational TP / 6 Space; other condition values held/deferred</t>
  </si>
  <si>
    <t xml:space="preserve">7 Operational / 3 Degraded / 0 Emergency TP / 6 Space</t>
  </si>
  <si>
    <t xml:space="preserve">The Storyboard makes practical Fusion a new reactor principle that must move the achievable frontier; 6 vs 5 was too close to the old incremental ladder. Fragile damaged behavior preserves Peak Fission relevance.</t>
  </si>
  <si>
    <t xml:space="preserve">Power TL3</t>
  </si>
  <si>
    <t xml:space="preserve">Mature Compact Fusion = 6 Operational / 3 Degraded / 1 Emergency TP / 5 Space</t>
  </si>
  <si>
    <t xml:space="preserve">7 Operational / 4 Degraded / 1 Emergency TP / 5 Space</t>
  </si>
  <si>
    <t xml:space="preserve">Maturation should consolidate the TL2 frontier rather than erase it: same peak output, better compactness and resilience.</t>
  </si>
  <si>
    <t xml:space="preserve">Kinetic PDS TL2</t>
  </si>
  <si>
    <t xml:space="preserve">Historical TL2 PDS characteristic = Base Chance 13 / Ammo 60</t>
  </si>
  <si>
    <t xml:space="preserve">No independent TL2 Kinetic-PDS upgrade; hold TL1 Base Chance 10 / Ammo 50, while TL2 Tactical Computer still improves ship targeting</t>
  </si>
  <si>
    <t xml:space="preserve">CP108 Storyboard deliberately has no TL2 Kinetic-PDS beat. The prior small PDS bump was an artifact of the old every-TL refinement model. TL3 becomes the first local PDS maturation.</t>
  </si>
  <si>
    <t xml:space="preserve">Energy Main TL2</t>
  </si>
  <si>
    <t xml:space="preserve">No durable family-specific TL2 numerical profile</t>
  </si>
  <si>
    <t xml:space="preserve">Range 6 / Accuracy +30 pp; TL1 damage/power packet retained</t>
  </si>
  <si>
    <t xml:space="preserve">The Storyboard explicitly assigns improved optics/pulse conditioning at TL2; range/solution quality is a more faithful expression than generic damage inflation.</t>
  </si>
  <si>
    <t xml:space="preserve">Missile Delivery TL2</t>
  </si>
  <si>
    <t xml:space="preserve">No durable whole-ladder numeric profile beyond lower-TL fixtures</t>
  </si>
  <si>
    <t xml:space="preserve">Missile Move 3 / Range 8; warhead and hit chance held</t>
  </si>
  <si>
    <t xml:space="preserve">The Storyboard explicitly assigns improved propulsion/endurance; delivery improves without silently changing guidance or payload.</t>
  </si>
  <si>
    <t xml:space="preserve">Sensor TL1 range authority</t>
  </si>
  <si>
    <t xml:space="preserve">Early TL1 baseline CSV still contains passive 3/5 and active 5/7-style values</t>
  </si>
  <si>
    <t xml:space="preserve">Passive 1/3; normal Active 3/4; overload 4/5</t>
  </si>
  <si>
    <t xml:space="preserve">Uses the later Balanced-0 Sensor/EW architecture that underlies accepted CP69+ work and TL3 dual-mode integration, avoiding a stale pre-revision fixture.</t>
  </si>
  <si>
    <t xml:space="preserve">TL1-TL3 general policy</t>
  </si>
  <si>
    <t xml:space="preserve">Often treated as a low-tech 1-&gt;2-&gt;3 refinement sequence</t>
  </si>
  <si>
    <t xml:space="preserve">Retain prior values only where the Storyboard supports them; allow major family introductions, quiet steps, or capability/efficiency maturation</t>
  </si>
  <si>
    <t xml:space="preserve">The Storyboard is the conceptual authority above the numerical table; prior validation is evidence about mechanics, not a lock on the old ladder shape.</t>
  </si>
  <si>
    <t xml:space="preserve">Main Weapon Space</t>
  </si>
  <si>
    <t xml:space="preserve">Reactor Space</t>
  </si>
  <si>
    <t xml:space="preserve">STL Space</t>
  </si>
  <si>
    <t xml:space="preserve">FTL Space</t>
  </si>
  <si>
    <t xml:space="preserve">Computer Space</t>
  </si>
  <si>
    <t xml:space="preserve">Sensor Space</t>
  </si>
  <si>
    <t xml:space="preserve">Mandatory Core</t>
  </si>
  <si>
    <t xml:space="preserve">Spare Space</t>
  </si>
  <si>
    <t xml:space="preserve">2 Main + 2 Reactor Core</t>
  </si>
  <si>
    <t xml:space="preserve">2+2 Legal?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</si>
</sst>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0000"/>
      <name val="Cambria"/>
      <family val="0"/>
      <charset val="1"/>
    </font>
    <font>
      <sz val="11"/>
      <color rgb="FF666666"/>
      <name val="Cambria"/>
      <family val="0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CE4D6"/>
        <bgColor rgb="FFE7E6E6"/>
      </patternFill>
    </fill>
    <fill>
      <patternFill patternType="solid">
        <fgColor rgb="FF1F4E78"/>
        <bgColor rgb="FF003366"/>
      </patternFill>
    </fill>
    <fill>
      <patternFill patternType="solid">
        <fgColor rgb="FFE2F0D9"/>
        <bgColor rgb="FFE7E6E6"/>
      </patternFill>
    </fill>
    <fill>
      <patternFill patternType="solid">
        <fgColor rgb="FFE7E6E6"/>
        <bgColor rgb="FFE4DFEC"/>
      </patternFill>
    </fill>
    <fill>
      <patternFill patternType="solid">
        <fgColor rgb="FFE4DFEC"/>
        <bgColor rgb="FFE7E6E6"/>
      </patternFill>
    </fill>
    <fill>
      <patternFill patternType="solid">
        <fgColor rgb="FFD9EAF7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E4DFE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4DFEC"/>
      <rgbColor rgb="FF808080"/>
      <rgbColor rgb="FF9999FF"/>
      <rgbColor rgb="FF993366"/>
      <rgbColor rgb="FFFCE4D6"/>
      <rgbColor rgb="FFD9EA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5"/>
  </cols>
  <sheetData>
    <row r="1" customFormat="false" ht="17.9" hidden="false" customHeight="false" outlineLevel="0" collapsed="false">
      <c r="A1" s="1" t="s">
        <v>0</v>
      </c>
    </row>
    <row r="2" customFormat="false" ht="45" hidden="false" customHeight="true" outlineLevel="0" collapsed="false">
      <c r="A2" s="2" t="s">
        <v>1</v>
      </c>
    </row>
    <row r="3" customFormat="false" ht="45" hidden="false" customHeight="true" outlineLevel="0" collapsed="false">
      <c r="A3" s="3" t="s">
        <v>2</v>
      </c>
    </row>
    <row r="4" customFormat="false" ht="30" hidden="false" customHeight="true" outlineLevel="0" collapsed="false">
      <c r="A4" s="3" t="s">
        <v>3</v>
      </c>
    </row>
    <row r="5" customFormat="false" ht="45" hidden="false" customHeight="true" outlineLevel="0" collapsed="false">
      <c r="A5" s="3" t="s">
        <v>4</v>
      </c>
    </row>
    <row r="6" customFormat="false" ht="30" hidden="false" customHeight="true" outlineLevel="0" collapsed="false">
      <c r="A6" s="3" t="s">
        <v>5</v>
      </c>
    </row>
    <row r="7" customFormat="false" ht="45" hidden="false" customHeight="true" outlineLevel="0" collapsed="false">
      <c r="A7" s="3" t="s">
        <v>6</v>
      </c>
    </row>
    <row r="8" customFormat="false" ht="45" hidden="false" customHeight="true" outlineLevel="0" collapsed="false">
      <c r="A8" s="3" t="s">
        <v>7</v>
      </c>
    </row>
    <row r="9" customFormat="false" ht="30" hidden="false" customHeight="true" outlineLevel="0" collapsed="false">
      <c r="A9" s="3" t="s">
        <v>8</v>
      </c>
    </row>
    <row r="10" customFormat="false" ht="45" hidden="false" customHeight="true" outlineLevel="0" collapsed="false">
      <c r="A10" s="2" t="s">
        <v>9</v>
      </c>
    </row>
    <row r="11" customFormat="false" ht="45" hidden="false" customHeight="true" outlineLevel="0" collapsed="false">
      <c r="A11" s="0" t="s">
        <v>10</v>
      </c>
    </row>
    <row r="12" customFormat="false" ht="45" hidden="false" customHeight="true" outlineLevel="0" collapsed="false">
      <c r="A12" s="0" t="s">
        <v>11</v>
      </c>
    </row>
    <row r="13" customFormat="false" ht="45" hidden="false" customHeight="true" outlineLevel="0" collapsed="false">
      <c r="A13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&amp;CStar Cluster - provisional candidate matrix - no calibration&amp;RPage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"/>
    <col collapsed="false" customWidth="true" hidden="false" outlineLevel="0" max="3" min="3" style="0" width="58"/>
    <col collapsed="false" customWidth="true" hidden="false" outlineLevel="0" max="4" min="4" style="0" width="62"/>
    <col collapsed="false" customWidth="true" hidden="false" outlineLevel="0" max="5" min="5" style="0" width="52"/>
  </cols>
  <sheetData>
    <row r="1" customFormat="false" ht="31.5" hidden="false" customHeight="tru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</row>
    <row r="2" customFormat="false" ht="60" hidden="false" customHeight="true" outlineLevel="0" collapsed="false">
      <c r="A2" s="6" t="s">
        <v>18</v>
      </c>
      <c r="B2" s="7" t="n">
        <v>1</v>
      </c>
      <c r="C2" s="6" t="s">
        <v>19</v>
      </c>
      <c r="D2" s="8" t="s">
        <v>20</v>
      </c>
      <c r="E2" s="6" t="s">
        <v>21</v>
      </c>
    </row>
    <row r="3" customFormat="false" ht="30" hidden="false" customHeight="true" outlineLevel="0" collapsed="false">
      <c r="A3" s="6" t="s">
        <v>18</v>
      </c>
      <c r="B3" s="7" t="n">
        <v>2</v>
      </c>
      <c r="C3" s="6" t="s">
        <v>22</v>
      </c>
      <c r="D3" s="6" t="s">
        <v>21</v>
      </c>
      <c r="E3" s="6" t="s">
        <v>21</v>
      </c>
    </row>
    <row r="4" customFormat="false" ht="30" hidden="false" customHeight="true" outlineLevel="0" collapsed="false">
      <c r="A4" s="6" t="s">
        <v>18</v>
      </c>
      <c r="B4" s="7" t="n">
        <v>3</v>
      </c>
      <c r="C4" s="6" t="s">
        <v>23</v>
      </c>
      <c r="D4" s="8" t="s">
        <v>24</v>
      </c>
      <c r="E4" s="6" t="s">
        <v>21</v>
      </c>
    </row>
    <row r="5" customFormat="false" ht="45" hidden="false" customHeight="true" outlineLevel="0" collapsed="false">
      <c r="A5" s="6" t="s">
        <v>18</v>
      </c>
      <c r="B5" s="7" t="n">
        <v>4</v>
      </c>
      <c r="C5" s="6" t="s">
        <v>25</v>
      </c>
      <c r="D5" s="8" t="s">
        <v>26</v>
      </c>
      <c r="E5" s="6" t="s">
        <v>21</v>
      </c>
    </row>
    <row r="6" customFormat="false" ht="30" hidden="false" customHeight="true" outlineLevel="0" collapsed="false">
      <c r="A6" s="6" t="s">
        <v>18</v>
      </c>
      <c r="B6" s="7" t="n">
        <v>5</v>
      </c>
      <c r="C6" s="6" t="s">
        <v>27</v>
      </c>
      <c r="D6" s="8" t="s">
        <v>28</v>
      </c>
      <c r="E6" s="6" t="s">
        <v>21</v>
      </c>
    </row>
    <row r="7" customFormat="false" ht="45" hidden="false" customHeight="true" outlineLevel="0" collapsed="false">
      <c r="A7" s="6" t="s">
        <v>18</v>
      </c>
      <c r="B7" s="7" t="n">
        <v>6</v>
      </c>
      <c r="C7" s="6" t="s">
        <v>29</v>
      </c>
      <c r="D7" s="8" t="s">
        <v>30</v>
      </c>
      <c r="E7" s="6" t="s">
        <v>21</v>
      </c>
    </row>
    <row r="8" customFormat="false" ht="30" hidden="false" customHeight="true" outlineLevel="0" collapsed="false">
      <c r="A8" s="6" t="s">
        <v>18</v>
      </c>
      <c r="B8" s="7" t="n">
        <v>7</v>
      </c>
      <c r="C8" s="6" t="s">
        <v>31</v>
      </c>
      <c r="D8" s="8" t="s">
        <v>32</v>
      </c>
      <c r="E8" s="6" t="s">
        <v>21</v>
      </c>
    </row>
    <row r="9" customFormat="false" ht="30" hidden="false" customHeight="true" outlineLevel="0" collapsed="false">
      <c r="A9" s="6" t="s">
        <v>18</v>
      </c>
      <c r="B9" s="7" t="n">
        <v>8</v>
      </c>
      <c r="C9" s="6" t="s">
        <v>33</v>
      </c>
      <c r="D9" s="8" t="s">
        <v>34</v>
      </c>
      <c r="E9" s="9" t="s">
        <v>35</v>
      </c>
    </row>
    <row r="10" customFormat="false" ht="30" hidden="false" customHeight="true" outlineLevel="0" collapsed="false">
      <c r="A10" s="6" t="s">
        <v>18</v>
      </c>
      <c r="B10" s="7" t="n">
        <v>9</v>
      </c>
      <c r="C10" s="6" t="s">
        <v>36</v>
      </c>
      <c r="D10" s="8" t="s">
        <v>37</v>
      </c>
      <c r="E10" s="6" t="s">
        <v>21</v>
      </c>
    </row>
    <row r="11" customFormat="false" ht="30" hidden="false" customHeight="true" outlineLevel="0" collapsed="false">
      <c r="A11" s="6" t="s">
        <v>38</v>
      </c>
      <c r="B11" s="7" t="n">
        <v>1</v>
      </c>
      <c r="C11" s="6" t="s">
        <v>39</v>
      </c>
      <c r="D11" s="8" t="s">
        <v>40</v>
      </c>
      <c r="E11" s="6" t="s">
        <v>21</v>
      </c>
    </row>
    <row r="12" customFormat="false" ht="30" hidden="false" customHeight="true" outlineLevel="0" collapsed="false">
      <c r="A12" s="6" t="s">
        <v>38</v>
      </c>
      <c r="B12" s="7" t="n">
        <v>2</v>
      </c>
      <c r="C12" s="6" t="s">
        <v>41</v>
      </c>
      <c r="D12" s="6" t="s">
        <v>21</v>
      </c>
      <c r="E12" s="6" t="s">
        <v>21</v>
      </c>
    </row>
    <row r="13" customFormat="false" ht="18" hidden="false" customHeight="true" outlineLevel="0" collapsed="false">
      <c r="A13" s="6" t="s">
        <v>38</v>
      </c>
      <c r="B13" s="7" t="n">
        <v>3</v>
      </c>
      <c r="C13" s="6" t="s">
        <v>42</v>
      </c>
      <c r="D13" s="6" t="s">
        <v>21</v>
      </c>
      <c r="E13" s="6" t="s">
        <v>21</v>
      </c>
    </row>
    <row r="14" customFormat="false" ht="30" hidden="false" customHeight="true" outlineLevel="0" collapsed="false">
      <c r="A14" s="6" t="s">
        <v>38</v>
      </c>
      <c r="B14" s="7" t="n">
        <v>4</v>
      </c>
      <c r="C14" s="6" t="s">
        <v>43</v>
      </c>
      <c r="D14" s="8" t="s">
        <v>44</v>
      </c>
      <c r="E14" s="6" t="s">
        <v>21</v>
      </c>
    </row>
    <row r="15" customFormat="false" ht="30" hidden="false" customHeight="true" outlineLevel="0" collapsed="false">
      <c r="A15" s="6" t="s">
        <v>38</v>
      </c>
      <c r="B15" s="7" t="n">
        <v>5</v>
      </c>
      <c r="C15" s="6" t="s">
        <v>45</v>
      </c>
      <c r="D15" s="8" t="s">
        <v>46</v>
      </c>
      <c r="E15" s="6" t="s">
        <v>21</v>
      </c>
    </row>
    <row r="16" customFormat="false" ht="18" hidden="false" customHeight="true" outlineLevel="0" collapsed="false">
      <c r="A16" s="6" t="s">
        <v>38</v>
      </c>
      <c r="B16" s="7" t="n">
        <v>6</v>
      </c>
      <c r="C16" s="6" t="s">
        <v>47</v>
      </c>
      <c r="D16" s="6" t="s">
        <v>21</v>
      </c>
      <c r="E16" s="6" t="s">
        <v>21</v>
      </c>
    </row>
    <row r="17" customFormat="false" ht="30" hidden="false" customHeight="true" outlineLevel="0" collapsed="false">
      <c r="A17" s="6" t="s">
        <v>38</v>
      </c>
      <c r="B17" s="7" t="n">
        <v>7</v>
      </c>
      <c r="C17" s="10" t="s">
        <v>21</v>
      </c>
      <c r="D17" s="8" t="s">
        <v>48</v>
      </c>
      <c r="E17" s="9" t="s">
        <v>49</v>
      </c>
    </row>
    <row r="18" customFormat="false" ht="30" hidden="false" customHeight="true" outlineLevel="0" collapsed="false">
      <c r="A18" s="6" t="s">
        <v>38</v>
      </c>
      <c r="B18" s="7" t="n">
        <v>8</v>
      </c>
      <c r="C18" s="10" t="s">
        <v>21</v>
      </c>
      <c r="D18" s="8" t="s">
        <v>50</v>
      </c>
      <c r="E18" s="6" t="s">
        <v>21</v>
      </c>
    </row>
    <row r="19" customFormat="false" ht="18" hidden="false" customHeight="true" outlineLevel="0" collapsed="false">
      <c r="A19" s="6" t="s">
        <v>38</v>
      </c>
      <c r="B19" s="7" t="n">
        <v>9</v>
      </c>
      <c r="C19" s="6" t="s">
        <v>51</v>
      </c>
      <c r="D19" s="6" t="s">
        <v>21</v>
      </c>
      <c r="E19" s="6" t="s">
        <v>21</v>
      </c>
    </row>
    <row r="20" customFormat="false" ht="60" hidden="false" customHeight="true" outlineLevel="0" collapsed="false">
      <c r="A20" s="6" t="s">
        <v>52</v>
      </c>
      <c r="B20" s="7" t="n">
        <v>1</v>
      </c>
      <c r="C20" s="6" t="s">
        <v>53</v>
      </c>
      <c r="D20" s="8" t="s">
        <v>54</v>
      </c>
      <c r="E20" s="6" t="s">
        <v>21</v>
      </c>
    </row>
    <row r="21" customFormat="false" ht="30" hidden="false" customHeight="true" outlineLevel="0" collapsed="false">
      <c r="A21" s="6" t="s">
        <v>52</v>
      </c>
      <c r="B21" s="7" t="n">
        <v>2</v>
      </c>
      <c r="C21" s="6" t="s">
        <v>55</v>
      </c>
      <c r="D21" s="8" t="s">
        <v>56</v>
      </c>
      <c r="E21" s="6" t="s">
        <v>21</v>
      </c>
    </row>
    <row r="22" customFormat="false" ht="30" hidden="false" customHeight="true" outlineLevel="0" collapsed="false">
      <c r="A22" s="6" t="s">
        <v>52</v>
      </c>
      <c r="B22" s="7" t="n">
        <v>3</v>
      </c>
      <c r="C22" s="6" t="s">
        <v>57</v>
      </c>
      <c r="D22" s="8" t="s">
        <v>58</v>
      </c>
      <c r="E22" s="6" t="s">
        <v>21</v>
      </c>
    </row>
    <row r="23" customFormat="false" ht="45" hidden="false" customHeight="true" outlineLevel="0" collapsed="false">
      <c r="A23" s="6" t="s">
        <v>52</v>
      </c>
      <c r="B23" s="7" t="n">
        <v>4</v>
      </c>
      <c r="C23" s="6" t="s">
        <v>59</v>
      </c>
      <c r="D23" s="8" t="s">
        <v>60</v>
      </c>
      <c r="E23" s="6" t="s">
        <v>21</v>
      </c>
    </row>
    <row r="24" customFormat="false" ht="60" hidden="false" customHeight="true" outlineLevel="0" collapsed="false">
      <c r="A24" s="6" t="s">
        <v>52</v>
      </c>
      <c r="B24" s="7" t="n">
        <v>5</v>
      </c>
      <c r="C24" s="6" t="s">
        <v>61</v>
      </c>
      <c r="D24" s="8" t="s">
        <v>62</v>
      </c>
      <c r="E24" s="6" t="s">
        <v>21</v>
      </c>
    </row>
    <row r="25" customFormat="false" ht="45" hidden="false" customHeight="true" outlineLevel="0" collapsed="false">
      <c r="A25" s="6" t="s">
        <v>52</v>
      </c>
      <c r="B25" s="7" t="n">
        <v>6</v>
      </c>
      <c r="C25" s="6" t="s">
        <v>63</v>
      </c>
      <c r="D25" s="8" t="s">
        <v>64</v>
      </c>
      <c r="E25" s="6" t="s">
        <v>21</v>
      </c>
    </row>
    <row r="26" customFormat="false" ht="30" hidden="false" customHeight="true" outlineLevel="0" collapsed="false">
      <c r="A26" s="6" t="s">
        <v>52</v>
      </c>
      <c r="B26" s="7" t="n">
        <v>7</v>
      </c>
      <c r="C26" s="6" t="s">
        <v>65</v>
      </c>
      <c r="D26" s="8" t="s">
        <v>66</v>
      </c>
      <c r="E26" s="6" t="s">
        <v>21</v>
      </c>
    </row>
    <row r="27" customFormat="false" ht="45" hidden="false" customHeight="true" outlineLevel="0" collapsed="false">
      <c r="A27" s="6" t="s">
        <v>52</v>
      </c>
      <c r="B27" s="7" t="n">
        <v>8</v>
      </c>
      <c r="C27" s="6" t="s">
        <v>67</v>
      </c>
      <c r="D27" s="6" t="s">
        <v>21</v>
      </c>
      <c r="E27" s="9" t="s">
        <v>68</v>
      </c>
    </row>
    <row r="28" customFormat="false" ht="18" hidden="false" customHeight="true" outlineLevel="0" collapsed="false">
      <c r="A28" s="6" t="s">
        <v>52</v>
      </c>
      <c r="B28" s="7" t="n">
        <v>9</v>
      </c>
      <c r="C28" s="6" t="s">
        <v>69</v>
      </c>
      <c r="D28" s="6" t="s">
        <v>21</v>
      </c>
      <c r="E28" s="6" t="s">
        <v>21</v>
      </c>
    </row>
    <row r="29" customFormat="false" ht="45" hidden="false" customHeight="true" outlineLevel="0" collapsed="false">
      <c r="A29" s="6" t="s">
        <v>70</v>
      </c>
      <c r="B29" s="7" t="n">
        <v>1</v>
      </c>
      <c r="C29" s="6" t="s">
        <v>71</v>
      </c>
      <c r="D29" s="8" t="s">
        <v>72</v>
      </c>
      <c r="E29" s="6" t="s">
        <v>21</v>
      </c>
    </row>
    <row r="30" customFormat="false" ht="30" hidden="false" customHeight="true" outlineLevel="0" collapsed="false">
      <c r="A30" s="6" t="s">
        <v>70</v>
      </c>
      <c r="B30" s="7" t="n">
        <v>2</v>
      </c>
      <c r="C30" s="6" t="s">
        <v>73</v>
      </c>
      <c r="D30" s="8" t="s">
        <v>74</v>
      </c>
      <c r="E30" s="6" t="s">
        <v>21</v>
      </c>
    </row>
    <row r="31" customFormat="false" ht="45" hidden="false" customHeight="true" outlineLevel="0" collapsed="false">
      <c r="A31" s="6" t="s">
        <v>70</v>
      </c>
      <c r="B31" s="7" t="n">
        <v>3</v>
      </c>
      <c r="C31" s="6" t="s">
        <v>75</v>
      </c>
      <c r="D31" s="6" t="s">
        <v>21</v>
      </c>
      <c r="E31" s="6" t="s">
        <v>21</v>
      </c>
    </row>
    <row r="32" customFormat="false" ht="45" hidden="false" customHeight="true" outlineLevel="0" collapsed="false">
      <c r="A32" s="6" t="s">
        <v>70</v>
      </c>
      <c r="B32" s="7" t="n">
        <v>4</v>
      </c>
      <c r="C32" s="6" t="s">
        <v>76</v>
      </c>
      <c r="D32" s="8" t="s">
        <v>77</v>
      </c>
      <c r="E32" s="6" t="s">
        <v>21</v>
      </c>
    </row>
    <row r="33" customFormat="false" ht="30" hidden="false" customHeight="true" outlineLevel="0" collapsed="false">
      <c r="A33" s="6" t="s">
        <v>70</v>
      </c>
      <c r="B33" s="7" t="n">
        <v>5</v>
      </c>
      <c r="C33" s="6" t="s">
        <v>78</v>
      </c>
      <c r="D33" s="6" t="s">
        <v>21</v>
      </c>
      <c r="E33" s="6" t="s">
        <v>21</v>
      </c>
    </row>
    <row r="34" customFormat="false" ht="30" hidden="false" customHeight="true" outlineLevel="0" collapsed="false">
      <c r="A34" s="6" t="s">
        <v>70</v>
      </c>
      <c r="B34" s="7" t="n">
        <v>6</v>
      </c>
      <c r="C34" s="6" t="s">
        <v>79</v>
      </c>
      <c r="D34" s="6" t="s">
        <v>21</v>
      </c>
      <c r="E34" s="6" t="s">
        <v>21</v>
      </c>
    </row>
    <row r="35" customFormat="false" ht="30" hidden="false" customHeight="true" outlineLevel="0" collapsed="false">
      <c r="A35" s="6" t="s">
        <v>70</v>
      </c>
      <c r="B35" s="7" t="n">
        <v>7</v>
      </c>
      <c r="C35" s="6" t="s">
        <v>80</v>
      </c>
      <c r="D35" s="6" t="s">
        <v>21</v>
      </c>
      <c r="E35" s="9" t="s">
        <v>81</v>
      </c>
    </row>
    <row r="36" customFormat="false" ht="30" hidden="false" customHeight="true" outlineLevel="0" collapsed="false">
      <c r="A36" s="6" t="s">
        <v>70</v>
      </c>
      <c r="B36" s="7" t="n">
        <v>8</v>
      </c>
      <c r="C36" s="6" t="s">
        <v>82</v>
      </c>
      <c r="D36" s="6" t="s">
        <v>21</v>
      </c>
      <c r="E36" s="6" t="s">
        <v>21</v>
      </c>
    </row>
    <row r="37" customFormat="false" ht="30" hidden="false" customHeight="true" outlineLevel="0" collapsed="false">
      <c r="A37" s="6" t="s">
        <v>70</v>
      </c>
      <c r="B37" s="7" t="n">
        <v>9</v>
      </c>
      <c r="C37" s="6" t="s">
        <v>83</v>
      </c>
      <c r="D37" s="6" t="s">
        <v>21</v>
      </c>
      <c r="E37" s="9" t="s">
        <v>84</v>
      </c>
    </row>
    <row r="38" customFormat="false" ht="60" hidden="false" customHeight="true" outlineLevel="0" collapsed="false">
      <c r="A38" s="6" t="s">
        <v>85</v>
      </c>
      <c r="B38" s="7" t="n">
        <v>1</v>
      </c>
      <c r="C38" s="6" t="s">
        <v>86</v>
      </c>
      <c r="D38" s="8" t="s">
        <v>87</v>
      </c>
      <c r="E38" s="6" t="s">
        <v>21</v>
      </c>
    </row>
    <row r="39" customFormat="false" ht="60" hidden="false" customHeight="true" outlineLevel="0" collapsed="false">
      <c r="A39" s="6" t="s">
        <v>85</v>
      </c>
      <c r="B39" s="7" t="n">
        <v>2</v>
      </c>
      <c r="C39" s="6" t="s">
        <v>88</v>
      </c>
      <c r="D39" s="6" t="s">
        <v>21</v>
      </c>
      <c r="E39" s="6" t="s">
        <v>21</v>
      </c>
    </row>
    <row r="40" customFormat="false" ht="45" hidden="false" customHeight="true" outlineLevel="0" collapsed="false">
      <c r="A40" s="6" t="s">
        <v>85</v>
      </c>
      <c r="B40" s="7" t="n">
        <v>3</v>
      </c>
      <c r="C40" s="6" t="s">
        <v>89</v>
      </c>
      <c r="D40" s="8" t="s">
        <v>90</v>
      </c>
      <c r="E40" s="6" t="s">
        <v>21</v>
      </c>
    </row>
    <row r="41" customFormat="false" ht="60" hidden="false" customHeight="true" outlineLevel="0" collapsed="false">
      <c r="A41" s="6" t="s">
        <v>85</v>
      </c>
      <c r="B41" s="7" t="n">
        <v>4</v>
      </c>
      <c r="C41" s="6" t="s">
        <v>91</v>
      </c>
      <c r="D41" s="6" t="s">
        <v>21</v>
      </c>
      <c r="E41" s="6" t="s">
        <v>21</v>
      </c>
    </row>
    <row r="42" customFormat="false" ht="60" hidden="false" customHeight="true" outlineLevel="0" collapsed="false">
      <c r="A42" s="6" t="s">
        <v>85</v>
      </c>
      <c r="B42" s="7" t="n">
        <v>5</v>
      </c>
      <c r="C42" s="6" t="s">
        <v>92</v>
      </c>
      <c r="D42" s="8" t="s">
        <v>93</v>
      </c>
      <c r="E42" s="6" t="s">
        <v>21</v>
      </c>
    </row>
    <row r="43" customFormat="false" ht="45" hidden="false" customHeight="true" outlineLevel="0" collapsed="false">
      <c r="A43" s="6" t="s">
        <v>85</v>
      </c>
      <c r="B43" s="7" t="n">
        <v>6</v>
      </c>
      <c r="C43" s="6" t="s">
        <v>94</v>
      </c>
      <c r="D43" s="8" t="s">
        <v>95</v>
      </c>
      <c r="E43" s="9" t="s">
        <v>96</v>
      </c>
    </row>
    <row r="44" customFormat="false" ht="45" hidden="false" customHeight="true" outlineLevel="0" collapsed="false">
      <c r="A44" s="6" t="s">
        <v>85</v>
      </c>
      <c r="B44" s="7" t="n">
        <v>7</v>
      </c>
      <c r="C44" s="6" t="s">
        <v>97</v>
      </c>
      <c r="D44" s="8" t="s">
        <v>98</v>
      </c>
      <c r="E44" s="6" t="s">
        <v>21</v>
      </c>
    </row>
    <row r="45" customFormat="false" ht="45" hidden="false" customHeight="true" outlineLevel="0" collapsed="false">
      <c r="A45" s="6" t="s">
        <v>85</v>
      </c>
      <c r="B45" s="7" t="n">
        <v>8</v>
      </c>
      <c r="C45" s="6" t="s">
        <v>99</v>
      </c>
      <c r="D45" s="6" t="s">
        <v>21</v>
      </c>
      <c r="E45" s="9" t="s">
        <v>100</v>
      </c>
    </row>
    <row r="46" customFormat="false" ht="60" hidden="false" customHeight="true" outlineLevel="0" collapsed="false">
      <c r="A46" s="6" t="s">
        <v>85</v>
      </c>
      <c r="B46" s="7" t="n">
        <v>9</v>
      </c>
      <c r="C46" s="6" t="s">
        <v>101</v>
      </c>
      <c r="D46" s="6" t="s">
        <v>21</v>
      </c>
      <c r="E46" s="6" t="s">
        <v>21</v>
      </c>
    </row>
    <row r="47" customFormat="false" ht="30" hidden="false" customHeight="true" outlineLevel="0" collapsed="false">
      <c r="A47" s="6" t="s">
        <v>102</v>
      </c>
      <c r="B47" s="7" t="n">
        <v>1</v>
      </c>
      <c r="C47" s="6" t="s">
        <v>103</v>
      </c>
      <c r="D47" s="6" t="s">
        <v>21</v>
      </c>
      <c r="E47" s="6" t="s">
        <v>21</v>
      </c>
    </row>
    <row r="48" customFormat="false" ht="30" hidden="false" customHeight="true" outlineLevel="0" collapsed="false">
      <c r="A48" s="6" t="s">
        <v>102</v>
      </c>
      <c r="B48" s="7" t="n">
        <v>2</v>
      </c>
      <c r="C48" s="6" t="s">
        <v>104</v>
      </c>
      <c r="D48" s="6" t="s">
        <v>21</v>
      </c>
      <c r="E48" s="6" t="s">
        <v>21</v>
      </c>
    </row>
    <row r="49" customFormat="false" ht="30" hidden="false" customHeight="true" outlineLevel="0" collapsed="false">
      <c r="A49" s="6" t="s">
        <v>102</v>
      </c>
      <c r="B49" s="7" t="n">
        <v>3</v>
      </c>
      <c r="C49" s="6" t="s">
        <v>105</v>
      </c>
      <c r="D49" s="8" t="s">
        <v>106</v>
      </c>
      <c r="E49" s="6" t="s">
        <v>21</v>
      </c>
    </row>
    <row r="50" customFormat="false" ht="30" hidden="false" customHeight="true" outlineLevel="0" collapsed="false">
      <c r="A50" s="6" t="s">
        <v>102</v>
      </c>
      <c r="B50" s="7" t="n">
        <v>4</v>
      </c>
      <c r="C50" s="6" t="s">
        <v>107</v>
      </c>
      <c r="D50" s="6" t="s">
        <v>21</v>
      </c>
      <c r="E50" s="6" t="s">
        <v>21</v>
      </c>
    </row>
    <row r="51" customFormat="false" ht="30" hidden="false" customHeight="true" outlineLevel="0" collapsed="false">
      <c r="A51" s="6" t="s">
        <v>102</v>
      </c>
      <c r="B51" s="7" t="n">
        <v>5</v>
      </c>
      <c r="C51" s="6" t="s">
        <v>108</v>
      </c>
      <c r="D51" s="8" t="s">
        <v>109</v>
      </c>
      <c r="E51" s="6" t="s">
        <v>21</v>
      </c>
    </row>
    <row r="52" customFormat="false" ht="30" hidden="false" customHeight="true" outlineLevel="0" collapsed="false">
      <c r="A52" s="6" t="s">
        <v>102</v>
      </c>
      <c r="B52" s="7" t="n">
        <v>6</v>
      </c>
      <c r="C52" s="6" t="s">
        <v>110</v>
      </c>
      <c r="D52" s="6" t="s">
        <v>21</v>
      </c>
      <c r="E52" s="6" t="s">
        <v>21</v>
      </c>
    </row>
    <row r="53" customFormat="false" ht="30" hidden="false" customHeight="true" outlineLevel="0" collapsed="false">
      <c r="A53" s="6" t="s">
        <v>102</v>
      </c>
      <c r="B53" s="7" t="n">
        <v>7</v>
      </c>
      <c r="C53" s="6" t="s">
        <v>111</v>
      </c>
      <c r="D53" s="8" t="s">
        <v>112</v>
      </c>
      <c r="E53" s="6" t="s">
        <v>21</v>
      </c>
    </row>
    <row r="54" customFormat="false" ht="30" hidden="false" customHeight="true" outlineLevel="0" collapsed="false">
      <c r="A54" s="6" t="s">
        <v>102</v>
      </c>
      <c r="B54" s="7" t="n">
        <v>8</v>
      </c>
      <c r="C54" s="6" t="s">
        <v>113</v>
      </c>
      <c r="D54" s="6" t="s">
        <v>21</v>
      </c>
      <c r="E54" s="6" t="s">
        <v>21</v>
      </c>
    </row>
    <row r="55" customFormat="false" ht="30" hidden="false" customHeight="true" outlineLevel="0" collapsed="false">
      <c r="A55" s="6" t="s">
        <v>102</v>
      </c>
      <c r="B55" s="7" t="n">
        <v>9</v>
      </c>
      <c r="C55" s="6" t="s">
        <v>114</v>
      </c>
      <c r="D55" s="6" t="s">
        <v>21</v>
      </c>
      <c r="E55" s="9" t="s">
        <v>115</v>
      </c>
    </row>
    <row r="56" customFormat="false" ht="30" hidden="false" customHeight="true" outlineLevel="0" collapsed="false">
      <c r="A56" s="6" t="s">
        <v>116</v>
      </c>
      <c r="B56" s="7" t="n">
        <v>1</v>
      </c>
      <c r="C56" s="6" t="s">
        <v>117</v>
      </c>
      <c r="D56" s="8" t="s">
        <v>118</v>
      </c>
      <c r="E56" s="6" t="s">
        <v>21</v>
      </c>
    </row>
    <row r="57" customFormat="false" ht="18" hidden="false" customHeight="true" outlineLevel="0" collapsed="false">
      <c r="A57" s="6" t="s">
        <v>116</v>
      </c>
      <c r="B57" s="7" t="n">
        <v>2</v>
      </c>
      <c r="C57" s="6" t="s">
        <v>119</v>
      </c>
      <c r="D57" s="6" t="s">
        <v>21</v>
      </c>
      <c r="E57" s="6" t="s">
        <v>21</v>
      </c>
    </row>
    <row r="58" customFormat="false" ht="30" hidden="false" customHeight="true" outlineLevel="0" collapsed="false">
      <c r="A58" s="6" t="s">
        <v>116</v>
      </c>
      <c r="B58" s="7" t="n">
        <v>3</v>
      </c>
      <c r="C58" s="6" t="s">
        <v>120</v>
      </c>
      <c r="D58" s="8" t="s">
        <v>121</v>
      </c>
      <c r="E58" s="6" t="s">
        <v>21</v>
      </c>
    </row>
    <row r="59" customFormat="false" ht="30" hidden="false" customHeight="true" outlineLevel="0" collapsed="false">
      <c r="A59" s="6" t="s">
        <v>116</v>
      </c>
      <c r="B59" s="7" t="n">
        <v>4</v>
      </c>
      <c r="C59" s="6" t="s">
        <v>122</v>
      </c>
      <c r="D59" s="6" t="s">
        <v>21</v>
      </c>
      <c r="E59" s="6" t="s">
        <v>21</v>
      </c>
    </row>
    <row r="60" customFormat="false" ht="30" hidden="false" customHeight="true" outlineLevel="0" collapsed="false">
      <c r="A60" s="6" t="s">
        <v>116</v>
      </c>
      <c r="B60" s="7" t="n">
        <v>5</v>
      </c>
      <c r="C60" s="6" t="s">
        <v>123</v>
      </c>
      <c r="D60" s="8" t="s">
        <v>124</v>
      </c>
      <c r="E60" s="6" t="s">
        <v>21</v>
      </c>
    </row>
    <row r="61" customFormat="false" ht="30" hidden="false" customHeight="true" outlineLevel="0" collapsed="false">
      <c r="A61" s="6" t="s">
        <v>116</v>
      </c>
      <c r="B61" s="7" t="n">
        <v>6</v>
      </c>
      <c r="C61" s="6" t="s">
        <v>125</v>
      </c>
      <c r="D61" s="6" t="s">
        <v>21</v>
      </c>
      <c r="E61" s="6" t="s">
        <v>21</v>
      </c>
    </row>
    <row r="62" customFormat="false" ht="30" hidden="false" customHeight="true" outlineLevel="0" collapsed="false">
      <c r="A62" s="6" t="s">
        <v>116</v>
      </c>
      <c r="B62" s="7" t="n">
        <v>7</v>
      </c>
      <c r="C62" s="6" t="s">
        <v>126</v>
      </c>
      <c r="D62" s="8" t="s">
        <v>127</v>
      </c>
      <c r="E62" s="6" t="s">
        <v>21</v>
      </c>
    </row>
    <row r="63" customFormat="false" ht="18" hidden="false" customHeight="true" outlineLevel="0" collapsed="false">
      <c r="A63" s="6" t="s">
        <v>116</v>
      </c>
      <c r="B63" s="7" t="n">
        <v>8</v>
      </c>
      <c r="C63" s="6" t="s">
        <v>128</v>
      </c>
      <c r="D63" s="6" t="s">
        <v>21</v>
      </c>
      <c r="E63" s="6" t="s">
        <v>21</v>
      </c>
    </row>
    <row r="64" customFormat="false" ht="18" hidden="false" customHeight="true" outlineLevel="0" collapsed="false">
      <c r="A64" s="6" t="s">
        <v>116</v>
      </c>
      <c r="B64" s="7" t="n">
        <v>9</v>
      </c>
      <c r="C64" s="6" t="s">
        <v>129</v>
      </c>
      <c r="D64" s="6" t="s">
        <v>21</v>
      </c>
      <c r="E64" s="6" t="s">
        <v>21</v>
      </c>
    </row>
    <row r="65" customFormat="false" ht="30" hidden="false" customHeight="true" outlineLevel="0" collapsed="false">
      <c r="A65" s="6" t="s">
        <v>130</v>
      </c>
      <c r="B65" s="7" t="n">
        <v>1</v>
      </c>
      <c r="C65" s="6" t="s">
        <v>131</v>
      </c>
      <c r="D65" s="8" t="s">
        <v>132</v>
      </c>
      <c r="E65" s="6" t="s">
        <v>21</v>
      </c>
    </row>
    <row r="66" customFormat="false" ht="30" hidden="false" customHeight="true" outlineLevel="0" collapsed="false">
      <c r="A66" s="6" t="s">
        <v>130</v>
      </c>
      <c r="B66" s="7" t="n">
        <v>2</v>
      </c>
      <c r="C66" s="10" t="s">
        <v>21</v>
      </c>
      <c r="D66" s="8" t="s">
        <v>133</v>
      </c>
      <c r="E66" s="6" t="s">
        <v>21</v>
      </c>
    </row>
    <row r="67" customFormat="false" ht="45" hidden="false" customHeight="true" outlineLevel="0" collapsed="false">
      <c r="A67" s="6" t="s">
        <v>130</v>
      </c>
      <c r="B67" s="7" t="n">
        <v>3</v>
      </c>
      <c r="C67" s="6" t="s">
        <v>134</v>
      </c>
      <c r="D67" s="6" t="s">
        <v>21</v>
      </c>
      <c r="E67" s="6" t="s">
        <v>21</v>
      </c>
    </row>
    <row r="68" customFormat="false" ht="45" hidden="false" customHeight="true" outlineLevel="0" collapsed="false">
      <c r="A68" s="6" t="s">
        <v>130</v>
      </c>
      <c r="B68" s="7" t="n">
        <v>4</v>
      </c>
      <c r="C68" s="6" t="s">
        <v>135</v>
      </c>
      <c r="D68" s="8" t="s">
        <v>136</v>
      </c>
      <c r="E68" s="6" t="s">
        <v>21</v>
      </c>
    </row>
    <row r="69" customFormat="false" ht="45" hidden="false" customHeight="true" outlineLevel="0" collapsed="false">
      <c r="A69" s="6" t="s">
        <v>130</v>
      </c>
      <c r="B69" s="7" t="n">
        <v>5</v>
      </c>
      <c r="C69" s="10" t="s">
        <v>21</v>
      </c>
      <c r="D69" s="8" t="s">
        <v>137</v>
      </c>
      <c r="E69" s="6" t="s">
        <v>21</v>
      </c>
    </row>
    <row r="70" customFormat="false" ht="45" hidden="false" customHeight="true" outlineLevel="0" collapsed="false">
      <c r="A70" s="6" t="s">
        <v>130</v>
      </c>
      <c r="B70" s="7" t="n">
        <v>6</v>
      </c>
      <c r="C70" s="6" t="s">
        <v>138</v>
      </c>
      <c r="D70" s="8" t="s">
        <v>139</v>
      </c>
      <c r="E70" s="6" t="s">
        <v>21</v>
      </c>
    </row>
    <row r="71" customFormat="false" ht="18" hidden="false" customHeight="true" outlineLevel="0" collapsed="false">
      <c r="A71" s="6" t="s">
        <v>130</v>
      </c>
      <c r="B71" s="7" t="n">
        <v>7</v>
      </c>
      <c r="C71" s="10" t="s">
        <v>21</v>
      </c>
      <c r="D71" s="8" t="s">
        <v>140</v>
      </c>
      <c r="E71" s="6" t="s">
        <v>21</v>
      </c>
    </row>
    <row r="72" customFormat="false" ht="30" hidden="false" customHeight="true" outlineLevel="0" collapsed="false">
      <c r="A72" s="6" t="s">
        <v>130</v>
      </c>
      <c r="B72" s="7" t="n">
        <v>8</v>
      </c>
      <c r="C72" s="6" t="s">
        <v>141</v>
      </c>
      <c r="D72" s="6" t="s">
        <v>21</v>
      </c>
      <c r="E72" s="9" t="s">
        <v>142</v>
      </c>
    </row>
    <row r="73" customFormat="false" ht="18" hidden="false" customHeight="true" outlineLevel="0" collapsed="false">
      <c r="A73" s="6" t="s">
        <v>130</v>
      </c>
      <c r="B73" s="7" t="n">
        <v>9</v>
      </c>
      <c r="C73" s="6" t="s">
        <v>143</v>
      </c>
      <c r="D73" s="6" t="s">
        <v>21</v>
      </c>
      <c r="E73" s="6" t="s">
        <v>21</v>
      </c>
    </row>
    <row r="74" customFormat="false" ht="45" hidden="false" customHeight="true" outlineLevel="0" collapsed="false">
      <c r="A74" s="6" t="s">
        <v>144</v>
      </c>
      <c r="B74" s="7" t="n">
        <v>1</v>
      </c>
      <c r="C74" s="6" t="s">
        <v>145</v>
      </c>
      <c r="D74" s="6" t="s">
        <v>21</v>
      </c>
      <c r="E74" s="6" t="s">
        <v>21</v>
      </c>
    </row>
    <row r="75" customFormat="false" ht="45" hidden="false" customHeight="true" outlineLevel="0" collapsed="false">
      <c r="A75" s="6" t="s">
        <v>144</v>
      </c>
      <c r="B75" s="7" t="n">
        <v>2</v>
      </c>
      <c r="C75" s="6" t="s">
        <v>146</v>
      </c>
      <c r="D75" s="6" t="s">
        <v>21</v>
      </c>
      <c r="E75" s="6" t="s">
        <v>21</v>
      </c>
    </row>
    <row r="76" customFormat="false" ht="45" hidden="false" customHeight="true" outlineLevel="0" collapsed="false">
      <c r="A76" s="6" t="s">
        <v>144</v>
      </c>
      <c r="B76" s="7" t="n">
        <v>3</v>
      </c>
      <c r="C76" s="6" t="s">
        <v>147</v>
      </c>
      <c r="D76" s="6" t="s">
        <v>21</v>
      </c>
      <c r="E76" s="6" t="s">
        <v>21</v>
      </c>
    </row>
    <row r="77" customFormat="false" ht="45" hidden="false" customHeight="true" outlineLevel="0" collapsed="false">
      <c r="A77" s="6" t="s">
        <v>144</v>
      </c>
      <c r="B77" s="7" t="n">
        <v>4</v>
      </c>
      <c r="C77" s="6" t="s">
        <v>148</v>
      </c>
      <c r="D77" s="6" t="s">
        <v>21</v>
      </c>
      <c r="E77" s="9" t="s">
        <v>149</v>
      </c>
    </row>
    <row r="78" customFormat="false" ht="45" hidden="false" customHeight="true" outlineLevel="0" collapsed="false">
      <c r="A78" s="6" t="s">
        <v>144</v>
      </c>
      <c r="B78" s="7" t="n">
        <v>5</v>
      </c>
      <c r="C78" s="6" t="s">
        <v>150</v>
      </c>
      <c r="D78" s="8" t="s">
        <v>151</v>
      </c>
      <c r="E78" s="6" t="s">
        <v>21</v>
      </c>
    </row>
    <row r="79" customFormat="false" ht="45" hidden="false" customHeight="true" outlineLevel="0" collapsed="false">
      <c r="A79" s="6" t="s">
        <v>144</v>
      </c>
      <c r="B79" s="7" t="n">
        <v>6</v>
      </c>
      <c r="C79" s="6" t="s">
        <v>152</v>
      </c>
      <c r="D79" s="8" t="s">
        <v>153</v>
      </c>
      <c r="E79" s="6" t="s">
        <v>21</v>
      </c>
    </row>
    <row r="80" customFormat="false" ht="45" hidden="false" customHeight="true" outlineLevel="0" collapsed="false">
      <c r="A80" s="6" t="s">
        <v>144</v>
      </c>
      <c r="B80" s="7" t="n">
        <v>7</v>
      </c>
      <c r="C80" s="10" t="s">
        <v>21</v>
      </c>
      <c r="D80" s="8" t="s">
        <v>154</v>
      </c>
      <c r="E80" s="9" t="s">
        <v>155</v>
      </c>
    </row>
    <row r="81" customFormat="false" ht="60" hidden="false" customHeight="true" outlineLevel="0" collapsed="false">
      <c r="A81" s="6" t="s">
        <v>144</v>
      </c>
      <c r="B81" s="7" t="n">
        <v>8</v>
      </c>
      <c r="C81" s="6" t="s">
        <v>156</v>
      </c>
      <c r="D81" s="6" t="s">
        <v>21</v>
      </c>
      <c r="E81" s="9" t="s">
        <v>157</v>
      </c>
    </row>
    <row r="82" customFormat="false" ht="30" hidden="false" customHeight="true" outlineLevel="0" collapsed="false">
      <c r="A82" s="6" t="s">
        <v>144</v>
      </c>
      <c r="B82" s="7" t="n">
        <v>9</v>
      </c>
      <c r="C82" s="6" t="s">
        <v>158</v>
      </c>
      <c r="D82" s="6" t="s">
        <v>21</v>
      </c>
      <c r="E82" s="6" t="s">
        <v>21</v>
      </c>
    </row>
    <row r="83" customFormat="false" ht="72" hidden="false" customHeight="true" outlineLevel="0" collapsed="false">
      <c r="A83" s="6" t="s">
        <v>159</v>
      </c>
      <c r="B83" s="7" t="n">
        <v>1</v>
      </c>
      <c r="C83" s="6" t="s">
        <v>160</v>
      </c>
      <c r="D83" s="8" t="s">
        <v>161</v>
      </c>
      <c r="E83" s="6" t="s">
        <v>21</v>
      </c>
    </row>
    <row r="84" customFormat="false" ht="45" hidden="false" customHeight="true" outlineLevel="0" collapsed="false">
      <c r="A84" s="6" t="s">
        <v>159</v>
      </c>
      <c r="B84" s="7" t="n">
        <v>2</v>
      </c>
      <c r="C84" s="6" t="s">
        <v>162</v>
      </c>
      <c r="D84" s="8" t="s">
        <v>163</v>
      </c>
      <c r="E84" s="6" t="s">
        <v>21</v>
      </c>
    </row>
    <row r="85" customFormat="false" ht="72" hidden="false" customHeight="true" outlineLevel="0" collapsed="false">
      <c r="A85" s="6" t="s">
        <v>159</v>
      </c>
      <c r="B85" s="7" t="n">
        <v>3</v>
      </c>
      <c r="C85" s="6" t="s">
        <v>164</v>
      </c>
      <c r="D85" s="8" t="s">
        <v>165</v>
      </c>
      <c r="E85" s="6" t="s">
        <v>21</v>
      </c>
    </row>
    <row r="86" customFormat="false" ht="45" hidden="false" customHeight="true" outlineLevel="0" collapsed="false">
      <c r="A86" s="6" t="s">
        <v>159</v>
      </c>
      <c r="B86" s="7" t="n">
        <v>4</v>
      </c>
      <c r="C86" s="6" t="s">
        <v>166</v>
      </c>
      <c r="D86" s="8" t="s">
        <v>167</v>
      </c>
      <c r="E86" s="6" t="s">
        <v>21</v>
      </c>
    </row>
    <row r="87" customFormat="false" ht="45" hidden="false" customHeight="true" outlineLevel="0" collapsed="false">
      <c r="A87" s="6" t="s">
        <v>159</v>
      </c>
      <c r="B87" s="7" t="n">
        <v>5</v>
      </c>
      <c r="C87" s="6" t="s">
        <v>168</v>
      </c>
      <c r="D87" s="8" t="s">
        <v>169</v>
      </c>
      <c r="E87" s="6" t="s">
        <v>21</v>
      </c>
    </row>
    <row r="88" customFormat="false" ht="45" hidden="false" customHeight="true" outlineLevel="0" collapsed="false">
      <c r="A88" s="6" t="s">
        <v>159</v>
      </c>
      <c r="B88" s="7" t="n">
        <v>6</v>
      </c>
      <c r="C88" s="6" t="s">
        <v>170</v>
      </c>
      <c r="D88" s="6" t="s">
        <v>21</v>
      </c>
      <c r="E88" s="9" t="s">
        <v>171</v>
      </c>
    </row>
    <row r="89" customFormat="false" ht="72" hidden="false" customHeight="true" outlineLevel="0" collapsed="false">
      <c r="A89" s="6" t="s">
        <v>159</v>
      </c>
      <c r="B89" s="7" t="n">
        <v>7</v>
      </c>
      <c r="C89" s="6" t="s">
        <v>172</v>
      </c>
      <c r="D89" s="8" t="s">
        <v>173</v>
      </c>
      <c r="E89" s="6" t="s">
        <v>21</v>
      </c>
    </row>
    <row r="90" customFormat="false" ht="30" hidden="false" customHeight="true" outlineLevel="0" collapsed="false">
      <c r="A90" s="6" t="s">
        <v>159</v>
      </c>
      <c r="B90" s="7" t="n">
        <v>8</v>
      </c>
      <c r="C90" s="6" t="s">
        <v>174</v>
      </c>
      <c r="D90" s="8" t="s">
        <v>175</v>
      </c>
      <c r="E90" s="6" t="s">
        <v>21</v>
      </c>
    </row>
    <row r="91" customFormat="false" ht="30" hidden="false" customHeight="true" outlineLevel="0" collapsed="false">
      <c r="A91" s="6" t="s">
        <v>159</v>
      </c>
      <c r="B91" s="7" t="n">
        <v>9</v>
      </c>
      <c r="C91" s="6" t="s">
        <v>176</v>
      </c>
      <c r="D91" s="6" t="s">
        <v>21</v>
      </c>
      <c r="E91" s="9" t="s">
        <v>177</v>
      </c>
    </row>
  </sheetData>
  <autoFilter ref="A1:E91"/>
  <printOptions headings="false" gridLines="false" gridLinesSet="true" horizontalCentered="false" verticalCentered="false"/>
  <pageMargins left="0.25" right="0.25" top="0.4" bottom="0.4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&amp;CStar Cluster - provisional candidate matrix - no calibration&amp;RPage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6"/>
    <col collapsed="false" customWidth="true" hidden="false" outlineLevel="0" max="4" min="4" style="0" width="43"/>
    <col collapsed="false" customWidth="true" hidden="false" outlineLevel="0" max="5" min="5" style="0" width="12"/>
    <col collapsed="false" customWidth="true" hidden="false" outlineLevel="0" max="7" min="6" style="0" width="24"/>
    <col collapsed="false" customWidth="true" hidden="false" outlineLevel="0" max="8" min="8" style="0" width="33"/>
    <col collapsed="false" customWidth="true" hidden="false" outlineLevel="0" max="9" min="9" style="0" width="12"/>
    <col collapsed="false" customWidth="true" hidden="false" outlineLevel="0" max="10" min="10" style="0" width="31"/>
    <col collapsed="false" customWidth="true" hidden="false" outlineLevel="0" max="12" min="11" style="0" width="20"/>
    <col collapsed="false" customWidth="true" hidden="false" outlineLevel="0" max="13" min="13" style="0" width="58"/>
  </cols>
  <sheetData>
    <row r="1" customFormat="false" ht="31.5" hidden="false" customHeight="true" outlineLevel="0" collapsed="false">
      <c r="A1" s="5" t="s">
        <v>13</v>
      </c>
      <c r="B1" s="5" t="s">
        <v>178</v>
      </c>
      <c r="C1" s="5" t="s">
        <v>14</v>
      </c>
      <c r="D1" s="5" t="s">
        <v>179</v>
      </c>
      <c r="E1" s="5" t="s">
        <v>180</v>
      </c>
      <c r="F1" s="5" t="s">
        <v>181</v>
      </c>
      <c r="G1" s="5" t="s">
        <v>182</v>
      </c>
      <c r="H1" s="5" t="s">
        <v>183</v>
      </c>
      <c r="I1" s="5" t="s">
        <v>184</v>
      </c>
      <c r="J1" s="5" t="s">
        <v>185</v>
      </c>
      <c r="K1" s="5" t="s">
        <v>186</v>
      </c>
      <c r="L1" s="5" t="s">
        <v>187</v>
      </c>
      <c r="M1" s="5" t="s">
        <v>188</v>
      </c>
    </row>
    <row r="2" customFormat="false" ht="18" hidden="false" customHeight="true" outlineLevel="0" collapsed="false">
      <c r="A2" s="6" t="s">
        <v>18</v>
      </c>
      <c r="B2" s="6" t="s">
        <v>189</v>
      </c>
      <c r="C2" s="7" t="n">
        <v>1</v>
      </c>
      <c r="D2" s="6" t="s">
        <v>190</v>
      </c>
      <c r="E2" s="6" t="s">
        <v>191</v>
      </c>
      <c r="F2" s="6" t="s">
        <v>192</v>
      </c>
      <c r="G2" s="6" t="s">
        <v>193</v>
      </c>
      <c r="H2" s="6" t="s">
        <v>194</v>
      </c>
      <c r="I2" s="6" t="s">
        <v>195</v>
      </c>
      <c r="J2" s="6" t="s">
        <v>196</v>
      </c>
      <c r="K2" s="6" t="s">
        <v>21</v>
      </c>
      <c r="L2" s="6" t="s">
        <v>197</v>
      </c>
      <c r="M2" s="6"/>
    </row>
    <row r="3" customFormat="false" ht="30" hidden="false" customHeight="true" outlineLevel="0" collapsed="false">
      <c r="A3" s="6" t="s">
        <v>18</v>
      </c>
      <c r="B3" s="6" t="s">
        <v>189</v>
      </c>
      <c r="C3" s="7" t="n">
        <v>2</v>
      </c>
      <c r="D3" s="6" t="s">
        <v>198</v>
      </c>
      <c r="E3" s="9" t="s">
        <v>199</v>
      </c>
      <c r="F3" s="6" t="s">
        <v>200</v>
      </c>
      <c r="G3" s="6" t="s">
        <v>193</v>
      </c>
      <c r="H3" s="6" t="s">
        <v>194</v>
      </c>
      <c r="I3" s="6" t="s">
        <v>195</v>
      </c>
      <c r="J3" s="6" t="s">
        <v>102</v>
      </c>
      <c r="K3" s="6" t="s">
        <v>21</v>
      </c>
      <c r="L3" s="6" t="s">
        <v>197</v>
      </c>
      <c r="M3" s="6"/>
    </row>
    <row r="4" customFormat="false" ht="18" hidden="false" customHeight="true" outlineLevel="0" collapsed="false">
      <c r="A4" s="6" t="s">
        <v>18</v>
      </c>
      <c r="B4" s="6" t="s">
        <v>189</v>
      </c>
      <c r="C4" s="7" t="n">
        <v>3</v>
      </c>
      <c r="D4" s="6" t="s">
        <v>201</v>
      </c>
      <c r="E4" s="6" t="s">
        <v>202</v>
      </c>
      <c r="F4" s="6" t="s">
        <v>200</v>
      </c>
      <c r="G4" s="6" t="s">
        <v>193</v>
      </c>
      <c r="H4" s="6" t="s">
        <v>194</v>
      </c>
      <c r="I4" s="6" t="s">
        <v>195</v>
      </c>
      <c r="J4" s="6" t="s">
        <v>203</v>
      </c>
      <c r="K4" s="6" t="s">
        <v>21</v>
      </c>
      <c r="L4" s="6" t="s">
        <v>197</v>
      </c>
      <c r="M4" s="6"/>
    </row>
    <row r="5" customFormat="false" ht="18" hidden="false" customHeight="true" outlineLevel="0" collapsed="false">
      <c r="A5" s="6" t="s">
        <v>18</v>
      </c>
      <c r="B5" s="6" t="s">
        <v>189</v>
      </c>
      <c r="C5" s="7" t="n">
        <v>4</v>
      </c>
      <c r="D5" s="6" t="s">
        <v>204</v>
      </c>
      <c r="E5" s="9" t="s">
        <v>199</v>
      </c>
      <c r="F5" s="6" t="s">
        <v>205</v>
      </c>
      <c r="G5" s="6" t="s">
        <v>193</v>
      </c>
      <c r="H5" s="6" t="s">
        <v>194</v>
      </c>
      <c r="I5" s="6" t="s">
        <v>195</v>
      </c>
      <c r="J5" s="6" t="s">
        <v>38</v>
      </c>
      <c r="K5" s="6" t="s">
        <v>21</v>
      </c>
      <c r="L5" s="6" t="s">
        <v>197</v>
      </c>
      <c r="M5" s="6"/>
    </row>
    <row r="6" customFormat="false" ht="18" hidden="false" customHeight="true" outlineLevel="0" collapsed="false">
      <c r="A6" s="6" t="s">
        <v>18</v>
      </c>
      <c r="B6" s="6" t="s">
        <v>189</v>
      </c>
      <c r="C6" s="7" t="n">
        <v>5</v>
      </c>
      <c r="D6" s="6" t="s">
        <v>206</v>
      </c>
      <c r="E6" s="9" t="s">
        <v>199</v>
      </c>
      <c r="F6" s="6" t="s">
        <v>200</v>
      </c>
      <c r="G6" s="6" t="s">
        <v>193</v>
      </c>
      <c r="H6" s="6" t="s">
        <v>194</v>
      </c>
      <c r="I6" s="6" t="s">
        <v>195</v>
      </c>
      <c r="J6" s="6" t="s">
        <v>207</v>
      </c>
      <c r="K6" s="6" t="s">
        <v>21</v>
      </c>
      <c r="L6" s="6" t="s">
        <v>197</v>
      </c>
      <c r="M6" s="6"/>
    </row>
    <row r="7" customFormat="false" ht="18" hidden="false" customHeight="true" outlineLevel="0" collapsed="false">
      <c r="A7" s="6" t="s">
        <v>18</v>
      </c>
      <c r="B7" s="6" t="s">
        <v>189</v>
      </c>
      <c r="C7" s="7" t="n">
        <v>6</v>
      </c>
      <c r="D7" s="6" t="s">
        <v>208</v>
      </c>
      <c r="E7" s="9" t="s">
        <v>199</v>
      </c>
      <c r="F7" s="6" t="s">
        <v>205</v>
      </c>
      <c r="G7" s="6" t="s">
        <v>193</v>
      </c>
      <c r="H7" s="6" t="s">
        <v>194</v>
      </c>
      <c r="I7" s="6" t="s">
        <v>195</v>
      </c>
      <c r="J7" s="6" t="s">
        <v>209</v>
      </c>
      <c r="K7" s="6" t="s">
        <v>21</v>
      </c>
      <c r="L7" s="6" t="s">
        <v>197</v>
      </c>
      <c r="M7" s="6"/>
    </row>
    <row r="8" customFormat="false" ht="18" hidden="false" customHeight="true" outlineLevel="0" collapsed="false">
      <c r="A8" s="6" t="s">
        <v>18</v>
      </c>
      <c r="B8" s="6" t="s">
        <v>189</v>
      </c>
      <c r="C8" s="7" t="n">
        <v>7</v>
      </c>
      <c r="D8" s="6" t="s">
        <v>210</v>
      </c>
      <c r="E8" s="9" t="s">
        <v>199</v>
      </c>
      <c r="F8" s="6" t="s">
        <v>200</v>
      </c>
      <c r="G8" s="6" t="s">
        <v>193</v>
      </c>
      <c r="H8" s="6" t="s">
        <v>194</v>
      </c>
      <c r="I8" s="6" t="s">
        <v>195</v>
      </c>
      <c r="J8" s="6" t="s">
        <v>203</v>
      </c>
      <c r="K8" s="6" t="s">
        <v>21</v>
      </c>
      <c r="L8" s="6" t="s">
        <v>197</v>
      </c>
      <c r="M8" s="6"/>
    </row>
    <row r="9" customFormat="false" ht="18" hidden="false" customHeight="true" outlineLevel="0" collapsed="false">
      <c r="A9" s="6" t="s">
        <v>18</v>
      </c>
      <c r="B9" s="6" t="s">
        <v>189</v>
      </c>
      <c r="C9" s="7" t="n">
        <v>8</v>
      </c>
      <c r="D9" s="6" t="s">
        <v>211</v>
      </c>
      <c r="E9" s="9" t="s">
        <v>199</v>
      </c>
      <c r="F9" s="6" t="s">
        <v>212</v>
      </c>
      <c r="G9" s="6" t="s">
        <v>193</v>
      </c>
      <c r="H9" s="6" t="s">
        <v>194</v>
      </c>
      <c r="I9" s="6" t="s">
        <v>195</v>
      </c>
      <c r="J9" s="6" t="s">
        <v>213</v>
      </c>
      <c r="K9" s="6" t="s">
        <v>21</v>
      </c>
      <c r="L9" s="6" t="s">
        <v>197</v>
      </c>
      <c r="M9" s="6"/>
    </row>
    <row r="10" customFormat="false" ht="18" hidden="false" customHeight="true" outlineLevel="0" collapsed="false">
      <c r="A10" s="6" t="s">
        <v>18</v>
      </c>
      <c r="B10" s="6" t="s">
        <v>189</v>
      </c>
      <c r="C10" s="7" t="n">
        <v>9</v>
      </c>
      <c r="D10" s="6" t="s">
        <v>214</v>
      </c>
      <c r="E10" s="9" t="s">
        <v>199</v>
      </c>
      <c r="F10" s="6" t="s">
        <v>205</v>
      </c>
      <c r="G10" s="6" t="s">
        <v>193</v>
      </c>
      <c r="H10" s="6" t="s">
        <v>194</v>
      </c>
      <c r="I10" s="6" t="s">
        <v>195</v>
      </c>
      <c r="J10" s="6" t="s">
        <v>196</v>
      </c>
      <c r="K10" s="6" t="s">
        <v>21</v>
      </c>
      <c r="L10" s="6" t="s">
        <v>197</v>
      </c>
      <c r="M10" s="6"/>
    </row>
    <row r="11" customFormat="false" ht="18" hidden="false" customHeight="true" outlineLevel="0" collapsed="false">
      <c r="A11" s="6" t="s">
        <v>18</v>
      </c>
      <c r="B11" s="6" t="s">
        <v>215</v>
      </c>
      <c r="C11" s="7" t="n">
        <v>1</v>
      </c>
      <c r="D11" s="6" t="s">
        <v>216</v>
      </c>
      <c r="E11" s="6" t="s">
        <v>191</v>
      </c>
      <c r="F11" s="6" t="s">
        <v>192</v>
      </c>
      <c r="G11" s="6" t="s">
        <v>217</v>
      </c>
      <c r="H11" s="6" t="s">
        <v>194</v>
      </c>
      <c r="I11" s="6" t="s">
        <v>218</v>
      </c>
      <c r="J11" s="6" t="s">
        <v>102</v>
      </c>
      <c r="K11" s="6" t="s">
        <v>21</v>
      </c>
      <c r="L11" s="6" t="s">
        <v>197</v>
      </c>
      <c r="M11" s="6"/>
    </row>
    <row r="12" customFormat="false" ht="18" hidden="false" customHeight="true" outlineLevel="0" collapsed="false">
      <c r="A12" s="6" t="s">
        <v>18</v>
      </c>
      <c r="B12" s="6" t="s">
        <v>215</v>
      </c>
      <c r="C12" s="7" t="n">
        <v>3</v>
      </c>
      <c r="D12" s="6" t="s">
        <v>219</v>
      </c>
      <c r="E12" s="9" t="s">
        <v>199</v>
      </c>
      <c r="F12" s="6" t="s">
        <v>200</v>
      </c>
      <c r="G12" s="6" t="s">
        <v>217</v>
      </c>
      <c r="H12" s="6" t="s">
        <v>194</v>
      </c>
      <c r="I12" s="6" t="s">
        <v>218</v>
      </c>
      <c r="J12" s="6" t="s">
        <v>102</v>
      </c>
      <c r="K12" s="6" t="s">
        <v>21</v>
      </c>
      <c r="L12" s="6" t="s">
        <v>197</v>
      </c>
      <c r="M12" s="6"/>
    </row>
    <row r="13" customFormat="false" ht="18" hidden="false" customHeight="true" outlineLevel="0" collapsed="false">
      <c r="A13" s="6" t="s">
        <v>18</v>
      </c>
      <c r="B13" s="6" t="s">
        <v>215</v>
      </c>
      <c r="C13" s="7" t="n">
        <v>4</v>
      </c>
      <c r="D13" s="6" t="s">
        <v>220</v>
      </c>
      <c r="E13" s="9" t="s">
        <v>199</v>
      </c>
      <c r="F13" s="6" t="s">
        <v>205</v>
      </c>
      <c r="G13" s="6" t="s">
        <v>221</v>
      </c>
      <c r="H13" s="6" t="s">
        <v>222</v>
      </c>
      <c r="I13" s="6" t="s">
        <v>218</v>
      </c>
      <c r="J13" s="6" t="s">
        <v>102</v>
      </c>
      <c r="K13" s="6" t="s">
        <v>21</v>
      </c>
      <c r="L13" s="6" t="s">
        <v>197</v>
      </c>
      <c r="M13" s="6"/>
    </row>
    <row r="14" customFormat="false" ht="18" hidden="false" customHeight="true" outlineLevel="0" collapsed="false">
      <c r="A14" s="6" t="s">
        <v>18</v>
      </c>
      <c r="B14" s="6" t="s">
        <v>215</v>
      </c>
      <c r="C14" s="7" t="n">
        <v>5</v>
      </c>
      <c r="D14" s="6" t="s">
        <v>223</v>
      </c>
      <c r="E14" s="9" t="s">
        <v>199</v>
      </c>
      <c r="F14" s="6" t="s">
        <v>224</v>
      </c>
      <c r="G14" s="6" t="s">
        <v>221</v>
      </c>
      <c r="H14" s="6" t="s">
        <v>222</v>
      </c>
      <c r="I14" s="6" t="s">
        <v>218</v>
      </c>
      <c r="J14" s="6" t="s">
        <v>38</v>
      </c>
      <c r="K14" s="6" t="s">
        <v>21</v>
      </c>
      <c r="L14" s="6" t="s">
        <v>197</v>
      </c>
      <c r="M14" s="6"/>
    </row>
    <row r="15" customFormat="false" ht="18" hidden="false" customHeight="true" outlineLevel="0" collapsed="false">
      <c r="A15" s="6" t="s">
        <v>18</v>
      </c>
      <c r="B15" s="6" t="s">
        <v>215</v>
      </c>
      <c r="C15" s="7" t="n">
        <v>6</v>
      </c>
      <c r="D15" s="6" t="s">
        <v>225</v>
      </c>
      <c r="E15" s="9" t="s">
        <v>199</v>
      </c>
      <c r="F15" s="6" t="s">
        <v>205</v>
      </c>
      <c r="G15" s="6" t="s">
        <v>221</v>
      </c>
      <c r="H15" s="6" t="s">
        <v>222</v>
      </c>
      <c r="I15" s="6" t="s">
        <v>218</v>
      </c>
      <c r="J15" s="6" t="s">
        <v>226</v>
      </c>
      <c r="K15" s="6" t="s">
        <v>21</v>
      </c>
      <c r="L15" s="6" t="s">
        <v>197</v>
      </c>
      <c r="M15" s="6"/>
    </row>
    <row r="16" customFormat="false" ht="18" hidden="false" customHeight="true" outlineLevel="0" collapsed="false">
      <c r="A16" s="6" t="s">
        <v>18</v>
      </c>
      <c r="B16" s="6" t="s">
        <v>215</v>
      </c>
      <c r="C16" s="7" t="n">
        <v>7</v>
      </c>
      <c r="D16" s="6" t="s">
        <v>227</v>
      </c>
      <c r="E16" s="9" t="s">
        <v>199</v>
      </c>
      <c r="F16" s="6" t="s">
        <v>205</v>
      </c>
      <c r="G16" s="6" t="s">
        <v>217</v>
      </c>
      <c r="H16" s="6" t="s">
        <v>194</v>
      </c>
      <c r="I16" s="6" t="s">
        <v>218</v>
      </c>
      <c r="J16" s="6" t="s">
        <v>38</v>
      </c>
      <c r="K16" s="6" t="s">
        <v>21</v>
      </c>
      <c r="L16" s="6" t="s">
        <v>197</v>
      </c>
      <c r="M16" s="6"/>
    </row>
    <row r="17" customFormat="false" ht="18" hidden="false" customHeight="true" outlineLevel="0" collapsed="false">
      <c r="A17" s="6" t="s">
        <v>18</v>
      </c>
      <c r="B17" s="6" t="s">
        <v>215</v>
      </c>
      <c r="C17" s="7" t="n">
        <v>8</v>
      </c>
      <c r="D17" s="6" t="s">
        <v>228</v>
      </c>
      <c r="E17" s="9" t="s">
        <v>199</v>
      </c>
      <c r="F17" s="6" t="s">
        <v>212</v>
      </c>
      <c r="G17" s="6" t="s">
        <v>221</v>
      </c>
      <c r="H17" s="6" t="s">
        <v>222</v>
      </c>
      <c r="I17" s="6" t="s">
        <v>218</v>
      </c>
      <c r="J17" s="6" t="s">
        <v>207</v>
      </c>
      <c r="K17" s="6" t="s">
        <v>21</v>
      </c>
      <c r="L17" s="6" t="s">
        <v>197</v>
      </c>
      <c r="M17" s="6"/>
    </row>
    <row r="18" customFormat="false" ht="18" hidden="false" customHeight="true" outlineLevel="0" collapsed="false">
      <c r="A18" s="6" t="s">
        <v>18</v>
      </c>
      <c r="B18" s="6" t="s">
        <v>215</v>
      </c>
      <c r="C18" s="7" t="n">
        <v>9</v>
      </c>
      <c r="D18" s="6" t="s">
        <v>229</v>
      </c>
      <c r="E18" s="9" t="s">
        <v>199</v>
      </c>
      <c r="F18" s="6" t="s">
        <v>200</v>
      </c>
      <c r="G18" s="6" t="s">
        <v>217</v>
      </c>
      <c r="H18" s="6" t="s">
        <v>194</v>
      </c>
      <c r="I18" s="6" t="s">
        <v>218</v>
      </c>
      <c r="J18" s="6" t="s">
        <v>230</v>
      </c>
      <c r="K18" s="6" t="s">
        <v>21</v>
      </c>
      <c r="L18" s="6" t="s">
        <v>197</v>
      </c>
      <c r="M18" s="6"/>
    </row>
    <row r="19" customFormat="false" ht="30" hidden="false" customHeight="true" outlineLevel="0" collapsed="false">
      <c r="A19" s="6" t="s">
        <v>18</v>
      </c>
      <c r="B19" s="6" t="s">
        <v>231</v>
      </c>
      <c r="C19" s="7" t="n">
        <v>1</v>
      </c>
      <c r="D19" s="6" t="s">
        <v>232</v>
      </c>
      <c r="E19" s="6" t="s">
        <v>191</v>
      </c>
      <c r="F19" s="6" t="s">
        <v>233</v>
      </c>
      <c r="G19" s="6" t="s">
        <v>234</v>
      </c>
      <c r="H19" s="6" t="s">
        <v>235</v>
      </c>
      <c r="I19" s="6" t="s">
        <v>218</v>
      </c>
      <c r="J19" s="6" t="s">
        <v>70</v>
      </c>
      <c r="K19" s="6" t="s">
        <v>21</v>
      </c>
      <c r="L19" s="6" t="s">
        <v>197</v>
      </c>
      <c r="M19" s="6"/>
    </row>
    <row r="20" customFormat="false" ht="18" hidden="false" customHeight="true" outlineLevel="0" collapsed="false">
      <c r="A20" s="6" t="s">
        <v>18</v>
      </c>
      <c r="B20" s="6" t="s">
        <v>231</v>
      </c>
      <c r="C20" s="7" t="n">
        <v>4</v>
      </c>
      <c r="D20" s="6" t="s">
        <v>236</v>
      </c>
      <c r="E20" s="9" t="s">
        <v>199</v>
      </c>
      <c r="F20" s="6" t="s">
        <v>200</v>
      </c>
      <c r="G20" s="6" t="s">
        <v>234</v>
      </c>
      <c r="H20" s="6" t="s">
        <v>235</v>
      </c>
      <c r="I20" s="6" t="s">
        <v>218</v>
      </c>
      <c r="J20" s="6" t="s">
        <v>102</v>
      </c>
      <c r="K20" s="6" t="s">
        <v>21</v>
      </c>
      <c r="L20" s="6" t="s">
        <v>197</v>
      </c>
      <c r="M20" s="6"/>
    </row>
    <row r="21" customFormat="false" ht="18" hidden="false" customHeight="true" outlineLevel="0" collapsed="false">
      <c r="A21" s="6" t="s">
        <v>18</v>
      </c>
      <c r="B21" s="6" t="s">
        <v>231</v>
      </c>
      <c r="C21" s="7" t="n">
        <v>6</v>
      </c>
      <c r="D21" s="6" t="s">
        <v>237</v>
      </c>
      <c r="E21" s="9" t="s">
        <v>199</v>
      </c>
      <c r="F21" s="6" t="s">
        <v>212</v>
      </c>
      <c r="G21" s="6" t="s">
        <v>234</v>
      </c>
      <c r="H21" s="6" t="s">
        <v>235</v>
      </c>
      <c r="I21" s="6" t="s">
        <v>218</v>
      </c>
      <c r="J21" s="6" t="s">
        <v>52</v>
      </c>
      <c r="K21" s="6" t="s">
        <v>21</v>
      </c>
      <c r="L21" s="6" t="s">
        <v>197</v>
      </c>
      <c r="M21" s="6"/>
    </row>
    <row r="22" customFormat="false" ht="18" hidden="false" customHeight="true" outlineLevel="0" collapsed="false">
      <c r="A22" s="6" t="s">
        <v>18</v>
      </c>
      <c r="B22" s="6" t="s">
        <v>231</v>
      </c>
      <c r="C22" s="7" t="n">
        <v>8</v>
      </c>
      <c r="D22" s="6" t="s">
        <v>238</v>
      </c>
      <c r="E22" s="6" t="s">
        <v>239</v>
      </c>
      <c r="F22" s="6" t="s">
        <v>212</v>
      </c>
      <c r="G22" s="6" t="s">
        <v>240</v>
      </c>
      <c r="H22" s="9" t="s">
        <v>241</v>
      </c>
      <c r="I22" s="6" t="s">
        <v>218</v>
      </c>
      <c r="J22" s="6" t="s">
        <v>242</v>
      </c>
      <c r="K22" s="6" t="s">
        <v>21</v>
      </c>
      <c r="L22" s="6" t="s">
        <v>243</v>
      </c>
      <c r="M22" s="6"/>
    </row>
    <row r="23" customFormat="false" ht="18" hidden="false" customHeight="true" outlineLevel="0" collapsed="false">
      <c r="A23" s="6" t="s">
        <v>38</v>
      </c>
      <c r="B23" s="6" t="s">
        <v>244</v>
      </c>
      <c r="C23" s="7" t="n">
        <v>1</v>
      </c>
      <c r="D23" s="6" t="s">
        <v>245</v>
      </c>
      <c r="E23" s="6" t="s">
        <v>191</v>
      </c>
      <c r="F23" s="6" t="s">
        <v>192</v>
      </c>
      <c r="G23" s="6" t="s">
        <v>193</v>
      </c>
      <c r="H23" s="6" t="s">
        <v>194</v>
      </c>
      <c r="I23" s="6" t="s">
        <v>195</v>
      </c>
      <c r="J23" s="6" t="s">
        <v>18</v>
      </c>
      <c r="K23" s="6" t="s">
        <v>21</v>
      </c>
      <c r="L23" s="6" t="s">
        <v>197</v>
      </c>
      <c r="M23" s="6"/>
    </row>
    <row r="24" customFormat="false" ht="18" hidden="false" customHeight="true" outlineLevel="0" collapsed="false">
      <c r="A24" s="6" t="s">
        <v>38</v>
      </c>
      <c r="B24" s="6" t="s">
        <v>244</v>
      </c>
      <c r="C24" s="7" t="n">
        <v>2</v>
      </c>
      <c r="D24" s="6" t="s">
        <v>246</v>
      </c>
      <c r="E24" s="6" t="s">
        <v>202</v>
      </c>
      <c r="F24" s="6" t="s">
        <v>200</v>
      </c>
      <c r="G24" s="6" t="s">
        <v>193</v>
      </c>
      <c r="H24" s="6" t="s">
        <v>194</v>
      </c>
      <c r="I24" s="6" t="s">
        <v>195</v>
      </c>
      <c r="J24" s="6" t="s">
        <v>18</v>
      </c>
      <c r="K24" s="6" t="s">
        <v>21</v>
      </c>
      <c r="L24" s="6" t="s">
        <v>197</v>
      </c>
      <c r="M24" s="6"/>
    </row>
    <row r="25" customFormat="false" ht="18" hidden="false" customHeight="true" outlineLevel="0" collapsed="false">
      <c r="A25" s="6" t="s">
        <v>38</v>
      </c>
      <c r="B25" s="6" t="s">
        <v>244</v>
      </c>
      <c r="C25" s="7" t="n">
        <v>3</v>
      </c>
      <c r="D25" s="6" t="s">
        <v>247</v>
      </c>
      <c r="E25" s="6" t="s">
        <v>202</v>
      </c>
      <c r="F25" s="6" t="s">
        <v>200</v>
      </c>
      <c r="G25" s="6" t="s">
        <v>193</v>
      </c>
      <c r="H25" s="6" t="s">
        <v>194</v>
      </c>
      <c r="I25" s="6" t="s">
        <v>195</v>
      </c>
      <c r="J25" s="6" t="s">
        <v>18</v>
      </c>
      <c r="K25" s="6" t="s">
        <v>21</v>
      </c>
      <c r="L25" s="6" t="s">
        <v>197</v>
      </c>
      <c r="M25" s="6"/>
    </row>
    <row r="26" customFormat="false" ht="18" hidden="false" customHeight="true" outlineLevel="0" collapsed="false">
      <c r="A26" s="6" t="s">
        <v>38</v>
      </c>
      <c r="B26" s="6" t="s">
        <v>244</v>
      </c>
      <c r="C26" s="7" t="n">
        <v>4</v>
      </c>
      <c r="D26" s="6" t="s">
        <v>248</v>
      </c>
      <c r="E26" s="9" t="s">
        <v>199</v>
      </c>
      <c r="F26" s="6" t="s">
        <v>205</v>
      </c>
      <c r="G26" s="6" t="s">
        <v>193</v>
      </c>
      <c r="H26" s="6" t="s">
        <v>194</v>
      </c>
      <c r="I26" s="6" t="s">
        <v>195</v>
      </c>
      <c r="J26" s="6" t="s">
        <v>18</v>
      </c>
      <c r="K26" s="6" t="s">
        <v>21</v>
      </c>
      <c r="L26" s="6" t="s">
        <v>197</v>
      </c>
      <c r="M26" s="6"/>
    </row>
    <row r="27" customFormat="false" ht="18" hidden="false" customHeight="true" outlineLevel="0" collapsed="false">
      <c r="A27" s="6" t="s">
        <v>38</v>
      </c>
      <c r="B27" s="6" t="s">
        <v>244</v>
      </c>
      <c r="C27" s="7" t="n">
        <v>5</v>
      </c>
      <c r="D27" s="6" t="s">
        <v>249</v>
      </c>
      <c r="E27" s="9" t="s">
        <v>199</v>
      </c>
      <c r="F27" s="6" t="s">
        <v>200</v>
      </c>
      <c r="G27" s="6" t="s">
        <v>193</v>
      </c>
      <c r="H27" s="6" t="s">
        <v>194</v>
      </c>
      <c r="I27" s="6" t="s">
        <v>195</v>
      </c>
      <c r="J27" s="6" t="s">
        <v>18</v>
      </c>
      <c r="K27" s="6" t="s">
        <v>21</v>
      </c>
      <c r="L27" s="6" t="s">
        <v>197</v>
      </c>
      <c r="M27" s="6"/>
    </row>
    <row r="28" customFormat="false" ht="18" hidden="false" customHeight="true" outlineLevel="0" collapsed="false">
      <c r="A28" s="6" t="s">
        <v>38</v>
      </c>
      <c r="B28" s="6" t="s">
        <v>244</v>
      </c>
      <c r="C28" s="7" t="n">
        <v>6</v>
      </c>
      <c r="D28" s="6" t="s">
        <v>250</v>
      </c>
      <c r="E28" s="9" t="s">
        <v>199</v>
      </c>
      <c r="F28" s="6" t="s">
        <v>205</v>
      </c>
      <c r="G28" s="6" t="s">
        <v>193</v>
      </c>
      <c r="H28" s="6" t="s">
        <v>194</v>
      </c>
      <c r="I28" s="6" t="s">
        <v>195</v>
      </c>
      <c r="J28" s="6" t="s">
        <v>251</v>
      </c>
      <c r="K28" s="6" t="s">
        <v>21</v>
      </c>
      <c r="L28" s="6" t="s">
        <v>197</v>
      </c>
      <c r="M28" s="6"/>
    </row>
    <row r="29" customFormat="false" ht="18" hidden="false" customHeight="true" outlineLevel="0" collapsed="false">
      <c r="A29" s="6" t="s">
        <v>38</v>
      </c>
      <c r="B29" s="6" t="s">
        <v>244</v>
      </c>
      <c r="C29" s="7" t="n">
        <v>9</v>
      </c>
      <c r="D29" s="6" t="s">
        <v>252</v>
      </c>
      <c r="E29" s="9" t="s">
        <v>199</v>
      </c>
      <c r="F29" s="6" t="s">
        <v>200</v>
      </c>
      <c r="G29" s="6" t="s">
        <v>193</v>
      </c>
      <c r="H29" s="6" t="s">
        <v>194</v>
      </c>
      <c r="I29" s="6" t="s">
        <v>195</v>
      </c>
      <c r="J29" s="6" t="s">
        <v>253</v>
      </c>
      <c r="K29" s="6" t="s">
        <v>21</v>
      </c>
      <c r="L29" s="6" t="s">
        <v>197</v>
      </c>
      <c r="M29" s="6"/>
    </row>
    <row r="30" customFormat="false" ht="18" hidden="false" customHeight="true" outlineLevel="0" collapsed="false">
      <c r="A30" s="6" t="s">
        <v>38</v>
      </c>
      <c r="B30" s="6" t="s">
        <v>254</v>
      </c>
      <c r="C30" s="7" t="n">
        <v>1</v>
      </c>
      <c r="D30" s="6" t="s">
        <v>255</v>
      </c>
      <c r="E30" s="6" t="s">
        <v>202</v>
      </c>
      <c r="F30" s="6" t="s">
        <v>224</v>
      </c>
      <c r="G30" s="6" t="s">
        <v>221</v>
      </c>
      <c r="H30" s="6" t="s">
        <v>222</v>
      </c>
      <c r="I30" s="6" t="s">
        <v>218</v>
      </c>
      <c r="J30" s="6" t="s">
        <v>18</v>
      </c>
      <c r="K30" s="6" t="s">
        <v>21</v>
      </c>
      <c r="L30" s="6" t="s">
        <v>197</v>
      </c>
      <c r="M30" s="6"/>
    </row>
    <row r="31" customFormat="false" ht="18" hidden="false" customHeight="true" outlineLevel="0" collapsed="false">
      <c r="A31" s="6" t="s">
        <v>38</v>
      </c>
      <c r="B31" s="6" t="s">
        <v>254</v>
      </c>
      <c r="C31" s="7" t="n">
        <v>4</v>
      </c>
      <c r="D31" s="6" t="s">
        <v>256</v>
      </c>
      <c r="E31" s="9" t="s">
        <v>199</v>
      </c>
      <c r="F31" s="6" t="s">
        <v>224</v>
      </c>
      <c r="G31" s="6" t="s">
        <v>221</v>
      </c>
      <c r="H31" s="6" t="s">
        <v>222</v>
      </c>
      <c r="I31" s="6" t="s">
        <v>218</v>
      </c>
      <c r="J31" s="6" t="s">
        <v>18</v>
      </c>
      <c r="K31" s="6" t="s">
        <v>21</v>
      </c>
      <c r="L31" s="6" t="s">
        <v>197</v>
      </c>
      <c r="M31" s="6"/>
    </row>
    <row r="32" customFormat="false" ht="18" hidden="false" customHeight="true" outlineLevel="0" collapsed="false">
      <c r="A32" s="6" t="s">
        <v>38</v>
      </c>
      <c r="B32" s="6" t="s">
        <v>254</v>
      </c>
      <c r="C32" s="7" t="n">
        <v>5</v>
      </c>
      <c r="D32" s="6" t="s">
        <v>257</v>
      </c>
      <c r="E32" s="9" t="s">
        <v>199</v>
      </c>
      <c r="F32" s="6" t="s">
        <v>205</v>
      </c>
      <c r="G32" s="6" t="s">
        <v>221</v>
      </c>
      <c r="H32" s="6" t="s">
        <v>222</v>
      </c>
      <c r="I32" s="6" t="s">
        <v>218</v>
      </c>
      <c r="J32" s="6" t="s">
        <v>52</v>
      </c>
      <c r="K32" s="6" t="s">
        <v>21</v>
      </c>
      <c r="L32" s="6" t="s">
        <v>197</v>
      </c>
      <c r="M32" s="6"/>
    </row>
    <row r="33" customFormat="false" ht="45" hidden="false" customHeight="true" outlineLevel="0" collapsed="false">
      <c r="A33" s="6" t="s">
        <v>38</v>
      </c>
      <c r="B33" s="6" t="s">
        <v>254</v>
      </c>
      <c r="C33" s="7" t="n">
        <v>7</v>
      </c>
      <c r="D33" s="6" t="s">
        <v>258</v>
      </c>
      <c r="E33" s="9" t="s">
        <v>199</v>
      </c>
      <c r="F33" s="6" t="s">
        <v>200</v>
      </c>
      <c r="G33" s="6" t="s">
        <v>221</v>
      </c>
      <c r="H33" s="6" t="s">
        <v>222</v>
      </c>
      <c r="I33" s="6" t="s">
        <v>218</v>
      </c>
      <c r="J33" s="6" t="s">
        <v>230</v>
      </c>
      <c r="K33" s="6" t="s">
        <v>21</v>
      </c>
      <c r="L33" s="11" t="s">
        <v>259</v>
      </c>
      <c r="M33" s="6" t="s">
        <v>260</v>
      </c>
    </row>
    <row r="34" customFormat="false" ht="30" hidden="false" customHeight="true" outlineLevel="0" collapsed="false">
      <c r="A34" s="6" t="s">
        <v>38</v>
      </c>
      <c r="B34" s="6" t="s">
        <v>254</v>
      </c>
      <c r="C34" s="7" t="n">
        <v>7</v>
      </c>
      <c r="D34" s="6" t="s">
        <v>261</v>
      </c>
      <c r="E34" s="6" t="s">
        <v>239</v>
      </c>
      <c r="F34" s="6" t="s">
        <v>224</v>
      </c>
      <c r="G34" s="6" t="s">
        <v>240</v>
      </c>
      <c r="H34" s="9" t="s">
        <v>262</v>
      </c>
      <c r="I34" s="6" t="s">
        <v>218</v>
      </c>
      <c r="J34" s="6" t="s">
        <v>263</v>
      </c>
      <c r="K34" s="6" t="s">
        <v>21</v>
      </c>
      <c r="L34" s="6" t="s">
        <v>259</v>
      </c>
      <c r="M34" s="6" t="s">
        <v>264</v>
      </c>
    </row>
    <row r="35" customFormat="false" ht="45" hidden="false" customHeight="true" outlineLevel="0" collapsed="false">
      <c r="A35" s="6" t="s">
        <v>38</v>
      </c>
      <c r="B35" s="6" t="s">
        <v>254</v>
      </c>
      <c r="C35" s="7" t="n">
        <v>8</v>
      </c>
      <c r="D35" s="6" t="s">
        <v>265</v>
      </c>
      <c r="E35" s="9" t="s">
        <v>199</v>
      </c>
      <c r="F35" s="6" t="s">
        <v>212</v>
      </c>
      <c r="G35" s="6" t="s">
        <v>221</v>
      </c>
      <c r="H35" s="6" t="s">
        <v>222</v>
      </c>
      <c r="I35" s="6" t="s">
        <v>218</v>
      </c>
      <c r="J35" s="6" t="s">
        <v>266</v>
      </c>
      <c r="K35" s="6" t="s">
        <v>21</v>
      </c>
      <c r="L35" s="11" t="s">
        <v>259</v>
      </c>
      <c r="M35" s="6" t="s">
        <v>267</v>
      </c>
    </row>
    <row r="36" customFormat="false" ht="18" hidden="false" customHeight="true" outlineLevel="0" collapsed="false">
      <c r="A36" s="6" t="s">
        <v>52</v>
      </c>
      <c r="B36" s="6" t="s">
        <v>268</v>
      </c>
      <c r="C36" s="7" t="n">
        <v>1</v>
      </c>
      <c r="D36" s="6" t="s">
        <v>269</v>
      </c>
      <c r="E36" s="6" t="s">
        <v>191</v>
      </c>
      <c r="F36" s="6" t="s">
        <v>192</v>
      </c>
      <c r="G36" s="6" t="s">
        <v>270</v>
      </c>
      <c r="H36" s="6" t="s">
        <v>194</v>
      </c>
      <c r="I36" s="6" t="s">
        <v>195</v>
      </c>
      <c r="J36" s="6" t="s">
        <v>18</v>
      </c>
      <c r="K36" s="6" t="s">
        <v>21</v>
      </c>
      <c r="L36" s="6" t="s">
        <v>197</v>
      </c>
      <c r="M36" s="6"/>
    </row>
    <row r="37" customFormat="false" ht="18" hidden="false" customHeight="true" outlineLevel="0" collapsed="false">
      <c r="A37" s="6" t="s">
        <v>52</v>
      </c>
      <c r="B37" s="6" t="s">
        <v>268</v>
      </c>
      <c r="C37" s="7" t="n">
        <v>2</v>
      </c>
      <c r="D37" s="6" t="s">
        <v>271</v>
      </c>
      <c r="E37" s="6" t="s">
        <v>202</v>
      </c>
      <c r="F37" s="6" t="s">
        <v>192</v>
      </c>
      <c r="G37" s="6" t="s">
        <v>270</v>
      </c>
      <c r="H37" s="6" t="s">
        <v>194</v>
      </c>
      <c r="I37" s="6" t="s">
        <v>195</v>
      </c>
      <c r="J37" s="6" t="s">
        <v>18</v>
      </c>
      <c r="K37" s="6" t="s">
        <v>21</v>
      </c>
      <c r="L37" s="6" t="s">
        <v>197</v>
      </c>
      <c r="M37" s="6"/>
    </row>
    <row r="38" customFormat="false" ht="18" hidden="false" customHeight="true" outlineLevel="0" collapsed="false">
      <c r="A38" s="6" t="s">
        <v>52</v>
      </c>
      <c r="B38" s="6" t="s">
        <v>268</v>
      </c>
      <c r="C38" s="7" t="n">
        <v>3</v>
      </c>
      <c r="D38" s="6" t="s">
        <v>272</v>
      </c>
      <c r="E38" s="6" t="s">
        <v>202</v>
      </c>
      <c r="F38" s="6" t="s">
        <v>200</v>
      </c>
      <c r="G38" s="6" t="s">
        <v>270</v>
      </c>
      <c r="H38" s="6" t="s">
        <v>194</v>
      </c>
      <c r="I38" s="6" t="s">
        <v>195</v>
      </c>
      <c r="J38" s="6" t="s">
        <v>18</v>
      </c>
      <c r="K38" s="6" t="s">
        <v>21</v>
      </c>
      <c r="L38" s="6" t="s">
        <v>197</v>
      </c>
      <c r="M38" s="6"/>
    </row>
    <row r="39" customFormat="false" ht="18" hidden="false" customHeight="true" outlineLevel="0" collapsed="false">
      <c r="A39" s="6" t="s">
        <v>52</v>
      </c>
      <c r="B39" s="6" t="s">
        <v>268</v>
      </c>
      <c r="C39" s="7" t="n">
        <v>4</v>
      </c>
      <c r="D39" s="6" t="s">
        <v>273</v>
      </c>
      <c r="E39" s="6" t="s">
        <v>202</v>
      </c>
      <c r="F39" s="6" t="s">
        <v>200</v>
      </c>
      <c r="G39" s="6" t="s">
        <v>270</v>
      </c>
      <c r="H39" s="6" t="s">
        <v>194</v>
      </c>
      <c r="I39" s="6" t="s">
        <v>195</v>
      </c>
      <c r="J39" s="6" t="s">
        <v>18</v>
      </c>
      <c r="K39" s="6" t="s">
        <v>21</v>
      </c>
      <c r="L39" s="6" t="s">
        <v>197</v>
      </c>
      <c r="M39" s="6"/>
    </row>
    <row r="40" customFormat="false" ht="45" hidden="false" customHeight="true" outlineLevel="0" collapsed="false">
      <c r="A40" s="6" t="s">
        <v>52</v>
      </c>
      <c r="B40" s="6" t="s">
        <v>268</v>
      </c>
      <c r="C40" s="7" t="n">
        <v>5</v>
      </c>
      <c r="D40" s="6" t="s">
        <v>274</v>
      </c>
      <c r="E40" s="6" t="s">
        <v>202</v>
      </c>
      <c r="F40" s="6" t="s">
        <v>192</v>
      </c>
      <c r="G40" s="6" t="s">
        <v>270</v>
      </c>
      <c r="H40" s="6" t="s">
        <v>194</v>
      </c>
      <c r="I40" s="6" t="s">
        <v>195</v>
      </c>
      <c r="J40" s="6" t="s">
        <v>275</v>
      </c>
      <c r="K40" s="6" t="s">
        <v>21</v>
      </c>
      <c r="L40" s="11" t="s">
        <v>259</v>
      </c>
      <c r="M40" s="6" t="s">
        <v>276</v>
      </c>
    </row>
    <row r="41" customFormat="false" ht="18" hidden="false" customHeight="true" outlineLevel="0" collapsed="false">
      <c r="A41" s="6" t="s">
        <v>52</v>
      </c>
      <c r="B41" s="6" t="s">
        <v>268</v>
      </c>
      <c r="C41" s="7" t="n">
        <v>6</v>
      </c>
      <c r="D41" s="6" t="s">
        <v>277</v>
      </c>
      <c r="E41" s="6" t="s">
        <v>202</v>
      </c>
      <c r="F41" s="6" t="s">
        <v>200</v>
      </c>
      <c r="G41" s="6" t="s">
        <v>270</v>
      </c>
      <c r="H41" s="6" t="s">
        <v>194</v>
      </c>
      <c r="I41" s="6" t="s">
        <v>195</v>
      </c>
      <c r="J41" s="6" t="s">
        <v>196</v>
      </c>
      <c r="K41" s="6" t="s">
        <v>21</v>
      </c>
      <c r="L41" s="6" t="s">
        <v>197</v>
      </c>
      <c r="M41" s="6"/>
    </row>
    <row r="42" customFormat="false" ht="18" hidden="false" customHeight="true" outlineLevel="0" collapsed="false">
      <c r="A42" s="6" t="s">
        <v>52</v>
      </c>
      <c r="B42" s="6" t="s">
        <v>268</v>
      </c>
      <c r="C42" s="7" t="n">
        <v>7</v>
      </c>
      <c r="D42" s="6" t="s">
        <v>278</v>
      </c>
      <c r="E42" s="6" t="s">
        <v>202</v>
      </c>
      <c r="F42" s="6" t="s">
        <v>200</v>
      </c>
      <c r="G42" s="6" t="s">
        <v>270</v>
      </c>
      <c r="H42" s="6" t="s">
        <v>194</v>
      </c>
      <c r="I42" s="6" t="s">
        <v>195</v>
      </c>
      <c r="J42" s="6" t="s">
        <v>38</v>
      </c>
      <c r="K42" s="6" t="s">
        <v>21</v>
      </c>
      <c r="L42" s="6" t="s">
        <v>197</v>
      </c>
      <c r="M42" s="6"/>
    </row>
    <row r="43" customFormat="false" ht="30" hidden="false" customHeight="true" outlineLevel="0" collapsed="false">
      <c r="A43" s="6" t="s">
        <v>52</v>
      </c>
      <c r="B43" s="6" t="s">
        <v>268</v>
      </c>
      <c r="C43" s="7" t="n">
        <v>8</v>
      </c>
      <c r="D43" s="6" t="s">
        <v>279</v>
      </c>
      <c r="E43" s="6" t="s">
        <v>202</v>
      </c>
      <c r="F43" s="6" t="s">
        <v>212</v>
      </c>
      <c r="G43" s="6" t="s">
        <v>270</v>
      </c>
      <c r="H43" s="6" t="s">
        <v>194</v>
      </c>
      <c r="I43" s="6" t="s">
        <v>195</v>
      </c>
      <c r="J43" s="6" t="s">
        <v>18</v>
      </c>
      <c r="K43" s="6" t="s">
        <v>21</v>
      </c>
      <c r="L43" s="11" t="s">
        <v>259</v>
      </c>
      <c r="M43" s="6" t="s">
        <v>280</v>
      </c>
    </row>
    <row r="44" customFormat="false" ht="18" hidden="false" customHeight="true" outlineLevel="0" collapsed="false">
      <c r="A44" s="6" t="s">
        <v>52</v>
      </c>
      <c r="B44" s="6" t="s">
        <v>268</v>
      </c>
      <c r="C44" s="7" t="n">
        <v>9</v>
      </c>
      <c r="D44" s="6" t="s">
        <v>281</v>
      </c>
      <c r="E44" s="6" t="s">
        <v>202</v>
      </c>
      <c r="F44" s="6" t="s">
        <v>192</v>
      </c>
      <c r="G44" s="6" t="s">
        <v>270</v>
      </c>
      <c r="H44" s="6" t="s">
        <v>194</v>
      </c>
      <c r="I44" s="6" t="s">
        <v>195</v>
      </c>
      <c r="J44" s="6" t="s">
        <v>18</v>
      </c>
      <c r="K44" s="6" t="s">
        <v>21</v>
      </c>
      <c r="L44" s="6" t="s">
        <v>197</v>
      </c>
      <c r="M44" s="6"/>
    </row>
    <row r="45" customFormat="false" ht="30" hidden="false" customHeight="true" outlineLevel="0" collapsed="false">
      <c r="A45" s="6" t="s">
        <v>52</v>
      </c>
      <c r="B45" s="6" t="s">
        <v>282</v>
      </c>
      <c r="C45" s="7" t="n">
        <v>5</v>
      </c>
      <c r="D45" s="6" t="s">
        <v>283</v>
      </c>
      <c r="E45" s="6" t="s">
        <v>191</v>
      </c>
      <c r="F45" s="6" t="s">
        <v>284</v>
      </c>
      <c r="G45" s="6" t="s">
        <v>270</v>
      </c>
      <c r="H45" s="6" t="s">
        <v>285</v>
      </c>
      <c r="I45" s="6" t="s">
        <v>218</v>
      </c>
      <c r="J45" s="6" t="s">
        <v>286</v>
      </c>
      <c r="K45" s="6" t="s">
        <v>21</v>
      </c>
      <c r="L45" s="6" t="s">
        <v>197</v>
      </c>
      <c r="M45" s="6"/>
    </row>
    <row r="46" customFormat="false" ht="18" hidden="false" customHeight="true" outlineLevel="0" collapsed="false">
      <c r="A46" s="6" t="s">
        <v>52</v>
      </c>
      <c r="B46" s="6" t="s">
        <v>282</v>
      </c>
      <c r="C46" s="7" t="n">
        <v>7</v>
      </c>
      <c r="D46" s="6" t="s">
        <v>287</v>
      </c>
      <c r="E46" s="6" t="s">
        <v>191</v>
      </c>
      <c r="F46" s="6" t="s">
        <v>284</v>
      </c>
      <c r="G46" s="6" t="s">
        <v>270</v>
      </c>
      <c r="H46" s="6" t="s">
        <v>285</v>
      </c>
      <c r="I46" s="6" t="s">
        <v>218</v>
      </c>
      <c r="J46" s="6" t="s">
        <v>18</v>
      </c>
      <c r="K46" s="6" t="s">
        <v>21</v>
      </c>
      <c r="L46" s="6" t="s">
        <v>197</v>
      </c>
      <c r="M46" s="6"/>
    </row>
    <row r="47" customFormat="false" ht="18" hidden="false" customHeight="true" outlineLevel="0" collapsed="false">
      <c r="A47" s="6" t="s">
        <v>52</v>
      </c>
      <c r="B47" s="6" t="s">
        <v>288</v>
      </c>
      <c r="C47" s="7" t="n">
        <v>1</v>
      </c>
      <c r="D47" s="6" t="s">
        <v>289</v>
      </c>
      <c r="E47" s="6" t="s">
        <v>191</v>
      </c>
      <c r="F47" s="6" t="s">
        <v>224</v>
      </c>
      <c r="G47" s="6" t="s">
        <v>221</v>
      </c>
      <c r="H47" s="6" t="s">
        <v>222</v>
      </c>
      <c r="I47" s="6" t="s">
        <v>218</v>
      </c>
      <c r="J47" s="6" t="s">
        <v>18</v>
      </c>
      <c r="K47" s="6" t="s">
        <v>21</v>
      </c>
      <c r="L47" s="6" t="s">
        <v>197</v>
      </c>
      <c r="M47" s="6"/>
    </row>
    <row r="48" customFormat="false" ht="18" hidden="false" customHeight="true" outlineLevel="0" collapsed="false">
      <c r="A48" s="6" t="s">
        <v>52</v>
      </c>
      <c r="B48" s="6" t="s">
        <v>288</v>
      </c>
      <c r="C48" s="7" t="n">
        <v>2</v>
      </c>
      <c r="D48" s="6" t="s">
        <v>290</v>
      </c>
      <c r="E48" s="9" t="s">
        <v>199</v>
      </c>
      <c r="F48" s="6" t="s">
        <v>205</v>
      </c>
      <c r="G48" s="6" t="s">
        <v>221</v>
      </c>
      <c r="H48" s="6" t="s">
        <v>222</v>
      </c>
      <c r="I48" s="6" t="s">
        <v>218</v>
      </c>
      <c r="J48" s="6" t="s">
        <v>38</v>
      </c>
      <c r="K48" s="6" t="s">
        <v>21</v>
      </c>
      <c r="L48" s="6" t="s">
        <v>197</v>
      </c>
      <c r="M48" s="6"/>
    </row>
    <row r="49" customFormat="false" ht="18" hidden="false" customHeight="true" outlineLevel="0" collapsed="false">
      <c r="A49" s="6" t="s">
        <v>52</v>
      </c>
      <c r="B49" s="6" t="s">
        <v>288</v>
      </c>
      <c r="C49" s="7" t="n">
        <v>4</v>
      </c>
      <c r="D49" s="6" t="s">
        <v>291</v>
      </c>
      <c r="E49" s="9" t="s">
        <v>199</v>
      </c>
      <c r="F49" s="6" t="s">
        <v>205</v>
      </c>
      <c r="G49" s="6" t="s">
        <v>221</v>
      </c>
      <c r="H49" s="6" t="s">
        <v>222</v>
      </c>
      <c r="I49" s="6" t="s">
        <v>218</v>
      </c>
      <c r="J49" s="6" t="s">
        <v>38</v>
      </c>
      <c r="K49" s="6" t="s">
        <v>21</v>
      </c>
      <c r="L49" s="6" t="s">
        <v>197</v>
      </c>
      <c r="M49" s="6"/>
    </row>
    <row r="50" customFormat="false" ht="18" hidden="false" customHeight="true" outlineLevel="0" collapsed="false">
      <c r="A50" s="6" t="s">
        <v>52</v>
      </c>
      <c r="B50" s="6" t="s">
        <v>288</v>
      </c>
      <c r="C50" s="7" t="n">
        <v>6</v>
      </c>
      <c r="D50" s="6" t="s">
        <v>292</v>
      </c>
      <c r="E50" s="9" t="s">
        <v>199</v>
      </c>
      <c r="F50" s="6" t="s">
        <v>200</v>
      </c>
      <c r="G50" s="6" t="s">
        <v>221</v>
      </c>
      <c r="H50" s="6" t="s">
        <v>222</v>
      </c>
      <c r="I50" s="6" t="s">
        <v>218</v>
      </c>
      <c r="J50" s="6" t="s">
        <v>38</v>
      </c>
      <c r="K50" s="6" t="s">
        <v>21</v>
      </c>
      <c r="L50" s="6" t="s">
        <v>197</v>
      </c>
      <c r="M50" s="6"/>
    </row>
    <row r="51" customFormat="false" ht="18" hidden="false" customHeight="true" outlineLevel="0" collapsed="false">
      <c r="A51" s="6" t="s">
        <v>52</v>
      </c>
      <c r="B51" s="6" t="s">
        <v>288</v>
      </c>
      <c r="C51" s="7" t="n">
        <v>8</v>
      </c>
      <c r="D51" s="6" t="s">
        <v>293</v>
      </c>
      <c r="E51" s="6" t="s">
        <v>239</v>
      </c>
      <c r="F51" s="6" t="s">
        <v>212</v>
      </c>
      <c r="G51" s="6" t="s">
        <v>240</v>
      </c>
      <c r="H51" s="9" t="s">
        <v>241</v>
      </c>
      <c r="I51" s="6" t="s">
        <v>218</v>
      </c>
      <c r="J51" s="6" t="s">
        <v>116</v>
      </c>
      <c r="K51" s="6" t="s">
        <v>21</v>
      </c>
      <c r="L51" s="6" t="s">
        <v>243</v>
      </c>
      <c r="M51" s="6"/>
    </row>
    <row r="52" customFormat="false" ht="30" hidden="false" customHeight="true" outlineLevel="0" collapsed="false">
      <c r="A52" s="6" t="s">
        <v>52</v>
      </c>
      <c r="B52" s="6" t="s">
        <v>294</v>
      </c>
      <c r="C52" s="7" t="n">
        <v>1</v>
      </c>
      <c r="D52" s="6" t="s">
        <v>295</v>
      </c>
      <c r="E52" s="6" t="s">
        <v>191</v>
      </c>
      <c r="F52" s="6" t="s">
        <v>192</v>
      </c>
      <c r="G52" s="6" t="s">
        <v>234</v>
      </c>
      <c r="H52" s="6" t="s">
        <v>235</v>
      </c>
      <c r="I52" s="6" t="s">
        <v>218</v>
      </c>
      <c r="J52" s="6" t="s">
        <v>18</v>
      </c>
      <c r="K52" s="6" t="s">
        <v>21</v>
      </c>
      <c r="L52" s="6" t="s">
        <v>197</v>
      </c>
      <c r="M52" s="6"/>
    </row>
    <row r="53" customFormat="false" ht="18" hidden="false" customHeight="true" outlineLevel="0" collapsed="false">
      <c r="A53" s="6" t="s">
        <v>52</v>
      </c>
      <c r="B53" s="6" t="s">
        <v>294</v>
      </c>
      <c r="C53" s="7" t="n">
        <v>3</v>
      </c>
      <c r="D53" s="6" t="s">
        <v>296</v>
      </c>
      <c r="E53" s="9" t="s">
        <v>199</v>
      </c>
      <c r="F53" s="6" t="s">
        <v>200</v>
      </c>
      <c r="G53" s="6" t="s">
        <v>234</v>
      </c>
      <c r="H53" s="6" t="s">
        <v>235</v>
      </c>
      <c r="I53" s="6" t="s">
        <v>218</v>
      </c>
      <c r="J53" s="6" t="s">
        <v>38</v>
      </c>
      <c r="K53" s="6" t="s">
        <v>21</v>
      </c>
      <c r="L53" s="6" t="s">
        <v>197</v>
      </c>
      <c r="M53" s="6"/>
    </row>
    <row r="54" customFormat="false" ht="18" hidden="false" customHeight="true" outlineLevel="0" collapsed="false">
      <c r="A54" s="6" t="s">
        <v>52</v>
      </c>
      <c r="B54" s="6" t="s">
        <v>294</v>
      </c>
      <c r="C54" s="7" t="n">
        <v>4</v>
      </c>
      <c r="D54" s="6" t="s">
        <v>297</v>
      </c>
      <c r="E54" s="9" t="s">
        <v>199</v>
      </c>
      <c r="F54" s="6" t="s">
        <v>233</v>
      </c>
      <c r="G54" s="6" t="s">
        <v>234</v>
      </c>
      <c r="H54" s="6" t="s">
        <v>235</v>
      </c>
      <c r="I54" s="6" t="s">
        <v>218</v>
      </c>
      <c r="J54" s="6" t="s">
        <v>38</v>
      </c>
      <c r="K54" s="6" t="s">
        <v>21</v>
      </c>
      <c r="L54" s="6" t="s">
        <v>197</v>
      </c>
      <c r="M54" s="6"/>
    </row>
    <row r="55" customFormat="false" ht="18" hidden="false" customHeight="true" outlineLevel="0" collapsed="false">
      <c r="A55" s="6" t="s">
        <v>52</v>
      </c>
      <c r="B55" s="6" t="s">
        <v>294</v>
      </c>
      <c r="C55" s="7" t="n">
        <v>5</v>
      </c>
      <c r="D55" s="6" t="s">
        <v>298</v>
      </c>
      <c r="E55" s="9" t="s">
        <v>199</v>
      </c>
      <c r="F55" s="6" t="s">
        <v>299</v>
      </c>
      <c r="G55" s="6" t="s">
        <v>221</v>
      </c>
      <c r="H55" s="6" t="s">
        <v>222</v>
      </c>
      <c r="I55" s="6" t="s">
        <v>218</v>
      </c>
      <c r="J55" s="6" t="s">
        <v>85</v>
      </c>
      <c r="K55" s="6" t="s">
        <v>21</v>
      </c>
      <c r="L55" s="6" t="s">
        <v>197</v>
      </c>
      <c r="M55" s="6"/>
    </row>
    <row r="56" customFormat="false" ht="18" hidden="false" customHeight="true" outlineLevel="0" collapsed="false">
      <c r="A56" s="6" t="s">
        <v>52</v>
      </c>
      <c r="B56" s="6" t="s">
        <v>294</v>
      </c>
      <c r="C56" s="7" t="n">
        <v>6</v>
      </c>
      <c r="D56" s="6" t="s">
        <v>300</v>
      </c>
      <c r="E56" s="9" t="s">
        <v>199</v>
      </c>
      <c r="F56" s="6" t="s">
        <v>205</v>
      </c>
      <c r="G56" s="6" t="s">
        <v>234</v>
      </c>
      <c r="H56" s="6" t="s">
        <v>235</v>
      </c>
      <c r="I56" s="6" t="s">
        <v>218</v>
      </c>
      <c r="J56" s="6" t="s">
        <v>38</v>
      </c>
      <c r="K56" s="6" t="s">
        <v>21</v>
      </c>
      <c r="L56" s="6" t="s">
        <v>197</v>
      </c>
      <c r="M56" s="6"/>
    </row>
    <row r="57" customFormat="false" ht="18" hidden="false" customHeight="true" outlineLevel="0" collapsed="false">
      <c r="A57" s="6" t="s">
        <v>52</v>
      </c>
      <c r="B57" s="6" t="s">
        <v>294</v>
      </c>
      <c r="C57" s="7" t="n">
        <v>8</v>
      </c>
      <c r="D57" s="6" t="s">
        <v>301</v>
      </c>
      <c r="E57" s="6" t="s">
        <v>239</v>
      </c>
      <c r="F57" s="6" t="s">
        <v>212</v>
      </c>
      <c r="G57" s="6" t="s">
        <v>240</v>
      </c>
      <c r="H57" s="9" t="s">
        <v>241</v>
      </c>
      <c r="I57" s="6" t="s">
        <v>218</v>
      </c>
      <c r="J57" s="6" t="s">
        <v>116</v>
      </c>
      <c r="K57" s="6" t="s">
        <v>21</v>
      </c>
      <c r="L57" s="6" t="s">
        <v>243</v>
      </c>
      <c r="M57" s="6"/>
    </row>
    <row r="58" customFormat="false" ht="18" hidden="false" customHeight="true" outlineLevel="0" collapsed="false">
      <c r="A58" s="6" t="s">
        <v>70</v>
      </c>
      <c r="B58" s="6" t="s">
        <v>302</v>
      </c>
      <c r="C58" s="7" t="n">
        <v>1</v>
      </c>
      <c r="D58" s="6" t="s">
        <v>303</v>
      </c>
      <c r="E58" s="6" t="s">
        <v>191</v>
      </c>
      <c r="F58" s="6" t="s">
        <v>192</v>
      </c>
      <c r="G58" s="6" t="s">
        <v>270</v>
      </c>
      <c r="H58" s="6" t="s">
        <v>194</v>
      </c>
      <c r="I58" s="6" t="s">
        <v>195</v>
      </c>
      <c r="J58" s="6" t="s">
        <v>52</v>
      </c>
      <c r="K58" s="6" t="s">
        <v>21</v>
      </c>
      <c r="L58" s="6" t="s">
        <v>197</v>
      </c>
      <c r="M58" s="6"/>
    </row>
    <row r="59" customFormat="false" ht="18" hidden="false" customHeight="true" outlineLevel="0" collapsed="false">
      <c r="A59" s="6" t="s">
        <v>70</v>
      </c>
      <c r="B59" s="6" t="s">
        <v>302</v>
      </c>
      <c r="C59" s="7" t="n">
        <v>2</v>
      </c>
      <c r="D59" s="6" t="s">
        <v>304</v>
      </c>
      <c r="E59" s="9" t="s">
        <v>199</v>
      </c>
      <c r="F59" s="6" t="s">
        <v>200</v>
      </c>
      <c r="G59" s="6" t="s">
        <v>270</v>
      </c>
      <c r="H59" s="6" t="s">
        <v>194</v>
      </c>
      <c r="I59" s="6" t="s">
        <v>195</v>
      </c>
      <c r="J59" s="6" t="s">
        <v>52</v>
      </c>
      <c r="K59" s="6" t="s">
        <v>21</v>
      </c>
      <c r="L59" s="6" t="s">
        <v>197</v>
      </c>
      <c r="M59" s="6"/>
    </row>
    <row r="60" customFormat="false" ht="18" hidden="false" customHeight="true" outlineLevel="0" collapsed="false">
      <c r="A60" s="6" t="s">
        <v>70</v>
      </c>
      <c r="B60" s="6" t="s">
        <v>302</v>
      </c>
      <c r="C60" s="7" t="n">
        <v>3</v>
      </c>
      <c r="D60" s="6" t="s">
        <v>305</v>
      </c>
      <c r="E60" s="9" t="s">
        <v>199</v>
      </c>
      <c r="F60" s="6" t="s">
        <v>205</v>
      </c>
      <c r="G60" s="6" t="s">
        <v>270</v>
      </c>
      <c r="H60" s="6" t="s">
        <v>194</v>
      </c>
      <c r="I60" s="6" t="s">
        <v>195</v>
      </c>
      <c r="J60" s="6" t="s">
        <v>52</v>
      </c>
      <c r="K60" s="6" t="s">
        <v>21</v>
      </c>
      <c r="L60" s="6" t="s">
        <v>197</v>
      </c>
      <c r="M60" s="6"/>
    </row>
    <row r="61" customFormat="false" ht="18" hidden="false" customHeight="true" outlineLevel="0" collapsed="false">
      <c r="A61" s="6" t="s">
        <v>70</v>
      </c>
      <c r="B61" s="6" t="s">
        <v>302</v>
      </c>
      <c r="C61" s="7" t="n">
        <v>4</v>
      </c>
      <c r="D61" s="6" t="s">
        <v>306</v>
      </c>
      <c r="E61" s="9" t="s">
        <v>199</v>
      </c>
      <c r="F61" s="6" t="s">
        <v>200</v>
      </c>
      <c r="G61" s="6" t="s">
        <v>270</v>
      </c>
      <c r="H61" s="6" t="s">
        <v>194</v>
      </c>
      <c r="I61" s="6" t="s">
        <v>195</v>
      </c>
      <c r="J61" s="6" t="s">
        <v>52</v>
      </c>
      <c r="K61" s="6" t="s">
        <v>21</v>
      </c>
      <c r="L61" s="6" t="s">
        <v>197</v>
      </c>
      <c r="M61" s="6"/>
    </row>
    <row r="62" customFormat="false" ht="18" hidden="false" customHeight="true" outlineLevel="0" collapsed="false">
      <c r="A62" s="6" t="s">
        <v>70</v>
      </c>
      <c r="B62" s="6" t="s">
        <v>302</v>
      </c>
      <c r="C62" s="7" t="n">
        <v>5</v>
      </c>
      <c r="D62" s="6" t="s">
        <v>307</v>
      </c>
      <c r="E62" s="9" t="s">
        <v>199</v>
      </c>
      <c r="F62" s="6" t="s">
        <v>205</v>
      </c>
      <c r="G62" s="6" t="s">
        <v>270</v>
      </c>
      <c r="H62" s="6" t="s">
        <v>194</v>
      </c>
      <c r="I62" s="6" t="s">
        <v>195</v>
      </c>
      <c r="J62" s="6" t="s">
        <v>52</v>
      </c>
      <c r="K62" s="6" t="s">
        <v>21</v>
      </c>
      <c r="L62" s="6" t="s">
        <v>197</v>
      </c>
      <c r="M62" s="6"/>
    </row>
    <row r="63" customFormat="false" ht="18" hidden="false" customHeight="true" outlineLevel="0" collapsed="false">
      <c r="A63" s="6" t="s">
        <v>70</v>
      </c>
      <c r="B63" s="6" t="s">
        <v>302</v>
      </c>
      <c r="C63" s="7" t="n">
        <v>6</v>
      </c>
      <c r="D63" s="6" t="s">
        <v>308</v>
      </c>
      <c r="E63" s="9" t="s">
        <v>199</v>
      </c>
      <c r="F63" s="6" t="s">
        <v>192</v>
      </c>
      <c r="G63" s="6" t="s">
        <v>270</v>
      </c>
      <c r="H63" s="6" t="s">
        <v>194</v>
      </c>
      <c r="I63" s="6" t="s">
        <v>195</v>
      </c>
      <c r="J63" s="6" t="s">
        <v>52</v>
      </c>
      <c r="K63" s="6" t="s">
        <v>21</v>
      </c>
      <c r="L63" s="6" t="s">
        <v>197</v>
      </c>
      <c r="M63" s="6"/>
    </row>
    <row r="64" customFormat="false" ht="18" hidden="false" customHeight="true" outlineLevel="0" collapsed="false">
      <c r="A64" s="6" t="s">
        <v>70</v>
      </c>
      <c r="B64" s="6" t="s">
        <v>302</v>
      </c>
      <c r="C64" s="7" t="n">
        <v>7</v>
      </c>
      <c r="D64" s="6" t="s">
        <v>309</v>
      </c>
      <c r="E64" s="9" t="s">
        <v>199</v>
      </c>
      <c r="F64" s="6" t="s">
        <v>200</v>
      </c>
      <c r="G64" s="6" t="s">
        <v>270</v>
      </c>
      <c r="H64" s="6" t="s">
        <v>194</v>
      </c>
      <c r="I64" s="6" t="s">
        <v>195</v>
      </c>
      <c r="J64" s="6" t="s">
        <v>52</v>
      </c>
      <c r="K64" s="6" t="s">
        <v>21</v>
      </c>
      <c r="L64" s="6" t="s">
        <v>197</v>
      </c>
      <c r="M64" s="6"/>
    </row>
    <row r="65" customFormat="false" ht="18" hidden="false" customHeight="true" outlineLevel="0" collapsed="false">
      <c r="A65" s="6" t="s">
        <v>70</v>
      </c>
      <c r="B65" s="6" t="s">
        <v>302</v>
      </c>
      <c r="C65" s="7" t="n">
        <v>8</v>
      </c>
      <c r="D65" s="6" t="s">
        <v>310</v>
      </c>
      <c r="E65" s="9" t="s">
        <v>199</v>
      </c>
      <c r="F65" s="6" t="s">
        <v>212</v>
      </c>
      <c r="G65" s="6" t="s">
        <v>270</v>
      </c>
      <c r="H65" s="6" t="s">
        <v>194</v>
      </c>
      <c r="I65" s="6" t="s">
        <v>195</v>
      </c>
      <c r="J65" s="6" t="s">
        <v>311</v>
      </c>
      <c r="K65" s="6" t="s">
        <v>21</v>
      </c>
      <c r="L65" s="6" t="s">
        <v>197</v>
      </c>
      <c r="M65" s="6"/>
    </row>
    <row r="66" customFormat="false" ht="18" hidden="false" customHeight="true" outlineLevel="0" collapsed="false">
      <c r="A66" s="6" t="s">
        <v>70</v>
      </c>
      <c r="B66" s="6" t="s">
        <v>302</v>
      </c>
      <c r="C66" s="7" t="n">
        <v>9</v>
      </c>
      <c r="D66" s="6" t="s">
        <v>312</v>
      </c>
      <c r="E66" s="9" t="s">
        <v>199</v>
      </c>
      <c r="F66" s="6" t="s">
        <v>212</v>
      </c>
      <c r="G66" s="6" t="s">
        <v>270</v>
      </c>
      <c r="H66" s="6" t="s">
        <v>194</v>
      </c>
      <c r="I66" s="6" t="s">
        <v>195</v>
      </c>
      <c r="J66" s="6" t="s">
        <v>263</v>
      </c>
      <c r="K66" s="6" t="s">
        <v>21</v>
      </c>
      <c r="L66" s="6" t="s">
        <v>197</v>
      </c>
      <c r="M66" s="6"/>
    </row>
    <row r="67" customFormat="false" ht="18" hidden="false" customHeight="true" outlineLevel="0" collapsed="false">
      <c r="A67" s="6" t="s">
        <v>70</v>
      </c>
      <c r="B67" s="6" t="s">
        <v>313</v>
      </c>
      <c r="C67" s="7" t="n">
        <v>1</v>
      </c>
      <c r="D67" s="6" t="s">
        <v>314</v>
      </c>
      <c r="E67" s="6" t="s">
        <v>191</v>
      </c>
      <c r="F67" s="6" t="s">
        <v>233</v>
      </c>
      <c r="G67" s="6" t="s">
        <v>270</v>
      </c>
      <c r="H67" s="6" t="s">
        <v>285</v>
      </c>
      <c r="I67" s="6" t="s">
        <v>218</v>
      </c>
      <c r="J67" s="6" t="s">
        <v>52</v>
      </c>
      <c r="K67" s="6" t="s">
        <v>21</v>
      </c>
      <c r="L67" s="6" t="s">
        <v>197</v>
      </c>
      <c r="M67" s="6"/>
    </row>
    <row r="68" customFormat="false" ht="18" hidden="false" customHeight="true" outlineLevel="0" collapsed="false">
      <c r="A68" s="6" t="s">
        <v>70</v>
      </c>
      <c r="B68" s="6" t="s">
        <v>313</v>
      </c>
      <c r="C68" s="7" t="n">
        <v>2</v>
      </c>
      <c r="D68" s="6" t="s">
        <v>315</v>
      </c>
      <c r="E68" s="6" t="s">
        <v>191</v>
      </c>
      <c r="F68" s="6" t="s">
        <v>233</v>
      </c>
      <c r="G68" s="6" t="s">
        <v>270</v>
      </c>
      <c r="H68" s="6" t="s">
        <v>285</v>
      </c>
      <c r="I68" s="6" t="s">
        <v>218</v>
      </c>
      <c r="J68" s="6" t="s">
        <v>52</v>
      </c>
      <c r="K68" s="6" t="s">
        <v>21</v>
      </c>
      <c r="L68" s="6" t="s">
        <v>197</v>
      </c>
      <c r="M68" s="6"/>
    </row>
    <row r="69" customFormat="false" ht="18" hidden="false" customHeight="true" outlineLevel="0" collapsed="false">
      <c r="A69" s="6" t="s">
        <v>70</v>
      </c>
      <c r="B69" s="6" t="s">
        <v>313</v>
      </c>
      <c r="C69" s="7" t="n">
        <v>4</v>
      </c>
      <c r="D69" s="6" t="s">
        <v>316</v>
      </c>
      <c r="E69" s="9" t="s">
        <v>199</v>
      </c>
      <c r="F69" s="6" t="s">
        <v>284</v>
      </c>
      <c r="G69" s="6" t="s">
        <v>270</v>
      </c>
      <c r="H69" s="6" t="s">
        <v>285</v>
      </c>
      <c r="I69" s="6" t="s">
        <v>218</v>
      </c>
      <c r="J69" s="6" t="s">
        <v>275</v>
      </c>
      <c r="K69" s="6" t="s">
        <v>21</v>
      </c>
      <c r="L69" s="6" t="s">
        <v>197</v>
      </c>
      <c r="M69" s="6"/>
    </row>
    <row r="70" customFormat="false" ht="18" hidden="false" customHeight="true" outlineLevel="0" collapsed="false">
      <c r="A70" s="6" t="s">
        <v>70</v>
      </c>
      <c r="B70" s="6" t="s">
        <v>317</v>
      </c>
      <c r="C70" s="7" t="n">
        <v>1</v>
      </c>
      <c r="D70" s="6" t="s">
        <v>318</v>
      </c>
      <c r="E70" s="6" t="s">
        <v>202</v>
      </c>
      <c r="F70" s="6" t="s">
        <v>192</v>
      </c>
      <c r="G70" s="6" t="s">
        <v>270</v>
      </c>
      <c r="H70" s="6" t="s">
        <v>194</v>
      </c>
      <c r="I70" s="6" t="s">
        <v>195</v>
      </c>
      <c r="J70" s="6" t="s">
        <v>102</v>
      </c>
      <c r="K70" s="6" t="s">
        <v>21</v>
      </c>
      <c r="L70" s="6" t="s">
        <v>197</v>
      </c>
      <c r="M70" s="6"/>
    </row>
    <row r="71" customFormat="false" ht="18" hidden="false" customHeight="true" outlineLevel="0" collapsed="false">
      <c r="A71" s="6" t="s">
        <v>70</v>
      </c>
      <c r="B71" s="6" t="s">
        <v>317</v>
      </c>
      <c r="C71" s="7" t="n">
        <v>2</v>
      </c>
      <c r="D71" s="6" t="s">
        <v>319</v>
      </c>
      <c r="E71" s="6" t="s">
        <v>202</v>
      </c>
      <c r="F71" s="6" t="s">
        <v>200</v>
      </c>
      <c r="G71" s="6" t="s">
        <v>270</v>
      </c>
      <c r="H71" s="6" t="s">
        <v>194</v>
      </c>
      <c r="I71" s="6" t="s">
        <v>195</v>
      </c>
      <c r="J71" s="6" t="s">
        <v>85</v>
      </c>
      <c r="K71" s="6" t="s">
        <v>21</v>
      </c>
      <c r="L71" s="6" t="s">
        <v>197</v>
      </c>
      <c r="M71" s="6"/>
    </row>
    <row r="72" customFormat="false" ht="18" hidden="false" customHeight="true" outlineLevel="0" collapsed="false">
      <c r="A72" s="6" t="s">
        <v>70</v>
      </c>
      <c r="B72" s="6" t="s">
        <v>317</v>
      </c>
      <c r="C72" s="7" t="n">
        <v>3</v>
      </c>
      <c r="D72" s="6" t="s">
        <v>320</v>
      </c>
      <c r="E72" s="6" t="s">
        <v>202</v>
      </c>
      <c r="F72" s="6" t="s">
        <v>200</v>
      </c>
      <c r="G72" s="6" t="s">
        <v>270</v>
      </c>
      <c r="H72" s="6" t="s">
        <v>194</v>
      </c>
      <c r="I72" s="6" t="s">
        <v>195</v>
      </c>
      <c r="J72" s="6" t="s">
        <v>85</v>
      </c>
      <c r="K72" s="6" t="s">
        <v>21</v>
      </c>
      <c r="L72" s="6" t="s">
        <v>197</v>
      </c>
      <c r="M72" s="6"/>
    </row>
    <row r="73" customFormat="false" ht="18" hidden="false" customHeight="true" outlineLevel="0" collapsed="false">
      <c r="A73" s="6" t="s">
        <v>70</v>
      </c>
      <c r="B73" s="6" t="s">
        <v>317</v>
      </c>
      <c r="C73" s="7" t="n">
        <v>4</v>
      </c>
      <c r="D73" s="6" t="s">
        <v>321</v>
      </c>
      <c r="E73" s="9" t="s">
        <v>199</v>
      </c>
      <c r="F73" s="6" t="s">
        <v>200</v>
      </c>
      <c r="G73" s="6" t="s">
        <v>270</v>
      </c>
      <c r="H73" s="6" t="s">
        <v>194</v>
      </c>
      <c r="I73" s="6" t="s">
        <v>195</v>
      </c>
      <c r="J73" s="6" t="s">
        <v>18</v>
      </c>
      <c r="K73" s="6" t="s">
        <v>21</v>
      </c>
      <c r="L73" s="6" t="s">
        <v>197</v>
      </c>
      <c r="M73" s="6"/>
    </row>
    <row r="74" customFormat="false" ht="18" hidden="false" customHeight="true" outlineLevel="0" collapsed="false">
      <c r="A74" s="6" t="s">
        <v>70</v>
      </c>
      <c r="B74" s="6" t="s">
        <v>317</v>
      </c>
      <c r="C74" s="7" t="n">
        <v>5</v>
      </c>
      <c r="D74" s="6" t="s">
        <v>322</v>
      </c>
      <c r="E74" s="9" t="s">
        <v>199</v>
      </c>
      <c r="F74" s="6" t="s">
        <v>299</v>
      </c>
      <c r="G74" s="6" t="s">
        <v>270</v>
      </c>
      <c r="H74" s="6" t="s">
        <v>194</v>
      </c>
      <c r="I74" s="6" t="s">
        <v>195</v>
      </c>
      <c r="J74" s="6" t="s">
        <v>85</v>
      </c>
      <c r="K74" s="6" t="s">
        <v>21</v>
      </c>
      <c r="L74" s="6" t="s">
        <v>197</v>
      </c>
      <c r="M74" s="6"/>
    </row>
    <row r="75" customFormat="false" ht="18" hidden="false" customHeight="true" outlineLevel="0" collapsed="false">
      <c r="A75" s="6" t="s">
        <v>70</v>
      </c>
      <c r="B75" s="6" t="s">
        <v>317</v>
      </c>
      <c r="C75" s="7" t="n">
        <v>6</v>
      </c>
      <c r="D75" s="6" t="s">
        <v>323</v>
      </c>
      <c r="E75" s="9" t="s">
        <v>199</v>
      </c>
      <c r="F75" s="6" t="s">
        <v>205</v>
      </c>
      <c r="G75" s="6" t="s">
        <v>270</v>
      </c>
      <c r="H75" s="6" t="s">
        <v>194</v>
      </c>
      <c r="I75" s="6" t="s">
        <v>195</v>
      </c>
      <c r="J75" s="6" t="s">
        <v>324</v>
      </c>
      <c r="K75" s="6" t="s">
        <v>21</v>
      </c>
      <c r="L75" s="6" t="s">
        <v>197</v>
      </c>
      <c r="M75" s="6"/>
    </row>
    <row r="76" customFormat="false" ht="18" hidden="false" customHeight="true" outlineLevel="0" collapsed="false">
      <c r="A76" s="6" t="s">
        <v>70</v>
      </c>
      <c r="B76" s="6" t="s">
        <v>317</v>
      </c>
      <c r="C76" s="7" t="n">
        <v>7</v>
      </c>
      <c r="D76" s="6" t="s">
        <v>325</v>
      </c>
      <c r="E76" s="9" t="s">
        <v>199</v>
      </c>
      <c r="F76" s="6" t="s">
        <v>200</v>
      </c>
      <c r="G76" s="6" t="s">
        <v>270</v>
      </c>
      <c r="H76" s="6" t="s">
        <v>194</v>
      </c>
      <c r="I76" s="6" t="s">
        <v>195</v>
      </c>
      <c r="J76" s="6" t="s">
        <v>52</v>
      </c>
      <c r="K76" s="6" t="s">
        <v>21</v>
      </c>
      <c r="L76" s="6" t="s">
        <v>197</v>
      </c>
      <c r="M76" s="6"/>
    </row>
    <row r="77" customFormat="false" ht="18" hidden="false" customHeight="true" outlineLevel="0" collapsed="false">
      <c r="A77" s="6" t="s">
        <v>70</v>
      </c>
      <c r="B77" s="6" t="s">
        <v>317</v>
      </c>
      <c r="C77" s="7" t="n">
        <v>8</v>
      </c>
      <c r="D77" s="6" t="s">
        <v>326</v>
      </c>
      <c r="E77" s="9" t="s">
        <v>199</v>
      </c>
      <c r="F77" s="6" t="s">
        <v>212</v>
      </c>
      <c r="G77" s="6" t="s">
        <v>270</v>
      </c>
      <c r="H77" s="6" t="s">
        <v>194</v>
      </c>
      <c r="I77" s="6" t="s">
        <v>195</v>
      </c>
      <c r="J77" s="6" t="s">
        <v>327</v>
      </c>
      <c r="K77" s="6" t="s">
        <v>21</v>
      </c>
      <c r="L77" s="6" t="s">
        <v>197</v>
      </c>
      <c r="M77" s="6"/>
    </row>
    <row r="78" customFormat="false" ht="18" hidden="false" customHeight="true" outlineLevel="0" collapsed="false">
      <c r="A78" s="6" t="s">
        <v>70</v>
      </c>
      <c r="B78" s="6" t="s">
        <v>317</v>
      </c>
      <c r="C78" s="7" t="n">
        <v>9</v>
      </c>
      <c r="D78" s="6" t="s">
        <v>328</v>
      </c>
      <c r="E78" s="9" t="s">
        <v>199</v>
      </c>
      <c r="F78" s="6" t="s">
        <v>212</v>
      </c>
      <c r="G78" s="6" t="s">
        <v>270</v>
      </c>
      <c r="H78" s="6" t="s">
        <v>194</v>
      </c>
      <c r="I78" s="6" t="s">
        <v>195</v>
      </c>
      <c r="J78" s="6" t="s">
        <v>327</v>
      </c>
      <c r="K78" s="6" t="s">
        <v>21</v>
      </c>
      <c r="L78" s="6" t="s">
        <v>197</v>
      </c>
      <c r="M78" s="6"/>
    </row>
    <row r="79" customFormat="false" ht="18" hidden="false" customHeight="true" outlineLevel="0" collapsed="false">
      <c r="A79" s="6" t="s">
        <v>70</v>
      </c>
      <c r="B79" s="6" t="s">
        <v>329</v>
      </c>
      <c r="C79" s="7" t="n">
        <v>4</v>
      </c>
      <c r="D79" s="6" t="s">
        <v>330</v>
      </c>
      <c r="E79" s="9" t="s">
        <v>199</v>
      </c>
      <c r="F79" s="6" t="s">
        <v>331</v>
      </c>
      <c r="G79" s="6" t="s">
        <v>332</v>
      </c>
      <c r="H79" s="6" t="s">
        <v>333</v>
      </c>
      <c r="I79" s="6" t="s">
        <v>218</v>
      </c>
      <c r="J79" s="6" t="s">
        <v>85</v>
      </c>
      <c r="K79" s="6" t="s">
        <v>21</v>
      </c>
      <c r="L79" s="6" t="s">
        <v>197</v>
      </c>
      <c r="M79" s="6"/>
    </row>
    <row r="80" customFormat="false" ht="18" hidden="false" customHeight="true" outlineLevel="0" collapsed="false">
      <c r="A80" s="6" t="s">
        <v>70</v>
      </c>
      <c r="B80" s="6" t="s">
        <v>329</v>
      </c>
      <c r="C80" s="7" t="n">
        <v>7</v>
      </c>
      <c r="D80" s="6" t="s">
        <v>334</v>
      </c>
      <c r="E80" s="6" t="s">
        <v>239</v>
      </c>
      <c r="F80" s="6" t="s">
        <v>332</v>
      </c>
      <c r="G80" s="6" t="s">
        <v>240</v>
      </c>
      <c r="H80" s="9" t="s">
        <v>241</v>
      </c>
      <c r="I80" s="6" t="s">
        <v>218</v>
      </c>
      <c r="J80" s="6" t="s">
        <v>335</v>
      </c>
      <c r="K80" s="6" t="s">
        <v>21</v>
      </c>
      <c r="L80" s="6" t="s">
        <v>243</v>
      </c>
      <c r="M80" s="6"/>
    </row>
    <row r="81" customFormat="false" ht="18" hidden="false" customHeight="true" outlineLevel="0" collapsed="false">
      <c r="A81" s="6" t="s">
        <v>70</v>
      </c>
      <c r="B81" s="6" t="s">
        <v>329</v>
      </c>
      <c r="C81" s="7" t="n">
        <v>9</v>
      </c>
      <c r="D81" s="6" t="s">
        <v>336</v>
      </c>
      <c r="E81" s="6" t="s">
        <v>239</v>
      </c>
      <c r="F81" s="6" t="s">
        <v>332</v>
      </c>
      <c r="G81" s="6" t="s">
        <v>240</v>
      </c>
      <c r="H81" s="9" t="s">
        <v>241</v>
      </c>
      <c r="I81" s="6" t="s">
        <v>218</v>
      </c>
      <c r="J81" s="6" t="s">
        <v>52</v>
      </c>
      <c r="K81" s="6" t="s">
        <v>21</v>
      </c>
      <c r="L81" s="6" t="s">
        <v>243</v>
      </c>
      <c r="M81" s="6"/>
    </row>
    <row r="82" customFormat="false" ht="18" hidden="false" customHeight="true" outlineLevel="0" collapsed="false">
      <c r="A82" s="6" t="s">
        <v>70</v>
      </c>
      <c r="B82" s="6" t="s">
        <v>329</v>
      </c>
      <c r="C82" s="7" t="n">
        <v>10</v>
      </c>
      <c r="D82" s="6" t="s">
        <v>337</v>
      </c>
      <c r="E82" s="6" t="s">
        <v>338</v>
      </c>
      <c r="F82" s="6" t="s">
        <v>339</v>
      </c>
      <c r="G82" s="6" t="s">
        <v>340</v>
      </c>
      <c r="H82" s="6" t="s">
        <v>341</v>
      </c>
      <c r="I82" s="6" t="s">
        <v>218</v>
      </c>
      <c r="J82" s="6" t="s">
        <v>85</v>
      </c>
      <c r="K82" s="6" t="s">
        <v>21</v>
      </c>
      <c r="L82" s="6" t="s">
        <v>342</v>
      </c>
      <c r="M82" s="6"/>
    </row>
    <row r="83" customFormat="false" ht="18" hidden="false" customHeight="true" outlineLevel="0" collapsed="false">
      <c r="A83" s="6" t="s">
        <v>85</v>
      </c>
      <c r="B83" s="6" t="s">
        <v>343</v>
      </c>
      <c r="C83" s="7" t="n">
        <v>1</v>
      </c>
      <c r="D83" s="6" t="s">
        <v>344</v>
      </c>
      <c r="E83" s="6" t="s">
        <v>191</v>
      </c>
      <c r="F83" s="6" t="s">
        <v>192</v>
      </c>
      <c r="G83" s="6" t="s">
        <v>270</v>
      </c>
      <c r="H83" s="6" t="s">
        <v>194</v>
      </c>
      <c r="I83" s="6" t="s">
        <v>195</v>
      </c>
      <c r="J83" s="6" t="s">
        <v>102</v>
      </c>
      <c r="K83" s="6" t="s">
        <v>21</v>
      </c>
      <c r="L83" s="6" t="s">
        <v>197</v>
      </c>
      <c r="M83" s="6"/>
    </row>
    <row r="84" customFormat="false" ht="18" hidden="false" customHeight="true" outlineLevel="0" collapsed="false">
      <c r="A84" s="6" t="s">
        <v>85</v>
      </c>
      <c r="B84" s="6" t="s">
        <v>343</v>
      </c>
      <c r="C84" s="7" t="n">
        <v>2</v>
      </c>
      <c r="D84" s="6" t="s">
        <v>345</v>
      </c>
      <c r="E84" s="6" t="s">
        <v>202</v>
      </c>
      <c r="F84" s="6" t="s">
        <v>200</v>
      </c>
      <c r="G84" s="6" t="s">
        <v>270</v>
      </c>
      <c r="H84" s="6" t="s">
        <v>194</v>
      </c>
      <c r="I84" s="6" t="s">
        <v>195</v>
      </c>
      <c r="J84" s="6" t="s">
        <v>102</v>
      </c>
      <c r="K84" s="6" t="s">
        <v>21</v>
      </c>
      <c r="L84" s="6" t="s">
        <v>197</v>
      </c>
      <c r="M84" s="6"/>
    </row>
    <row r="85" customFormat="false" ht="18" hidden="false" customHeight="true" outlineLevel="0" collapsed="false">
      <c r="A85" s="6" t="s">
        <v>85</v>
      </c>
      <c r="B85" s="6" t="s">
        <v>343</v>
      </c>
      <c r="C85" s="7" t="n">
        <v>3</v>
      </c>
      <c r="D85" s="6" t="s">
        <v>346</v>
      </c>
      <c r="E85" s="6" t="s">
        <v>202</v>
      </c>
      <c r="F85" s="6" t="s">
        <v>299</v>
      </c>
      <c r="G85" s="6" t="s">
        <v>347</v>
      </c>
      <c r="H85" s="6" t="s">
        <v>348</v>
      </c>
      <c r="I85" s="6" t="s">
        <v>195</v>
      </c>
      <c r="J85" s="6" t="s">
        <v>52</v>
      </c>
      <c r="K85" s="6" t="s">
        <v>21</v>
      </c>
      <c r="L85" s="6" t="s">
        <v>197</v>
      </c>
      <c r="M85" s="6"/>
    </row>
    <row r="86" customFormat="false" ht="18" hidden="false" customHeight="true" outlineLevel="0" collapsed="false">
      <c r="A86" s="6" t="s">
        <v>85</v>
      </c>
      <c r="B86" s="6" t="s">
        <v>343</v>
      </c>
      <c r="C86" s="7" t="n">
        <v>4</v>
      </c>
      <c r="D86" s="6" t="s">
        <v>349</v>
      </c>
      <c r="E86" s="9" t="s">
        <v>199</v>
      </c>
      <c r="F86" s="6" t="s">
        <v>205</v>
      </c>
      <c r="G86" s="6" t="s">
        <v>270</v>
      </c>
      <c r="H86" s="6" t="s">
        <v>194</v>
      </c>
      <c r="I86" s="6" t="s">
        <v>195</v>
      </c>
      <c r="J86" s="6" t="s">
        <v>102</v>
      </c>
      <c r="K86" s="6" t="s">
        <v>21</v>
      </c>
      <c r="L86" s="6" t="s">
        <v>197</v>
      </c>
      <c r="M86" s="6"/>
    </row>
    <row r="87" customFormat="false" ht="30" hidden="false" customHeight="true" outlineLevel="0" collapsed="false">
      <c r="A87" s="6" t="s">
        <v>85</v>
      </c>
      <c r="B87" s="6" t="s">
        <v>343</v>
      </c>
      <c r="C87" s="7" t="n">
        <v>5</v>
      </c>
      <c r="D87" s="6" t="s">
        <v>350</v>
      </c>
      <c r="E87" s="9" t="s">
        <v>199</v>
      </c>
      <c r="F87" s="6" t="s">
        <v>299</v>
      </c>
      <c r="G87" s="6" t="s">
        <v>270</v>
      </c>
      <c r="H87" s="6" t="s">
        <v>194</v>
      </c>
      <c r="I87" s="6" t="s">
        <v>195</v>
      </c>
      <c r="J87" s="6" t="s">
        <v>102</v>
      </c>
      <c r="K87" s="6" t="s">
        <v>21</v>
      </c>
      <c r="L87" s="6" t="s">
        <v>197</v>
      </c>
      <c r="M87" s="6"/>
    </row>
    <row r="88" customFormat="false" ht="18" hidden="false" customHeight="true" outlineLevel="0" collapsed="false">
      <c r="A88" s="6" t="s">
        <v>85</v>
      </c>
      <c r="B88" s="6" t="s">
        <v>343</v>
      </c>
      <c r="C88" s="7" t="n">
        <v>6</v>
      </c>
      <c r="D88" s="6" t="s">
        <v>351</v>
      </c>
      <c r="E88" s="9" t="s">
        <v>199</v>
      </c>
      <c r="F88" s="6" t="s">
        <v>205</v>
      </c>
      <c r="G88" s="6" t="s">
        <v>270</v>
      </c>
      <c r="H88" s="6" t="s">
        <v>194</v>
      </c>
      <c r="I88" s="6" t="s">
        <v>195</v>
      </c>
      <c r="J88" s="6" t="s">
        <v>102</v>
      </c>
      <c r="K88" s="6" t="s">
        <v>21</v>
      </c>
      <c r="L88" s="6" t="s">
        <v>197</v>
      </c>
      <c r="M88" s="6"/>
    </row>
    <row r="89" customFormat="false" ht="30" hidden="false" customHeight="true" outlineLevel="0" collapsed="false">
      <c r="A89" s="6" t="s">
        <v>85</v>
      </c>
      <c r="B89" s="6" t="s">
        <v>343</v>
      </c>
      <c r="C89" s="7" t="n">
        <v>7</v>
      </c>
      <c r="D89" s="6" t="s">
        <v>352</v>
      </c>
      <c r="E89" s="9" t="s">
        <v>199</v>
      </c>
      <c r="F89" s="6" t="s">
        <v>200</v>
      </c>
      <c r="G89" s="6" t="s">
        <v>270</v>
      </c>
      <c r="H89" s="6" t="s">
        <v>194</v>
      </c>
      <c r="I89" s="6" t="s">
        <v>195</v>
      </c>
      <c r="J89" s="6" t="s">
        <v>52</v>
      </c>
      <c r="K89" s="6" t="s">
        <v>21</v>
      </c>
      <c r="L89" s="11" t="s">
        <v>259</v>
      </c>
      <c r="M89" s="6" t="s">
        <v>353</v>
      </c>
    </row>
    <row r="90" customFormat="false" ht="18" hidden="false" customHeight="true" outlineLevel="0" collapsed="false">
      <c r="A90" s="6" t="s">
        <v>85</v>
      </c>
      <c r="B90" s="6" t="s">
        <v>343</v>
      </c>
      <c r="C90" s="7" t="n">
        <v>8</v>
      </c>
      <c r="D90" s="6" t="s">
        <v>354</v>
      </c>
      <c r="E90" s="9" t="s">
        <v>199</v>
      </c>
      <c r="F90" s="6" t="s">
        <v>212</v>
      </c>
      <c r="G90" s="6" t="s">
        <v>270</v>
      </c>
      <c r="H90" s="6" t="s">
        <v>194</v>
      </c>
      <c r="I90" s="6" t="s">
        <v>195</v>
      </c>
      <c r="J90" s="6" t="s">
        <v>70</v>
      </c>
      <c r="K90" s="6" t="s">
        <v>21</v>
      </c>
      <c r="L90" s="6" t="s">
        <v>197</v>
      </c>
      <c r="M90" s="6"/>
    </row>
    <row r="91" customFormat="false" ht="45" hidden="false" customHeight="true" outlineLevel="0" collapsed="false">
      <c r="A91" s="6" t="s">
        <v>85</v>
      </c>
      <c r="B91" s="6" t="s">
        <v>343</v>
      </c>
      <c r="C91" s="7" t="n">
        <v>9</v>
      </c>
      <c r="D91" s="6" t="s">
        <v>355</v>
      </c>
      <c r="E91" s="9" t="s">
        <v>199</v>
      </c>
      <c r="F91" s="6" t="s">
        <v>200</v>
      </c>
      <c r="G91" s="6" t="s">
        <v>270</v>
      </c>
      <c r="H91" s="6" t="s">
        <v>194</v>
      </c>
      <c r="I91" s="6" t="s">
        <v>195</v>
      </c>
      <c r="J91" s="6" t="s">
        <v>102</v>
      </c>
      <c r="K91" s="6" t="s">
        <v>21</v>
      </c>
      <c r="L91" s="11" t="s">
        <v>259</v>
      </c>
      <c r="M91" s="6" t="s">
        <v>356</v>
      </c>
    </row>
    <row r="92" customFormat="false" ht="18" hidden="false" customHeight="true" outlineLevel="0" collapsed="false">
      <c r="A92" s="6" t="s">
        <v>85</v>
      </c>
      <c r="B92" s="6" t="s">
        <v>357</v>
      </c>
      <c r="C92" s="7" t="n">
        <v>1</v>
      </c>
      <c r="D92" s="6" t="s">
        <v>358</v>
      </c>
      <c r="E92" s="6" t="s">
        <v>191</v>
      </c>
      <c r="F92" s="6" t="s">
        <v>192</v>
      </c>
      <c r="G92" s="6" t="s">
        <v>270</v>
      </c>
      <c r="H92" s="6" t="s">
        <v>194</v>
      </c>
      <c r="I92" s="6" t="s">
        <v>195</v>
      </c>
      <c r="J92" s="6" t="s">
        <v>102</v>
      </c>
      <c r="K92" s="6" t="s">
        <v>21</v>
      </c>
      <c r="L92" s="6" t="s">
        <v>197</v>
      </c>
      <c r="M92" s="6"/>
    </row>
    <row r="93" customFormat="false" ht="18" hidden="false" customHeight="true" outlineLevel="0" collapsed="false">
      <c r="A93" s="6" t="s">
        <v>85</v>
      </c>
      <c r="B93" s="6" t="s">
        <v>357</v>
      </c>
      <c r="C93" s="7" t="n">
        <v>2</v>
      </c>
      <c r="D93" s="6" t="s">
        <v>359</v>
      </c>
      <c r="E93" s="6" t="s">
        <v>202</v>
      </c>
      <c r="F93" s="6" t="s">
        <v>200</v>
      </c>
      <c r="G93" s="6" t="s">
        <v>270</v>
      </c>
      <c r="H93" s="6" t="s">
        <v>194</v>
      </c>
      <c r="I93" s="6" t="s">
        <v>195</v>
      </c>
      <c r="J93" s="6" t="s">
        <v>52</v>
      </c>
      <c r="K93" s="6" t="s">
        <v>21</v>
      </c>
      <c r="L93" s="6" t="s">
        <v>197</v>
      </c>
      <c r="M93" s="6"/>
    </row>
    <row r="94" customFormat="false" ht="18" hidden="false" customHeight="true" outlineLevel="0" collapsed="false">
      <c r="A94" s="6" t="s">
        <v>85</v>
      </c>
      <c r="B94" s="6" t="s">
        <v>357</v>
      </c>
      <c r="C94" s="7" t="n">
        <v>3</v>
      </c>
      <c r="D94" s="6" t="s">
        <v>360</v>
      </c>
      <c r="E94" s="6" t="s">
        <v>202</v>
      </c>
      <c r="F94" s="6" t="s">
        <v>200</v>
      </c>
      <c r="G94" s="6" t="s">
        <v>270</v>
      </c>
      <c r="H94" s="6" t="s">
        <v>194</v>
      </c>
      <c r="I94" s="6" t="s">
        <v>195</v>
      </c>
      <c r="J94" s="6" t="s">
        <v>52</v>
      </c>
      <c r="K94" s="6" t="s">
        <v>21</v>
      </c>
      <c r="L94" s="6" t="s">
        <v>197</v>
      </c>
      <c r="M94" s="6"/>
    </row>
    <row r="95" customFormat="false" ht="18" hidden="false" customHeight="true" outlineLevel="0" collapsed="false">
      <c r="A95" s="6" t="s">
        <v>85</v>
      </c>
      <c r="B95" s="6" t="s">
        <v>357</v>
      </c>
      <c r="C95" s="7" t="n">
        <v>4</v>
      </c>
      <c r="D95" s="6" t="s">
        <v>361</v>
      </c>
      <c r="E95" s="9" t="s">
        <v>199</v>
      </c>
      <c r="F95" s="6" t="s">
        <v>299</v>
      </c>
      <c r="G95" s="6" t="s">
        <v>270</v>
      </c>
      <c r="H95" s="6" t="s">
        <v>194</v>
      </c>
      <c r="I95" s="6" t="s">
        <v>195</v>
      </c>
      <c r="J95" s="6" t="s">
        <v>102</v>
      </c>
      <c r="K95" s="6" t="s">
        <v>21</v>
      </c>
      <c r="L95" s="6" t="s">
        <v>197</v>
      </c>
      <c r="M95" s="6"/>
    </row>
    <row r="96" customFormat="false" ht="18" hidden="false" customHeight="true" outlineLevel="0" collapsed="false">
      <c r="A96" s="6" t="s">
        <v>85</v>
      </c>
      <c r="B96" s="6" t="s">
        <v>357</v>
      </c>
      <c r="C96" s="7" t="n">
        <v>5</v>
      </c>
      <c r="D96" s="6" t="s">
        <v>362</v>
      </c>
      <c r="E96" s="9" t="s">
        <v>199</v>
      </c>
      <c r="F96" s="6" t="s">
        <v>205</v>
      </c>
      <c r="G96" s="6" t="s">
        <v>270</v>
      </c>
      <c r="H96" s="6" t="s">
        <v>194</v>
      </c>
      <c r="I96" s="6" t="s">
        <v>195</v>
      </c>
      <c r="J96" s="6" t="s">
        <v>102</v>
      </c>
      <c r="K96" s="6" t="s">
        <v>21</v>
      </c>
      <c r="L96" s="6" t="s">
        <v>197</v>
      </c>
      <c r="M96" s="6"/>
    </row>
    <row r="97" customFormat="false" ht="18" hidden="false" customHeight="true" outlineLevel="0" collapsed="false">
      <c r="A97" s="6" t="s">
        <v>85</v>
      </c>
      <c r="B97" s="6" t="s">
        <v>357</v>
      </c>
      <c r="C97" s="7" t="n">
        <v>6</v>
      </c>
      <c r="D97" s="6" t="s">
        <v>363</v>
      </c>
      <c r="E97" s="9" t="s">
        <v>199</v>
      </c>
      <c r="F97" s="6" t="s">
        <v>233</v>
      </c>
      <c r="G97" s="6" t="s">
        <v>270</v>
      </c>
      <c r="H97" s="6" t="s">
        <v>285</v>
      </c>
      <c r="I97" s="6" t="s">
        <v>195</v>
      </c>
      <c r="J97" s="6" t="s">
        <v>102</v>
      </c>
      <c r="K97" s="6" t="s">
        <v>21</v>
      </c>
      <c r="L97" s="6" t="s">
        <v>197</v>
      </c>
      <c r="M97" s="6"/>
    </row>
    <row r="98" customFormat="false" ht="18" hidden="false" customHeight="true" outlineLevel="0" collapsed="false">
      <c r="A98" s="6" t="s">
        <v>85</v>
      </c>
      <c r="B98" s="6" t="s">
        <v>357</v>
      </c>
      <c r="C98" s="7" t="n">
        <v>7</v>
      </c>
      <c r="D98" s="6" t="s">
        <v>364</v>
      </c>
      <c r="E98" s="9" t="s">
        <v>199</v>
      </c>
      <c r="F98" s="6" t="s">
        <v>365</v>
      </c>
      <c r="G98" s="6" t="s">
        <v>270</v>
      </c>
      <c r="H98" s="6" t="s">
        <v>285</v>
      </c>
      <c r="I98" s="6" t="s">
        <v>195</v>
      </c>
      <c r="J98" s="6" t="s">
        <v>159</v>
      </c>
      <c r="K98" s="6" t="s">
        <v>21</v>
      </c>
      <c r="L98" s="6" t="s">
        <v>197</v>
      </c>
      <c r="M98" s="6"/>
    </row>
    <row r="99" customFormat="false" ht="18" hidden="false" customHeight="true" outlineLevel="0" collapsed="false">
      <c r="A99" s="6" t="s">
        <v>85</v>
      </c>
      <c r="B99" s="6" t="s">
        <v>357</v>
      </c>
      <c r="C99" s="7" t="n">
        <v>8</v>
      </c>
      <c r="D99" s="6" t="s">
        <v>366</v>
      </c>
      <c r="E99" s="9" t="s">
        <v>199</v>
      </c>
      <c r="F99" s="6" t="s">
        <v>212</v>
      </c>
      <c r="G99" s="6" t="s">
        <v>270</v>
      </c>
      <c r="H99" s="6" t="s">
        <v>194</v>
      </c>
      <c r="I99" s="6" t="s">
        <v>195</v>
      </c>
      <c r="J99" s="6" t="s">
        <v>213</v>
      </c>
      <c r="K99" s="6" t="s">
        <v>21</v>
      </c>
      <c r="L99" s="6" t="s">
        <v>197</v>
      </c>
      <c r="M99" s="6"/>
    </row>
    <row r="100" customFormat="false" ht="30" hidden="false" customHeight="true" outlineLevel="0" collapsed="false">
      <c r="A100" s="6" t="s">
        <v>85</v>
      </c>
      <c r="B100" s="6" t="s">
        <v>357</v>
      </c>
      <c r="C100" s="7" t="n">
        <v>9</v>
      </c>
      <c r="D100" s="6" t="s">
        <v>367</v>
      </c>
      <c r="E100" s="9" t="s">
        <v>199</v>
      </c>
      <c r="F100" s="6" t="s">
        <v>200</v>
      </c>
      <c r="G100" s="6" t="s">
        <v>270</v>
      </c>
      <c r="H100" s="6" t="s">
        <v>194</v>
      </c>
      <c r="I100" s="6" t="s">
        <v>195</v>
      </c>
      <c r="J100" s="6" t="s">
        <v>70</v>
      </c>
      <c r="K100" s="6" t="s">
        <v>21</v>
      </c>
      <c r="L100" s="11" t="s">
        <v>259</v>
      </c>
      <c r="M100" s="6" t="s">
        <v>368</v>
      </c>
    </row>
    <row r="101" customFormat="false" ht="18" hidden="false" customHeight="true" outlineLevel="0" collapsed="false">
      <c r="A101" s="6" t="s">
        <v>85</v>
      </c>
      <c r="B101" s="6" t="s">
        <v>369</v>
      </c>
      <c r="C101" s="7" t="n">
        <v>1</v>
      </c>
      <c r="D101" s="6" t="s">
        <v>370</v>
      </c>
      <c r="E101" s="6" t="s">
        <v>191</v>
      </c>
      <c r="F101" s="6" t="s">
        <v>192</v>
      </c>
      <c r="G101" s="6" t="s">
        <v>270</v>
      </c>
      <c r="H101" s="6" t="s">
        <v>194</v>
      </c>
      <c r="I101" s="6" t="s">
        <v>195</v>
      </c>
      <c r="J101" s="6" t="s">
        <v>102</v>
      </c>
      <c r="K101" s="6" t="s">
        <v>21</v>
      </c>
      <c r="L101" s="6" t="s">
        <v>197</v>
      </c>
      <c r="M101" s="6"/>
    </row>
    <row r="102" customFormat="false" ht="18" hidden="false" customHeight="true" outlineLevel="0" collapsed="false">
      <c r="A102" s="6" t="s">
        <v>85</v>
      </c>
      <c r="B102" s="6" t="s">
        <v>369</v>
      </c>
      <c r="C102" s="7" t="n">
        <v>2</v>
      </c>
      <c r="D102" s="6" t="s">
        <v>371</v>
      </c>
      <c r="E102" s="6" t="s">
        <v>202</v>
      </c>
      <c r="F102" s="6" t="s">
        <v>200</v>
      </c>
      <c r="G102" s="6" t="s">
        <v>270</v>
      </c>
      <c r="H102" s="6" t="s">
        <v>194</v>
      </c>
      <c r="I102" s="6" t="s">
        <v>195</v>
      </c>
      <c r="J102" s="6" t="s">
        <v>52</v>
      </c>
      <c r="K102" s="6" t="s">
        <v>21</v>
      </c>
      <c r="L102" s="6" t="s">
        <v>197</v>
      </c>
      <c r="M102" s="6"/>
    </row>
    <row r="103" customFormat="false" ht="18" hidden="false" customHeight="true" outlineLevel="0" collapsed="false">
      <c r="A103" s="6" t="s">
        <v>85</v>
      </c>
      <c r="B103" s="6" t="s">
        <v>369</v>
      </c>
      <c r="C103" s="7" t="n">
        <v>3</v>
      </c>
      <c r="D103" s="6" t="s">
        <v>372</v>
      </c>
      <c r="E103" s="6" t="s">
        <v>202</v>
      </c>
      <c r="F103" s="6" t="s">
        <v>200</v>
      </c>
      <c r="G103" s="6" t="s">
        <v>270</v>
      </c>
      <c r="H103" s="6" t="s">
        <v>194</v>
      </c>
      <c r="I103" s="6" t="s">
        <v>195</v>
      </c>
      <c r="J103" s="6" t="s">
        <v>52</v>
      </c>
      <c r="K103" s="6" t="s">
        <v>21</v>
      </c>
      <c r="L103" s="6" t="s">
        <v>197</v>
      </c>
      <c r="M103" s="6"/>
    </row>
    <row r="104" customFormat="false" ht="18" hidden="false" customHeight="true" outlineLevel="0" collapsed="false">
      <c r="A104" s="6" t="s">
        <v>85</v>
      </c>
      <c r="B104" s="6" t="s">
        <v>369</v>
      </c>
      <c r="C104" s="7" t="n">
        <v>4</v>
      </c>
      <c r="D104" s="6" t="s">
        <v>373</v>
      </c>
      <c r="E104" s="9" t="s">
        <v>199</v>
      </c>
      <c r="F104" s="6" t="s">
        <v>205</v>
      </c>
      <c r="G104" s="6" t="s">
        <v>270</v>
      </c>
      <c r="H104" s="6" t="s">
        <v>194</v>
      </c>
      <c r="I104" s="6" t="s">
        <v>195</v>
      </c>
      <c r="J104" s="6" t="s">
        <v>102</v>
      </c>
      <c r="K104" s="6" t="s">
        <v>21</v>
      </c>
      <c r="L104" s="6" t="s">
        <v>197</v>
      </c>
      <c r="M104" s="6"/>
    </row>
    <row r="105" customFormat="false" ht="18" hidden="false" customHeight="true" outlineLevel="0" collapsed="false">
      <c r="A105" s="6" t="s">
        <v>85</v>
      </c>
      <c r="B105" s="6" t="s">
        <v>369</v>
      </c>
      <c r="C105" s="7" t="n">
        <v>5</v>
      </c>
      <c r="D105" s="6" t="s">
        <v>374</v>
      </c>
      <c r="E105" s="9" t="s">
        <v>199</v>
      </c>
      <c r="F105" s="6" t="s">
        <v>200</v>
      </c>
      <c r="G105" s="6" t="s">
        <v>270</v>
      </c>
      <c r="H105" s="6" t="s">
        <v>194</v>
      </c>
      <c r="I105" s="6" t="s">
        <v>195</v>
      </c>
      <c r="J105" s="6" t="s">
        <v>102</v>
      </c>
      <c r="K105" s="6" t="s">
        <v>21</v>
      </c>
      <c r="L105" s="6" t="s">
        <v>197</v>
      </c>
      <c r="M105" s="6"/>
    </row>
    <row r="106" customFormat="false" ht="18" hidden="false" customHeight="true" outlineLevel="0" collapsed="false">
      <c r="A106" s="6" t="s">
        <v>85</v>
      </c>
      <c r="B106" s="6" t="s">
        <v>369</v>
      </c>
      <c r="C106" s="7" t="n">
        <v>6</v>
      </c>
      <c r="D106" s="6" t="s">
        <v>375</v>
      </c>
      <c r="E106" s="9" t="s">
        <v>199</v>
      </c>
      <c r="F106" s="6" t="s">
        <v>299</v>
      </c>
      <c r="G106" s="6" t="s">
        <v>270</v>
      </c>
      <c r="H106" s="6" t="s">
        <v>194</v>
      </c>
      <c r="I106" s="6" t="s">
        <v>195</v>
      </c>
      <c r="J106" s="6" t="s">
        <v>102</v>
      </c>
      <c r="K106" s="6" t="s">
        <v>21</v>
      </c>
      <c r="L106" s="6" t="s">
        <v>197</v>
      </c>
      <c r="M106" s="6"/>
    </row>
    <row r="107" customFormat="false" ht="18" hidden="false" customHeight="true" outlineLevel="0" collapsed="false">
      <c r="A107" s="6" t="s">
        <v>85</v>
      </c>
      <c r="B107" s="6" t="s">
        <v>369</v>
      </c>
      <c r="C107" s="7" t="n">
        <v>7</v>
      </c>
      <c r="D107" s="6" t="s">
        <v>376</v>
      </c>
      <c r="E107" s="9" t="s">
        <v>199</v>
      </c>
      <c r="F107" s="6" t="s">
        <v>233</v>
      </c>
      <c r="G107" s="6" t="s">
        <v>270</v>
      </c>
      <c r="H107" s="6" t="s">
        <v>285</v>
      </c>
      <c r="I107" s="6" t="s">
        <v>195</v>
      </c>
      <c r="J107" s="6" t="s">
        <v>159</v>
      </c>
      <c r="K107" s="6" t="s">
        <v>21</v>
      </c>
      <c r="L107" s="6" t="s">
        <v>197</v>
      </c>
      <c r="M107" s="6"/>
    </row>
    <row r="108" customFormat="false" ht="18" hidden="false" customHeight="true" outlineLevel="0" collapsed="false">
      <c r="A108" s="6" t="s">
        <v>85</v>
      </c>
      <c r="B108" s="6" t="s">
        <v>369</v>
      </c>
      <c r="C108" s="7" t="n">
        <v>8</v>
      </c>
      <c r="D108" s="6" t="s">
        <v>377</v>
      </c>
      <c r="E108" s="9" t="s">
        <v>199</v>
      </c>
      <c r="F108" s="6" t="s">
        <v>212</v>
      </c>
      <c r="G108" s="6" t="s">
        <v>270</v>
      </c>
      <c r="H108" s="6" t="s">
        <v>194</v>
      </c>
      <c r="I108" s="6" t="s">
        <v>195</v>
      </c>
      <c r="J108" s="6" t="s">
        <v>52</v>
      </c>
      <c r="K108" s="6" t="s">
        <v>21</v>
      </c>
      <c r="L108" s="6" t="s">
        <v>197</v>
      </c>
      <c r="M108" s="6"/>
    </row>
    <row r="109" customFormat="false" ht="30" hidden="false" customHeight="true" outlineLevel="0" collapsed="false">
      <c r="A109" s="6" t="s">
        <v>85</v>
      </c>
      <c r="B109" s="6" t="s">
        <v>369</v>
      </c>
      <c r="C109" s="7" t="n">
        <v>9</v>
      </c>
      <c r="D109" s="6" t="s">
        <v>378</v>
      </c>
      <c r="E109" s="9" t="s">
        <v>199</v>
      </c>
      <c r="F109" s="6" t="s">
        <v>200</v>
      </c>
      <c r="G109" s="6" t="s">
        <v>270</v>
      </c>
      <c r="H109" s="6" t="s">
        <v>194</v>
      </c>
      <c r="I109" s="6" t="s">
        <v>195</v>
      </c>
      <c r="J109" s="6" t="s">
        <v>102</v>
      </c>
      <c r="K109" s="6" t="s">
        <v>21</v>
      </c>
      <c r="L109" s="11" t="s">
        <v>259</v>
      </c>
      <c r="M109" s="6" t="s">
        <v>379</v>
      </c>
    </row>
    <row r="110" customFormat="false" ht="18" hidden="false" customHeight="true" outlineLevel="0" collapsed="false">
      <c r="A110" s="6" t="s">
        <v>85</v>
      </c>
      <c r="B110" s="6" t="s">
        <v>380</v>
      </c>
      <c r="C110" s="7" t="n">
        <v>1</v>
      </c>
      <c r="D110" s="6" t="s">
        <v>381</v>
      </c>
      <c r="E110" s="6" t="s">
        <v>191</v>
      </c>
      <c r="F110" s="6" t="s">
        <v>233</v>
      </c>
      <c r="G110" s="6" t="s">
        <v>347</v>
      </c>
      <c r="H110" s="6" t="s">
        <v>348</v>
      </c>
      <c r="I110" s="6" t="s">
        <v>218</v>
      </c>
      <c r="J110" s="6" t="s">
        <v>18</v>
      </c>
      <c r="K110" s="6" t="s">
        <v>21</v>
      </c>
      <c r="L110" s="6" t="s">
        <v>197</v>
      </c>
      <c r="M110" s="6"/>
    </row>
    <row r="111" customFormat="false" ht="18" hidden="false" customHeight="true" outlineLevel="0" collapsed="false">
      <c r="A111" s="6" t="s">
        <v>85</v>
      </c>
      <c r="B111" s="6" t="s">
        <v>380</v>
      </c>
      <c r="C111" s="7" t="n">
        <v>3</v>
      </c>
      <c r="D111" s="6" t="s">
        <v>382</v>
      </c>
      <c r="E111" s="9" t="s">
        <v>199</v>
      </c>
      <c r="F111" s="6" t="s">
        <v>299</v>
      </c>
      <c r="G111" s="6" t="s">
        <v>347</v>
      </c>
      <c r="H111" s="6" t="s">
        <v>348</v>
      </c>
      <c r="I111" s="6" t="s">
        <v>218</v>
      </c>
      <c r="J111" s="6" t="s">
        <v>52</v>
      </c>
      <c r="K111" s="6" t="s">
        <v>21</v>
      </c>
      <c r="L111" s="6" t="s">
        <v>197</v>
      </c>
      <c r="M111" s="6"/>
    </row>
    <row r="112" customFormat="false" ht="18" hidden="false" customHeight="true" outlineLevel="0" collapsed="false">
      <c r="A112" s="6" t="s">
        <v>85</v>
      </c>
      <c r="B112" s="6" t="s">
        <v>380</v>
      </c>
      <c r="C112" s="7" t="n">
        <v>5</v>
      </c>
      <c r="D112" s="6" t="s">
        <v>383</v>
      </c>
      <c r="E112" s="9" t="s">
        <v>199</v>
      </c>
      <c r="F112" s="6" t="s">
        <v>205</v>
      </c>
      <c r="G112" s="6" t="s">
        <v>347</v>
      </c>
      <c r="H112" s="6" t="s">
        <v>348</v>
      </c>
      <c r="I112" s="6" t="s">
        <v>218</v>
      </c>
      <c r="J112" s="6" t="s">
        <v>52</v>
      </c>
      <c r="K112" s="6" t="s">
        <v>21</v>
      </c>
      <c r="L112" s="6" t="s">
        <v>197</v>
      </c>
      <c r="M112" s="6"/>
    </row>
    <row r="113" customFormat="false" ht="18" hidden="false" customHeight="true" outlineLevel="0" collapsed="false">
      <c r="A113" s="6" t="s">
        <v>85</v>
      </c>
      <c r="B113" s="6" t="s">
        <v>380</v>
      </c>
      <c r="C113" s="7" t="n">
        <v>6</v>
      </c>
      <c r="D113" s="6" t="s">
        <v>384</v>
      </c>
      <c r="E113" s="6" t="s">
        <v>239</v>
      </c>
      <c r="F113" s="6" t="s">
        <v>233</v>
      </c>
      <c r="G113" s="6" t="s">
        <v>240</v>
      </c>
      <c r="H113" s="9" t="s">
        <v>241</v>
      </c>
      <c r="I113" s="6" t="s">
        <v>218</v>
      </c>
      <c r="J113" s="6" t="s">
        <v>102</v>
      </c>
      <c r="K113" s="6" t="s">
        <v>21</v>
      </c>
      <c r="L113" s="6" t="s">
        <v>243</v>
      </c>
      <c r="M113" s="6"/>
    </row>
    <row r="114" customFormat="false" ht="18" hidden="false" customHeight="true" outlineLevel="0" collapsed="false">
      <c r="A114" s="6" t="s">
        <v>85</v>
      </c>
      <c r="B114" s="6" t="s">
        <v>380</v>
      </c>
      <c r="C114" s="7" t="n">
        <v>8</v>
      </c>
      <c r="D114" s="6" t="s">
        <v>385</v>
      </c>
      <c r="E114" s="6" t="s">
        <v>239</v>
      </c>
      <c r="F114" s="6" t="s">
        <v>212</v>
      </c>
      <c r="G114" s="6" t="s">
        <v>240</v>
      </c>
      <c r="H114" s="9" t="s">
        <v>241</v>
      </c>
      <c r="I114" s="6" t="s">
        <v>218</v>
      </c>
      <c r="J114" s="6" t="s">
        <v>266</v>
      </c>
      <c r="K114" s="6" t="s">
        <v>21</v>
      </c>
      <c r="L114" s="6" t="s">
        <v>243</v>
      </c>
      <c r="M114" s="6"/>
    </row>
    <row r="115" customFormat="false" ht="18" hidden="false" customHeight="true" outlineLevel="0" collapsed="false">
      <c r="A115" s="6" t="s">
        <v>85</v>
      </c>
      <c r="B115" s="6" t="s">
        <v>380</v>
      </c>
      <c r="C115" s="7" t="n">
        <v>10</v>
      </c>
      <c r="D115" s="6" t="s">
        <v>386</v>
      </c>
      <c r="E115" s="6" t="s">
        <v>338</v>
      </c>
      <c r="F115" s="6" t="s">
        <v>339</v>
      </c>
      <c r="G115" s="6" t="s">
        <v>340</v>
      </c>
      <c r="H115" s="6" t="s">
        <v>341</v>
      </c>
      <c r="I115" s="6" t="s">
        <v>218</v>
      </c>
      <c r="J115" s="6" t="s">
        <v>116</v>
      </c>
      <c r="K115" s="6" t="s">
        <v>21</v>
      </c>
      <c r="L115" s="6" t="s">
        <v>342</v>
      </c>
      <c r="M115" s="6"/>
    </row>
    <row r="116" customFormat="false" ht="18" hidden="false" customHeight="true" outlineLevel="0" collapsed="false">
      <c r="A116" s="6" t="s">
        <v>102</v>
      </c>
      <c r="B116" s="6" t="s">
        <v>387</v>
      </c>
      <c r="C116" s="7" t="n">
        <v>1</v>
      </c>
      <c r="D116" s="6" t="s">
        <v>388</v>
      </c>
      <c r="E116" s="6" t="s">
        <v>191</v>
      </c>
      <c r="F116" s="6" t="s">
        <v>192</v>
      </c>
      <c r="G116" s="6" t="s">
        <v>270</v>
      </c>
      <c r="H116" s="6" t="s">
        <v>194</v>
      </c>
      <c r="I116" s="6" t="s">
        <v>195</v>
      </c>
      <c r="J116" s="6" t="s">
        <v>85</v>
      </c>
      <c r="K116" s="6" t="s">
        <v>21</v>
      </c>
      <c r="L116" s="6" t="s">
        <v>197</v>
      </c>
      <c r="M116" s="6"/>
    </row>
    <row r="117" customFormat="false" ht="18" hidden="false" customHeight="true" outlineLevel="0" collapsed="false">
      <c r="A117" s="6" t="s">
        <v>102</v>
      </c>
      <c r="B117" s="6" t="s">
        <v>387</v>
      </c>
      <c r="C117" s="7" t="n">
        <v>2</v>
      </c>
      <c r="D117" s="6" t="s">
        <v>389</v>
      </c>
      <c r="E117" s="6" t="s">
        <v>202</v>
      </c>
      <c r="F117" s="6" t="s">
        <v>200</v>
      </c>
      <c r="G117" s="6" t="s">
        <v>270</v>
      </c>
      <c r="H117" s="6" t="s">
        <v>194</v>
      </c>
      <c r="I117" s="6" t="s">
        <v>195</v>
      </c>
      <c r="J117" s="6" t="s">
        <v>85</v>
      </c>
      <c r="K117" s="6" t="s">
        <v>21</v>
      </c>
      <c r="L117" s="6" t="s">
        <v>197</v>
      </c>
      <c r="M117" s="6"/>
    </row>
    <row r="118" customFormat="false" ht="18" hidden="false" customHeight="true" outlineLevel="0" collapsed="false">
      <c r="A118" s="6" t="s">
        <v>102</v>
      </c>
      <c r="B118" s="6" t="s">
        <v>387</v>
      </c>
      <c r="C118" s="7" t="n">
        <v>3</v>
      </c>
      <c r="D118" s="6" t="s">
        <v>390</v>
      </c>
      <c r="E118" s="6" t="s">
        <v>202</v>
      </c>
      <c r="F118" s="6" t="s">
        <v>299</v>
      </c>
      <c r="G118" s="6" t="s">
        <v>217</v>
      </c>
      <c r="H118" s="6" t="s">
        <v>194</v>
      </c>
      <c r="I118" s="6" t="s">
        <v>195</v>
      </c>
      <c r="J118" s="6" t="s">
        <v>70</v>
      </c>
      <c r="K118" s="6" t="s">
        <v>21</v>
      </c>
      <c r="L118" s="6" t="s">
        <v>197</v>
      </c>
      <c r="M118" s="6"/>
    </row>
    <row r="119" customFormat="false" ht="18" hidden="false" customHeight="true" outlineLevel="0" collapsed="false">
      <c r="A119" s="6" t="s">
        <v>102</v>
      </c>
      <c r="B119" s="6" t="s">
        <v>387</v>
      </c>
      <c r="C119" s="7" t="n">
        <v>4</v>
      </c>
      <c r="D119" s="6" t="s">
        <v>391</v>
      </c>
      <c r="E119" s="9" t="s">
        <v>199</v>
      </c>
      <c r="F119" s="6" t="s">
        <v>192</v>
      </c>
      <c r="G119" s="6" t="s">
        <v>270</v>
      </c>
      <c r="H119" s="6" t="s">
        <v>194</v>
      </c>
      <c r="I119" s="6" t="s">
        <v>195</v>
      </c>
      <c r="J119" s="6" t="s">
        <v>52</v>
      </c>
      <c r="K119" s="6" t="s">
        <v>21</v>
      </c>
      <c r="L119" s="6" t="s">
        <v>197</v>
      </c>
      <c r="M119" s="6"/>
    </row>
    <row r="120" customFormat="false" ht="18" hidden="false" customHeight="true" outlineLevel="0" collapsed="false">
      <c r="A120" s="6" t="s">
        <v>102</v>
      </c>
      <c r="B120" s="6" t="s">
        <v>387</v>
      </c>
      <c r="C120" s="7" t="n">
        <v>5</v>
      </c>
      <c r="D120" s="6" t="s">
        <v>392</v>
      </c>
      <c r="E120" s="9" t="s">
        <v>199</v>
      </c>
      <c r="F120" s="6" t="s">
        <v>200</v>
      </c>
      <c r="G120" s="6" t="s">
        <v>270</v>
      </c>
      <c r="H120" s="6" t="s">
        <v>194</v>
      </c>
      <c r="I120" s="6" t="s">
        <v>195</v>
      </c>
      <c r="J120" s="6" t="s">
        <v>85</v>
      </c>
      <c r="K120" s="6" t="s">
        <v>21</v>
      </c>
      <c r="L120" s="6" t="s">
        <v>197</v>
      </c>
      <c r="M120" s="6"/>
    </row>
    <row r="121" customFormat="false" ht="18" hidden="false" customHeight="true" outlineLevel="0" collapsed="false">
      <c r="A121" s="6" t="s">
        <v>102</v>
      </c>
      <c r="B121" s="6" t="s">
        <v>387</v>
      </c>
      <c r="C121" s="7" t="n">
        <v>6</v>
      </c>
      <c r="D121" s="6" t="s">
        <v>393</v>
      </c>
      <c r="E121" s="9" t="s">
        <v>199</v>
      </c>
      <c r="F121" s="6" t="s">
        <v>205</v>
      </c>
      <c r="G121" s="6" t="s">
        <v>270</v>
      </c>
      <c r="H121" s="6" t="s">
        <v>194</v>
      </c>
      <c r="I121" s="6" t="s">
        <v>195</v>
      </c>
      <c r="J121" s="6" t="s">
        <v>85</v>
      </c>
      <c r="K121" s="6" t="s">
        <v>21</v>
      </c>
      <c r="L121" s="6" t="s">
        <v>197</v>
      </c>
      <c r="M121" s="6"/>
    </row>
    <row r="122" customFormat="false" ht="18" hidden="false" customHeight="true" outlineLevel="0" collapsed="false">
      <c r="A122" s="6" t="s">
        <v>102</v>
      </c>
      <c r="B122" s="6" t="s">
        <v>387</v>
      </c>
      <c r="C122" s="7" t="n">
        <v>7</v>
      </c>
      <c r="D122" s="6" t="s">
        <v>394</v>
      </c>
      <c r="E122" s="9" t="s">
        <v>199</v>
      </c>
      <c r="F122" s="6" t="s">
        <v>192</v>
      </c>
      <c r="G122" s="6" t="s">
        <v>270</v>
      </c>
      <c r="H122" s="6" t="s">
        <v>194</v>
      </c>
      <c r="I122" s="6" t="s">
        <v>195</v>
      </c>
      <c r="J122" s="6" t="s">
        <v>52</v>
      </c>
      <c r="K122" s="6" t="s">
        <v>21</v>
      </c>
      <c r="L122" s="6" t="s">
        <v>197</v>
      </c>
      <c r="M122" s="6"/>
    </row>
    <row r="123" customFormat="false" ht="18" hidden="false" customHeight="true" outlineLevel="0" collapsed="false">
      <c r="A123" s="6" t="s">
        <v>102</v>
      </c>
      <c r="B123" s="6" t="s">
        <v>387</v>
      </c>
      <c r="C123" s="7" t="n">
        <v>8</v>
      </c>
      <c r="D123" s="6" t="s">
        <v>395</v>
      </c>
      <c r="E123" s="9" t="s">
        <v>199</v>
      </c>
      <c r="F123" s="6" t="s">
        <v>200</v>
      </c>
      <c r="G123" s="6" t="s">
        <v>270</v>
      </c>
      <c r="H123" s="6" t="s">
        <v>194</v>
      </c>
      <c r="I123" s="6" t="s">
        <v>195</v>
      </c>
      <c r="J123" s="6" t="s">
        <v>85</v>
      </c>
      <c r="K123" s="6" t="s">
        <v>21</v>
      </c>
      <c r="L123" s="6" t="s">
        <v>197</v>
      </c>
      <c r="M123" s="6"/>
    </row>
    <row r="124" customFormat="false" ht="30" hidden="false" customHeight="true" outlineLevel="0" collapsed="false">
      <c r="A124" s="6" t="s">
        <v>102</v>
      </c>
      <c r="B124" s="6" t="s">
        <v>387</v>
      </c>
      <c r="C124" s="7" t="n">
        <v>9</v>
      </c>
      <c r="D124" s="6" t="s">
        <v>396</v>
      </c>
      <c r="E124" s="9" t="s">
        <v>199</v>
      </c>
      <c r="F124" s="6" t="s">
        <v>200</v>
      </c>
      <c r="G124" s="6" t="s">
        <v>270</v>
      </c>
      <c r="H124" s="6" t="s">
        <v>194</v>
      </c>
      <c r="I124" s="6" t="s">
        <v>195</v>
      </c>
      <c r="J124" s="6" t="s">
        <v>85</v>
      </c>
      <c r="K124" s="6" t="s">
        <v>21</v>
      </c>
      <c r="L124" s="11" t="s">
        <v>259</v>
      </c>
      <c r="M124" s="6" t="s">
        <v>397</v>
      </c>
    </row>
    <row r="125" customFormat="false" ht="18" hidden="false" customHeight="true" outlineLevel="0" collapsed="false">
      <c r="A125" s="6" t="s">
        <v>102</v>
      </c>
      <c r="B125" s="6" t="s">
        <v>398</v>
      </c>
      <c r="C125" s="7" t="n">
        <v>3</v>
      </c>
      <c r="D125" s="6" t="s">
        <v>399</v>
      </c>
      <c r="E125" s="9" t="s">
        <v>199</v>
      </c>
      <c r="F125" s="6" t="s">
        <v>299</v>
      </c>
      <c r="G125" s="6" t="s">
        <v>217</v>
      </c>
      <c r="H125" s="6" t="s">
        <v>194</v>
      </c>
      <c r="I125" s="6" t="s">
        <v>218</v>
      </c>
      <c r="J125" s="6" t="s">
        <v>18</v>
      </c>
      <c r="K125" s="6" t="s">
        <v>21</v>
      </c>
      <c r="L125" s="6" t="s">
        <v>197</v>
      </c>
      <c r="M125" s="6"/>
    </row>
    <row r="126" customFormat="false" ht="18" hidden="false" customHeight="true" outlineLevel="0" collapsed="false">
      <c r="A126" s="6" t="s">
        <v>102</v>
      </c>
      <c r="B126" s="6" t="s">
        <v>398</v>
      </c>
      <c r="C126" s="7" t="n">
        <v>5</v>
      </c>
      <c r="D126" s="6" t="s">
        <v>400</v>
      </c>
      <c r="E126" s="9" t="s">
        <v>199</v>
      </c>
      <c r="F126" s="6" t="s">
        <v>205</v>
      </c>
      <c r="G126" s="6" t="s">
        <v>217</v>
      </c>
      <c r="H126" s="6" t="s">
        <v>194</v>
      </c>
      <c r="I126" s="6" t="s">
        <v>218</v>
      </c>
      <c r="J126" s="6" t="s">
        <v>401</v>
      </c>
      <c r="K126" s="6" t="s">
        <v>21</v>
      </c>
      <c r="L126" s="6" t="s">
        <v>197</v>
      </c>
      <c r="M126" s="6"/>
    </row>
    <row r="127" customFormat="false" ht="18" hidden="false" customHeight="true" outlineLevel="0" collapsed="false">
      <c r="A127" s="6" t="s">
        <v>102</v>
      </c>
      <c r="B127" s="6" t="s">
        <v>398</v>
      </c>
      <c r="C127" s="7" t="n">
        <v>7</v>
      </c>
      <c r="D127" s="6" t="s">
        <v>402</v>
      </c>
      <c r="E127" s="9" t="s">
        <v>199</v>
      </c>
      <c r="F127" s="6" t="s">
        <v>331</v>
      </c>
      <c r="G127" s="6" t="s">
        <v>403</v>
      </c>
      <c r="H127" s="6" t="s">
        <v>404</v>
      </c>
      <c r="I127" s="6" t="s">
        <v>218</v>
      </c>
      <c r="J127" s="6" t="s">
        <v>18</v>
      </c>
      <c r="K127" s="6" t="s">
        <v>21</v>
      </c>
      <c r="L127" s="6" t="s">
        <v>197</v>
      </c>
      <c r="M127" s="6"/>
    </row>
    <row r="128" customFormat="false" ht="18" hidden="false" customHeight="true" outlineLevel="0" collapsed="false">
      <c r="A128" s="6" t="s">
        <v>102</v>
      </c>
      <c r="B128" s="6" t="s">
        <v>398</v>
      </c>
      <c r="C128" s="7" t="n">
        <v>9</v>
      </c>
      <c r="D128" s="6" t="s">
        <v>405</v>
      </c>
      <c r="E128" s="6" t="s">
        <v>239</v>
      </c>
      <c r="F128" s="6" t="s">
        <v>212</v>
      </c>
      <c r="G128" s="6" t="s">
        <v>240</v>
      </c>
      <c r="H128" s="9" t="s">
        <v>241</v>
      </c>
      <c r="I128" s="6" t="s">
        <v>218</v>
      </c>
      <c r="J128" s="6" t="s">
        <v>18</v>
      </c>
      <c r="K128" s="6" t="s">
        <v>21</v>
      </c>
      <c r="L128" s="6" t="s">
        <v>243</v>
      </c>
      <c r="M128" s="6"/>
    </row>
    <row r="129" customFormat="false" ht="18" hidden="false" customHeight="true" outlineLevel="0" collapsed="false">
      <c r="A129" s="6" t="s">
        <v>116</v>
      </c>
      <c r="B129" s="6" t="s">
        <v>406</v>
      </c>
      <c r="C129" s="7" t="n">
        <v>1</v>
      </c>
      <c r="D129" s="6" t="s">
        <v>407</v>
      </c>
      <c r="E129" s="6" t="s">
        <v>202</v>
      </c>
      <c r="F129" s="6" t="s">
        <v>192</v>
      </c>
      <c r="G129" s="6" t="s">
        <v>270</v>
      </c>
      <c r="H129" s="6" t="s">
        <v>194</v>
      </c>
      <c r="I129" s="6" t="s">
        <v>195</v>
      </c>
      <c r="J129" s="6" t="s">
        <v>52</v>
      </c>
      <c r="K129" s="6" t="s">
        <v>21</v>
      </c>
      <c r="L129" s="6" t="s">
        <v>197</v>
      </c>
      <c r="M129" s="6"/>
    </row>
    <row r="130" customFormat="false" ht="18" hidden="false" customHeight="true" outlineLevel="0" collapsed="false">
      <c r="A130" s="6" t="s">
        <v>116</v>
      </c>
      <c r="B130" s="6" t="s">
        <v>406</v>
      </c>
      <c r="C130" s="7" t="n">
        <v>2</v>
      </c>
      <c r="D130" s="6" t="s">
        <v>408</v>
      </c>
      <c r="E130" s="6" t="s">
        <v>202</v>
      </c>
      <c r="F130" s="6" t="s">
        <v>200</v>
      </c>
      <c r="G130" s="6" t="s">
        <v>270</v>
      </c>
      <c r="H130" s="6" t="s">
        <v>194</v>
      </c>
      <c r="I130" s="6" t="s">
        <v>195</v>
      </c>
      <c r="J130" s="6" t="s">
        <v>52</v>
      </c>
      <c r="K130" s="6" t="s">
        <v>21</v>
      </c>
      <c r="L130" s="6" t="s">
        <v>197</v>
      </c>
      <c r="M130" s="6"/>
    </row>
    <row r="131" customFormat="false" ht="30" hidden="false" customHeight="true" outlineLevel="0" collapsed="false">
      <c r="A131" s="6" t="s">
        <v>116</v>
      </c>
      <c r="B131" s="6" t="s">
        <v>406</v>
      </c>
      <c r="C131" s="7" t="n">
        <v>3</v>
      </c>
      <c r="D131" s="6" t="s">
        <v>409</v>
      </c>
      <c r="E131" s="6" t="s">
        <v>202</v>
      </c>
      <c r="F131" s="6" t="s">
        <v>200</v>
      </c>
      <c r="G131" s="6" t="s">
        <v>270</v>
      </c>
      <c r="H131" s="6" t="s">
        <v>194</v>
      </c>
      <c r="I131" s="6" t="s">
        <v>195</v>
      </c>
      <c r="J131" s="6" t="s">
        <v>52</v>
      </c>
      <c r="K131" s="6" t="s">
        <v>21</v>
      </c>
      <c r="L131" s="11" t="s">
        <v>259</v>
      </c>
      <c r="M131" s="6" t="s">
        <v>410</v>
      </c>
    </row>
    <row r="132" customFormat="false" ht="18" hidden="false" customHeight="true" outlineLevel="0" collapsed="false">
      <c r="A132" s="6" t="s">
        <v>116</v>
      </c>
      <c r="B132" s="6" t="s">
        <v>406</v>
      </c>
      <c r="C132" s="7" t="n">
        <v>4</v>
      </c>
      <c r="D132" s="6" t="s">
        <v>411</v>
      </c>
      <c r="E132" s="9" t="s">
        <v>199</v>
      </c>
      <c r="F132" s="6" t="s">
        <v>299</v>
      </c>
      <c r="G132" s="6" t="s">
        <v>347</v>
      </c>
      <c r="H132" s="6" t="s">
        <v>348</v>
      </c>
      <c r="I132" s="6" t="s">
        <v>195</v>
      </c>
      <c r="J132" s="6" t="s">
        <v>102</v>
      </c>
      <c r="K132" s="6" t="s">
        <v>21</v>
      </c>
      <c r="L132" s="6" t="s">
        <v>197</v>
      </c>
      <c r="M132" s="6"/>
    </row>
    <row r="133" customFormat="false" ht="18" hidden="false" customHeight="true" outlineLevel="0" collapsed="false">
      <c r="A133" s="6" t="s">
        <v>116</v>
      </c>
      <c r="B133" s="6" t="s">
        <v>406</v>
      </c>
      <c r="C133" s="7" t="n">
        <v>5</v>
      </c>
      <c r="D133" s="6" t="s">
        <v>412</v>
      </c>
      <c r="E133" s="9" t="s">
        <v>199</v>
      </c>
      <c r="F133" s="6" t="s">
        <v>200</v>
      </c>
      <c r="G133" s="6" t="s">
        <v>270</v>
      </c>
      <c r="H133" s="6" t="s">
        <v>194</v>
      </c>
      <c r="I133" s="6" t="s">
        <v>195</v>
      </c>
      <c r="J133" s="6" t="s">
        <v>85</v>
      </c>
      <c r="K133" s="6" t="s">
        <v>21</v>
      </c>
      <c r="L133" s="6" t="s">
        <v>197</v>
      </c>
      <c r="M133" s="6"/>
    </row>
    <row r="134" customFormat="false" ht="18" hidden="false" customHeight="true" outlineLevel="0" collapsed="false">
      <c r="A134" s="6" t="s">
        <v>116</v>
      </c>
      <c r="B134" s="6" t="s">
        <v>406</v>
      </c>
      <c r="C134" s="7" t="n">
        <v>6</v>
      </c>
      <c r="D134" s="6" t="s">
        <v>413</v>
      </c>
      <c r="E134" s="9" t="s">
        <v>199</v>
      </c>
      <c r="F134" s="6" t="s">
        <v>205</v>
      </c>
      <c r="G134" s="6" t="s">
        <v>270</v>
      </c>
      <c r="H134" s="6" t="s">
        <v>194</v>
      </c>
      <c r="I134" s="6" t="s">
        <v>195</v>
      </c>
      <c r="J134" s="6" t="s">
        <v>102</v>
      </c>
      <c r="K134" s="6" t="s">
        <v>21</v>
      </c>
      <c r="L134" s="6" t="s">
        <v>197</v>
      </c>
      <c r="M134" s="6"/>
    </row>
    <row r="135" customFormat="false" ht="18" hidden="false" customHeight="true" outlineLevel="0" collapsed="false">
      <c r="A135" s="6" t="s">
        <v>116</v>
      </c>
      <c r="B135" s="6" t="s">
        <v>406</v>
      </c>
      <c r="C135" s="7" t="n">
        <v>7</v>
      </c>
      <c r="D135" s="6" t="s">
        <v>414</v>
      </c>
      <c r="E135" s="9" t="s">
        <v>199</v>
      </c>
      <c r="F135" s="6" t="s">
        <v>212</v>
      </c>
      <c r="G135" s="6" t="s">
        <v>270</v>
      </c>
      <c r="H135" s="6" t="s">
        <v>194</v>
      </c>
      <c r="I135" s="6" t="s">
        <v>195</v>
      </c>
      <c r="J135" s="6" t="s">
        <v>52</v>
      </c>
      <c r="K135" s="6" t="s">
        <v>21</v>
      </c>
      <c r="L135" s="6" t="s">
        <v>197</v>
      </c>
      <c r="M135" s="6"/>
    </row>
    <row r="136" customFormat="false" ht="18" hidden="false" customHeight="true" outlineLevel="0" collapsed="false">
      <c r="A136" s="6" t="s">
        <v>116</v>
      </c>
      <c r="B136" s="6" t="s">
        <v>406</v>
      </c>
      <c r="C136" s="7" t="n">
        <v>8</v>
      </c>
      <c r="D136" s="6" t="s">
        <v>415</v>
      </c>
      <c r="E136" s="9" t="s">
        <v>199</v>
      </c>
      <c r="F136" s="6" t="s">
        <v>212</v>
      </c>
      <c r="G136" s="6" t="s">
        <v>270</v>
      </c>
      <c r="H136" s="6" t="s">
        <v>194</v>
      </c>
      <c r="I136" s="6" t="s">
        <v>195</v>
      </c>
      <c r="J136" s="6" t="s">
        <v>70</v>
      </c>
      <c r="K136" s="6" t="s">
        <v>21</v>
      </c>
      <c r="L136" s="6" t="s">
        <v>197</v>
      </c>
      <c r="M136" s="6"/>
    </row>
    <row r="137" customFormat="false" ht="18" hidden="false" customHeight="true" outlineLevel="0" collapsed="false">
      <c r="A137" s="6" t="s">
        <v>116</v>
      </c>
      <c r="B137" s="6" t="s">
        <v>406</v>
      </c>
      <c r="C137" s="7" t="n">
        <v>9</v>
      </c>
      <c r="D137" s="6" t="s">
        <v>416</v>
      </c>
      <c r="E137" s="9" t="s">
        <v>199</v>
      </c>
      <c r="F137" s="6" t="s">
        <v>200</v>
      </c>
      <c r="G137" s="6" t="s">
        <v>270</v>
      </c>
      <c r="H137" s="6" t="s">
        <v>194</v>
      </c>
      <c r="I137" s="6" t="s">
        <v>195</v>
      </c>
      <c r="J137" s="6" t="s">
        <v>102</v>
      </c>
      <c r="K137" s="6" t="s">
        <v>21</v>
      </c>
      <c r="L137" s="6" t="s">
        <v>197</v>
      </c>
      <c r="M137" s="6"/>
    </row>
    <row r="138" customFormat="false" ht="18" hidden="false" customHeight="true" outlineLevel="0" collapsed="false">
      <c r="A138" s="6" t="s">
        <v>116</v>
      </c>
      <c r="B138" s="6" t="s">
        <v>417</v>
      </c>
      <c r="C138" s="7" t="n">
        <v>1</v>
      </c>
      <c r="D138" s="6" t="s">
        <v>418</v>
      </c>
      <c r="E138" s="6" t="s">
        <v>202</v>
      </c>
      <c r="F138" s="6" t="s">
        <v>224</v>
      </c>
      <c r="G138" s="6" t="s">
        <v>221</v>
      </c>
      <c r="H138" s="6" t="s">
        <v>222</v>
      </c>
      <c r="I138" s="6" t="s">
        <v>218</v>
      </c>
      <c r="J138" s="6" t="s">
        <v>52</v>
      </c>
      <c r="K138" s="6" t="s">
        <v>21</v>
      </c>
      <c r="L138" s="6" t="s">
        <v>197</v>
      </c>
      <c r="M138" s="6"/>
    </row>
    <row r="139" customFormat="false" ht="18" hidden="false" customHeight="true" outlineLevel="0" collapsed="false">
      <c r="A139" s="6" t="s">
        <v>116</v>
      </c>
      <c r="B139" s="6" t="s">
        <v>417</v>
      </c>
      <c r="C139" s="7" t="n">
        <v>3</v>
      </c>
      <c r="D139" s="6" t="s">
        <v>419</v>
      </c>
      <c r="E139" s="6" t="s">
        <v>202</v>
      </c>
      <c r="F139" s="6" t="s">
        <v>224</v>
      </c>
      <c r="G139" s="6" t="s">
        <v>221</v>
      </c>
      <c r="H139" s="6" t="s">
        <v>222</v>
      </c>
      <c r="I139" s="6" t="s">
        <v>218</v>
      </c>
      <c r="J139" s="6" t="s">
        <v>52</v>
      </c>
      <c r="K139" s="6" t="s">
        <v>21</v>
      </c>
      <c r="L139" s="6" t="s">
        <v>197</v>
      </c>
      <c r="M139" s="6"/>
    </row>
    <row r="140" customFormat="false" ht="18" hidden="false" customHeight="true" outlineLevel="0" collapsed="false">
      <c r="A140" s="6" t="s">
        <v>116</v>
      </c>
      <c r="B140" s="6" t="s">
        <v>417</v>
      </c>
      <c r="C140" s="7" t="n">
        <v>5</v>
      </c>
      <c r="D140" s="6" t="s">
        <v>420</v>
      </c>
      <c r="E140" s="9" t="s">
        <v>199</v>
      </c>
      <c r="F140" s="6" t="s">
        <v>224</v>
      </c>
      <c r="G140" s="6" t="s">
        <v>221</v>
      </c>
      <c r="H140" s="6" t="s">
        <v>222</v>
      </c>
      <c r="I140" s="6" t="s">
        <v>218</v>
      </c>
      <c r="J140" s="6" t="s">
        <v>52</v>
      </c>
      <c r="K140" s="6" t="s">
        <v>21</v>
      </c>
      <c r="L140" s="6" t="s">
        <v>197</v>
      </c>
      <c r="M140" s="6"/>
    </row>
    <row r="141" customFormat="false" ht="18" hidden="false" customHeight="true" outlineLevel="0" collapsed="false">
      <c r="A141" s="6" t="s">
        <v>116</v>
      </c>
      <c r="B141" s="6" t="s">
        <v>417</v>
      </c>
      <c r="C141" s="7" t="n">
        <v>7</v>
      </c>
      <c r="D141" s="6" t="s">
        <v>421</v>
      </c>
      <c r="E141" s="9" t="s">
        <v>199</v>
      </c>
      <c r="F141" s="6" t="s">
        <v>224</v>
      </c>
      <c r="G141" s="6" t="s">
        <v>221</v>
      </c>
      <c r="H141" s="6" t="s">
        <v>222</v>
      </c>
      <c r="I141" s="6" t="s">
        <v>218</v>
      </c>
      <c r="J141" s="6" t="s">
        <v>102</v>
      </c>
      <c r="K141" s="6" t="s">
        <v>21</v>
      </c>
      <c r="L141" s="6" t="s">
        <v>197</v>
      </c>
      <c r="M141" s="6"/>
    </row>
    <row r="142" customFormat="false" ht="18" hidden="false" customHeight="true" outlineLevel="0" collapsed="false">
      <c r="A142" s="6" t="s">
        <v>116</v>
      </c>
      <c r="B142" s="6" t="s">
        <v>417</v>
      </c>
      <c r="C142" s="7" t="n">
        <v>10</v>
      </c>
      <c r="D142" s="6" t="s">
        <v>422</v>
      </c>
      <c r="E142" s="6" t="s">
        <v>338</v>
      </c>
      <c r="F142" s="6" t="s">
        <v>339</v>
      </c>
      <c r="G142" s="6" t="s">
        <v>340</v>
      </c>
      <c r="H142" s="6" t="s">
        <v>341</v>
      </c>
      <c r="I142" s="6" t="s">
        <v>218</v>
      </c>
      <c r="J142" s="6" t="s">
        <v>52</v>
      </c>
      <c r="K142" s="6" t="s">
        <v>21</v>
      </c>
      <c r="L142" s="6" t="s">
        <v>342</v>
      </c>
      <c r="M142" s="6"/>
    </row>
    <row r="143" customFormat="false" ht="18" hidden="false" customHeight="true" outlineLevel="0" collapsed="false">
      <c r="A143" s="6" t="s">
        <v>130</v>
      </c>
      <c r="B143" s="6" t="s">
        <v>423</v>
      </c>
      <c r="C143" s="7" t="n">
        <v>1</v>
      </c>
      <c r="D143" s="6" t="s">
        <v>424</v>
      </c>
      <c r="E143" s="6" t="s">
        <v>191</v>
      </c>
      <c r="F143" s="6" t="s">
        <v>192</v>
      </c>
      <c r="G143" s="6" t="s">
        <v>270</v>
      </c>
      <c r="H143" s="6" t="s">
        <v>194</v>
      </c>
      <c r="I143" s="6" t="s">
        <v>195</v>
      </c>
      <c r="J143" s="6" t="s">
        <v>230</v>
      </c>
      <c r="K143" s="6" t="s">
        <v>21</v>
      </c>
      <c r="L143" s="6" t="s">
        <v>197</v>
      </c>
      <c r="M143" s="6"/>
    </row>
    <row r="144" customFormat="false" ht="18" hidden="false" customHeight="true" outlineLevel="0" collapsed="false">
      <c r="A144" s="6" t="s">
        <v>130</v>
      </c>
      <c r="B144" s="6" t="s">
        <v>423</v>
      </c>
      <c r="C144" s="7" t="n">
        <v>3</v>
      </c>
      <c r="D144" s="6" t="s">
        <v>425</v>
      </c>
      <c r="E144" s="6" t="s">
        <v>202</v>
      </c>
      <c r="F144" s="6" t="s">
        <v>200</v>
      </c>
      <c r="G144" s="6" t="s">
        <v>270</v>
      </c>
      <c r="H144" s="6" t="s">
        <v>194</v>
      </c>
      <c r="I144" s="6" t="s">
        <v>195</v>
      </c>
      <c r="J144" s="6" t="s">
        <v>52</v>
      </c>
      <c r="K144" s="6" t="s">
        <v>21</v>
      </c>
      <c r="L144" s="6" t="s">
        <v>197</v>
      </c>
      <c r="M144" s="6"/>
    </row>
    <row r="145" customFormat="false" ht="18" hidden="false" customHeight="true" outlineLevel="0" collapsed="false">
      <c r="A145" s="6" t="s">
        <v>130</v>
      </c>
      <c r="B145" s="6" t="s">
        <v>423</v>
      </c>
      <c r="C145" s="7" t="n">
        <v>4</v>
      </c>
      <c r="D145" s="6" t="s">
        <v>426</v>
      </c>
      <c r="E145" s="9" t="s">
        <v>199</v>
      </c>
      <c r="F145" s="6" t="s">
        <v>205</v>
      </c>
      <c r="G145" s="6" t="s">
        <v>270</v>
      </c>
      <c r="H145" s="6" t="s">
        <v>194</v>
      </c>
      <c r="I145" s="6" t="s">
        <v>195</v>
      </c>
      <c r="J145" s="6" t="s">
        <v>427</v>
      </c>
      <c r="K145" s="6" t="s">
        <v>21</v>
      </c>
      <c r="L145" s="6" t="s">
        <v>197</v>
      </c>
      <c r="M145" s="6"/>
    </row>
    <row r="146" customFormat="false" ht="30" hidden="false" customHeight="true" outlineLevel="0" collapsed="false">
      <c r="A146" s="6" t="s">
        <v>130</v>
      </c>
      <c r="B146" s="6" t="s">
        <v>423</v>
      </c>
      <c r="C146" s="7" t="n">
        <v>5</v>
      </c>
      <c r="D146" s="6" t="s">
        <v>428</v>
      </c>
      <c r="E146" s="9" t="s">
        <v>199</v>
      </c>
      <c r="F146" s="6" t="s">
        <v>233</v>
      </c>
      <c r="G146" s="6" t="s">
        <v>270</v>
      </c>
      <c r="H146" s="6" t="s">
        <v>285</v>
      </c>
      <c r="I146" s="6" t="s">
        <v>195</v>
      </c>
      <c r="J146" s="6" t="s">
        <v>52</v>
      </c>
      <c r="K146" s="6" t="s">
        <v>21</v>
      </c>
      <c r="L146" s="11" t="s">
        <v>259</v>
      </c>
      <c r="M146" s="6" t="s">
        <v>429</v>
      </c>
    </row>
    <row r="147" customFormat="false" ht="18" hidden="false" customHeight="true" outlineLevel="0" collapsed="false">
      <c r="A147" s="6" t="s">
        <v>130</v>
      </c>
      <c r="B147" s="6" t="s">
        <v>423</v>
      </c>
      <c r="C147" s="7" t="n">
        <v>6</v>
      </c>
      <c r="D147" s="6" t="s">
        <v>430</v>
      </c>
      <c r="E147" s="9" t="s">
        <v>199</v>
      </c>
      <c r="F147" s="6" t="s">
        <v>200</v>
      </c>
      <c r="G147" s="6" t="s">
        <v>270</v>
      </c>
      <c r="H147" s="6" t="s">
        <v>194</v>
      </c>
      <c r="I147" s="6" t="s">
        <v>195</v>
      </c>
      <c r="J147" s="6" t="s">
        <v>102</v>
      </c>
      <c r="K147" s="6" t="s">
        <v>21</v>
      </c>
      <c r="L147" s="6" t="s">
        <v>197</v>
      </c>
      <c r="M147" s="6"/>
    </row>
    <row r="148" customFormat="false" ht="18" hidden="false" customHeight="true" outlineLevel="0" collapsed="false">
      <c r="A148" s="6" t="s">
        <v>130</v>
      </c>
      <c r="B148" s="6" t="s">
        <v>423</v>
      </c>
      <c r="C148" s="7" t="n">
        <v>7</v>
      </c>
      <c r="D148" s="6" t="s">
        <v>431</v>
      </c>
      <c r="E148" s="9" t="s">
        <v>199</v>
      </c>
      <c r="F148" s="6" t="s">
        <v>233</v>
      </c>
      <c r="G148" s="6" t="s">
        <v>270</v>
      </c>
      <c r="H148" s="6" t="s">
        <v>285</v>
      </c>
      <c r="I148" s="6" t="s">
        <v>195</v>
      </c>
      <c r="J148" s="6" t="s">
        <v>427</v>
      </c>
      <c r="K148" s="6" t="s">
        <v>21</v>
      </c>
      <c r="L148" s="6" t="s">
        <v>197</v>
      </c>
      <c r="M148" s="6"/>
    </row>
    <row r="149" customFormat="false" ht="18" hidden="false" customHeight="true" outlineLevel="0" collapsed="false">
      <c r="A149" s="6" t="s">
        <v>130</v>
      </c>
      <c r="B149" s="6" t="s">
        <v>423</v>
      </c>
      <c r="C149" s="7" t="n">
        <v>8</v>
      </c>
      <c r="D149" s="6" t="s">
        <v>432</v>
      </c>
      <c r="E149" s="9" t="s">
        <v>199</v>
      </c>
      <c r="F149" s="6" t="s">
        <v>212</v>
      </c>
      <c r="G149" s="6" t="s">
        <v>270</v>
      </c>
      <c r="H149" s="6" t="s">
        <v>194</v>
      </c>
      <c r="I149" s="6" t="s">
        <v>195</v>
      </c>
      <c r="J149" s="6" t="s">
        <v>266</v>
      </c>
      <c r="K149" s="6" t="s">
        <v>21</v>
      </c>
      <c r="L149" s="6" t="s">
        <v>197</v>
      </c>
      <c r="M149" s="6"/>
    </row>
    <row r="150" customFormat="false" ht="18" hidden="false" customHeight="true" outlineLevel="0" collapsed="false">
      <c r="A150" s="6" t="s">
        <v>130</v>
      </c>
      <c r="B150" s="6" t="s">
        <v>423</v>
      </c>
      <c r="C150" s="7" t="n">
        <v>9</v>
      </c>
      <c r="D150" s="6" t="s">
        <v>433</v>
      </c>
      <c r="E150" s="9" t="s">
        <v>199</v>
      </c>
      <c r="F150" s="6" t="s">
        <v>212</v>
      </c>
      <c r="G150" s="6" t="s">
        <v>270</v>
      </c>
      <c r="H150" s="6" t="s">
        <v>194</v>
      </c>
      <c r="I150" s="6" t="s">
        <v>195</v>
      </c>
      <c r="J150" s="6" t="s">
        <v>52</v>
      </c>
      <c r="K150" s="6" t="s">
        <v>21</v>
      </c>
      <c r="L150" s="6" t="s">
        <v>197</v>
      </c>
      <c r="M150" s="6"/>
    </row>
    <row r="151" customFormat="false" ht="18" hidden="false" customHeight="true" outlineLevel="0" collapsed="false">
      <c r="A151" s="6" t="s">
        <v>130</v>
      </c>
      <c r="B151" s="6" t="s">
        <v>434</v>
      </c>
      <c r="C151" s="7" t="n">
        <v>1</v>
      </c>
      <c r="D151" s="6" t="s">
        <v>435</v>
      </c>
      <c r="E151" s="6" t="s">
        <v>191</v>
      </c>
      <c r="F151" s="6" t="s">
        <v>233</v>
      </c>
      <c r="G151" s="6" t="s">
        <v>436</v>
      </c>
      <c r="H151" s="6" t="s">
        <v>437</v>
      </c>
      <c r="I151" s="6" t="s">
        <v>218</v>
      </c>
      <c r="J151" s="6" t="s">
        <v>38</v>
      </c>
      <c r="K151" s="6" t="s">
        <v>21</v>
      </c>
      <c r="L151" s="6" t="s">
        <v>197</v>
      </c>
      <c r="M151" s="6"/>
    </row>
    <row r="152" customFormat="false" ht="30" hidden="false" customHeight="true" outlineLevel="0" collapsed="false">
      <c r="A152" s="6" t="s">
        <v>130</v>
      </c>
      <c r="B152" s="6" t="s">
        <v>434</v>
      </c>
      <c r="C152" s="7" t="n">
        <v>2</v>
      </c>
      <c r="D152" s="6" t="s">
        <v>438</v>
      </c>
      <c r="E152" s="6" t="s">
        <v>202</v>
      </c>
      <c r="F152" s="6" t="s">
        <v>200</v>
      </c>
      <c r="G152" s="6" t="s">
        <v>436</v>
      </c>
      <c r="H152" s="6" t="s">
        <v>437</v>
      </c>
      <c r="I152" s="6" t="s">
        <v>218</v>
      </c>
      <c r="J152" s="6" t="s">
        <v>38</v>
      </c>
      <c r="K152" s="6" t="s">
        <v>21</v>
      </c>
      <c r="L152" s="11" t="s">
        <v>259</v>
      </c>
      <c r="M152" s="6" t="s">
        <v>439</v>
      </c>
    </row>
    <row r="153" customFormat="false" ht="18" hidden="false" customHeight="true" outlineLevel="0" collapsed="false">
      <c r="A153" s="6" t="s">
        <v>130</v>
      </c>
      <c r="B153" s="6" t="s">
        <v>434</v>
      </c>
      <c r="C153" s="7" t="n">
        <v>4</v>
      </c>
      <c r="D153" s="6" t="s">
        <v>440</v>
      </c>
      <c r="E153" s="9" t="s">
        <v>199</v>
      </c>
      <c r="F153" s="6" t="s">
        <v>205</v>
      </c>
      <c r="G153" s="6" t="s">
        <v>436</v>
      </c>
      <c r="H153" s="6" t="s">
        <v>437</v>
      </c>
      <c r="I153" s="6" t="s">
        <v>218</v>
      </c>
      <c r="J153" s="6" t="s">
        <v>102</v>
      </c>
      <c r="K153" s="6" t="s">
        <v>21</v>
      </c>
      <c r="L153" s="6" t="s">
        <v>197</v>
      </c>
      <c r="M153" s="6"/>
    </row>
    <row r="154" customFormat="false" ht="18" hidden="false" customHeight="true" outlineLevel="0" collapsed="false">
      <c r="A154" s="6" t="s">
        <v>130</v>
      </c>
      <c r="B154" s="6" t="s">
        <v>434</v>
      </c>
      <c r="C154" s="7" t="n">
        <v>5</v>
      </c>
      <c r="D154" s="6" t="s">
        <v>441</v>
      </c>
      <c r="E154" s="9" t="s">
        <v>199</v>
      </c>
      <c r="F154" s="6" t="s">
        <v>205</v>
      </c>
      <c r="G154" s="6" t="s">
        <v>436</v>
      </c>
      <c r="H154" s="6" t="s">
        <v>437</v>
      </c>
      <c r="I154" s="6" t="s">
        <v>218</v>
      </c>
      <c r="J154" s="6" t="s">
        <v>38</v>
      </c>
      <c r="K154" s="6" t="s">
        <v>21</v>
      </c>
      <c r="L154" s="6" t="s">
        <v>197</v>
      </c>
      <c r="M154" s="6"/>
    </row>
    <row r="155" customFormat="false" ht="18" hidden="false" customHeight="true" outlineLevel="0" collapsed="false">
      <c r="A155" s="6" t="s">
        <v>130</v>
      </c>
      <c r="B155" s="6" t="s">
        <v>434</v>
      </c>
      <c r="C155" s="7" t="n">
        <v>6</v>
      </c>
      <c r="D155" s="6" t="s">
        <v>442</v>
      </c>
      <c r="E155" s="9" t="s">
        <v>199</v>
      </c>
      <c r="F155" s="6" t="s">
        <v>233</v>
      </c>
      <c r="G155" s="6" t="s">
        <v>436</v>
      </c>
      <c r="H155" s="6" t="s">
        <v>437</v>
      </c>
      <c r="I155" s="6" t="s">
        <v>218</v>
      </c>
      <c r="J155" s="6" t="s">
        <v>102</v>
      </c>
      <c r="K155" s="6" t="s">
        <v>21</v>
      </c>
      <c r="L155" s="6" t="s">
        <v>197</v>
      </c>
      <c r="M155" s="6"/>
    </row>
    <row r="156" customFormat="false" ht="18" hidden="false" customHeight="true" outlineLevel="0" collapsed="false">
      <c r="A156" s="6" t="s">
        <v>130</v>
      </c>
      <c r="B156" s="6" t="s">
        <v>434</v>
      </c>
      <c r="C156" s="7" t="n">
        <v>8</v>
      </c>
      <c r="D156" s="6" t="s">
        <v>443</v>
      </c>
      <c r="E156" s="6" t="s">
        <v>239</v>
      </c>
      <c r="F156" s="6" t="s">
        <v>212</v>
      </c>
      <c r="G156" s="6" t="s">
        <v>240</v>
      </c>
      <c r="H156" s="9" t="s">
        <v>241</v>
      </c>
      <c r="I156" s="6" t="s">
        <v>218</v>
      </c>
      <c r="J156" s="6" t="s">
        <v>38</v>
      </c>
      <c r="K156" s="6" t="s">
        <v>21</v>
      </c>
      <c r="L156" s="6" t="s">
        <v>243</v>
      </c>
      <c r="M156" s="6"/>
    </row>
    <row r="157" customFormat="false" ht="18" hidden="false" customHeight="true" outlineLevel="0" collapsed="false">
      <c r="A157" s="6" t="s">
        <v>130</v>
      </c>
      <c r="B157" s="6" t="s">
        <v>444</v>
      </c>
      <c r="C157" s="7" t="n">
        <v>1</v>
      </c>
      <c r="D157" s="6" t="s">
        <v>445</v>
      </c>
      <c r="E157" s="6" t="s">
        <v>202</v>
      </c>
      <c r="F157" s="6" t="s">
        <v>192</v>
      </c>
      <c r="G157" s="6" t="s">
        <v>270</v>
      </c>
      <c r="H157" s="6" t="s">
        <v>194</v>
      </c>
      <c r="I157" s="6" t="s">
        <v>195</v>
      </c>
      <c r="J157" s="6" t="s">
        <v>102</v>
      </c>
      <c r="K157" s="6" t="s">
        <v>21</v>
      </c>
      <c r="L157" s="6" t="s">
        <v>197</v>
      </c>
      <c r="M157" s="6"/>
    </row>
    <row r="158" customFormat="false" ht="18" hidden="false" customHeight="true" outlineLevel="0" collapsed="false">
      <c r="A158" s="6" t="s">
        <v>130</v>
      </c>
      <c r="B158" s="6" t="s">
        <v>444</v>
      </c>
      <c r="C158" s="7" t="n">
        <v>3</v>
      </c>
      <c r="D158" s="6" t="s">
        <v>446</v>
      </c>
      <c r="E158" s="6" t="s">
        <v>202</v>
      </c>
      <c r="F158" s="6" t="s">
        <v>200</v>
      </c>
      <c r="G158" s="6" t="s">
        <v>270</v>
      </c>
      <c r="H158" s="6" t="s">
        <v>194</v>
      </c>
      <c r="I158" s="6" t="s">
        <v>195</v>
      </c>
      <c r="J158" s="6" t="s">
        <v>102</v>
      </c>
      <c r="K158" s="6" t="s">
        <v>21</v>
      </c>
      <c r="L158" s="6" t="s">
        <v>197</v>
      </c>
      <c r="M158" s="6"/>
    </row>
    <row r="159" customFormat="false" ht="18" hidden="false" customHeight="true" outlineLevel="0" collapsed="false">
      <c r="A159" s="6" t="s">
        <v>130</v>
      </c>
      <c r="B159" s="6" t="s">
        <v>444</v>
      </c>
      <c r="C159" s="7" t="n">
        <v>4</v>
      </c>
      <c r="D159" s="6" t="s">
        <v>447</v>
      </c>
      <c r="E159" s="9" t="s">
        <v>199</v>
      </c>
      <c r="F159" s="6" t="s">
        <v>205</v>
      </c>
      <c r="G159" s="6" t="s">
        <v>270</v>
      </c>
      <c r="H159" s="6" t="s">
        <v>194</v>
      </c>
      <c r="I159" s="6" t="s">
        <v>195</v>
      </c>
      <c r="J159" s="6" t="s">
        <v>102</v>
      </c>
      <c r="K159" s="6" t="s">
        <v>21</v>
      </c>
      <c r="L159" s="6" t="s">
        <v>197</v>
      </c>
      <c r="M159" s="6"/>
    </row>
    <row r="160" customFormat="false" ht="18" hidden="false" customHeight="true" outlineLevel="0" collapsed="false">
      <c r="A160" s="6" t="s">
        <v>130</v>
      </c>
      <c r="B160" s="6" t="s">
        <v>444</v>
      </c>
      <c r="C160" s="7" t="n">
        <v>6</v>
      </c>
      <c r="D160" s="6" t="s">
        <v>448</v>
      </c>
      <c r="E160" s="9" t="s">
        <v>199</v>
      </c>
      <c r="F160" s="6" t="s">
        <v>233</v>
      </c>
      <c r="G160" s="6" t="s">
        <v>270</v>
      </c>
      <c r="H160" s="6" t="s">
        <v>285</v>
      </c>
      <c r="I160" s="6" t="s">
        <v>195</v>
      </c>
      <c r="J160" s="6" t="s">
        <v>85</v>
      </c>
      <c r="K160" s="6" t="s">
        <v>21</v>
      </c>
      <c r="L160" s="6" t="s">
        <v>197</v>
      </c>
      <c r="M160" s="6"/>
    </row>
    <row r="161" customFormat="false" ht="18" hidden="false" customHeight="true" outlineLevel="0" collapsed="false">
      <c r="A161" s="6" t="s">
        <v>144</v>
      </c>
      <c r="B161" s="6" t="s">
        <v>449</v>
      </c>
      <c r="C161" s="7" t="n">
        <v>1</v>
      </c>
      <c r="D161" s="6" t="s">
        <v>450</v>
      </c>
      <c r="E161" s="6" t="s">
        <v>191</v>
      </c>
      <c r="F161" s="6" t="s">
        <v>192</v>
      </c>
      <c r="G161" s="6" t="s">
        <v>270</v>
      </c>
      <c r="H161" s="6" t="s">
        <v>194</v>
      </c>
      <c r="I161" s="6" t="s">
        <v>195</v>
      </c>
      <c r="J161" s="6" t="s">
        <v>230</v>
      </c>
      <c r="K161" s="6" t="s">
        <v>21</v>
      </c>
      <c r="L161" s="6" t="s">
        <v>197</v>
      </c>
      <c r="M161" s="6"/>
    </row>
    <row r="162" customFormat="false" ht="18" hidden="false" customHeight="true" outlineLevel="0" collapsed="false">
      <c r="A162" s="6" t="s">
        <v>144</v>
      </c>
      <c r="B162" s="6" t="s">
        <v>449</v>
      </c>
      <c r="C162" s="7" t="n">
        <v>2</v>
      </c>
      <c r="D162" s="6" t="s">
        <v>451</v>
      </c>
      <c r="E162" s="6" t="s">
        <v>202</v>
      </c>
      <c r="F162" s="6" t="s">
        <v>200</v>
      </c>
      <c r="G162" s="6" t="s">
        <v>270</v>
      </c>
      <c r="H162" s="6" t="s">
        <v>194</v>
      </c>
      <c r="I162" s="6" t="s">
        <v>195</v>
      </c>
      <c r="J162" s="6" t="s">
        <v>207</v>
      </c>
      <c r="K162" s="6" t="s">
        <v>21</v>
      </c>
      <c r="L162" s="6" t="s">
        <v>197</v>
      </c>
      <c r="M162" s="6"/>
    </row>
    <row r="163" customFormat="false" ht="18" hidden="false" customHeight="true" outlineLevel="0" collapsed="false">
      <c r="A163" s="6" t="s">
        <v>144</v>
      </c>
      <c r="B163" s="6" t="s">
        <v>449</v>
      </c>
      <c r="C163" s="7" t="n">
        <v>3</v>
      </c>
      <c r="D163" s="6" t="s">
        <v>452</v>
      </c>
      <c r="E163" s="6" t="s">
        <v>202</v>
      </c>
      <c r="F163" s="6" t="s">
        <v>299</v>
      </c>
      <c r="G163" s="6" t="s">
        <v>270</v>
      </c>
      <c r="H163" s="6" t="s">
        <v>194</v>
      </c>
      <c r="I163" s="6" t="s">
        <v>195</v>
      </c>
      <c r="J163" s="6" t="s">
        <v>52</v>
      </c>
      <c r="K163" s="6" t="s">
        <v>21</v>
      </c>
      <c r="L163" s="6" t="s">
        <v>197</v>
      </c>
      <c r="M163" s="6"/>
    </row>
    <row r="164" customFormat="false" ht="18" hidden="false" customHeight="true" outlineLevel="0" collapsed="false">
      <c r="A164" s="6" t="s">
        <v>144</v>
      </c>
      <c r="B164" s="6" t="s">
        <v>449</v>
      </c>
      <c r="C164" s="7" t="n">
        <v>4</v>
      </c>
      <c r="D164" s="6" t="s">
        <v>453</v>
      </c>
      <c r="E164" s="9" t="s">
        <v>199</v>
      </c>
      <c r="F164" s="6" t="s">
        <v>200</v>
      </c>
      <c r="G164" s="6" t="s">
        <v>270</v>
      </c>
      <c r="H164" s="6" t="s">
        <v>194</v>
      </c>
      <c r="I164" s="6" t="s">
        <v>195</v>
      </c>
      <c r="J164" s="6" t="s">
        <v>196</v>
      </c>
      <c r="K164" s="6" t="s">
        <v>21</v>
      </c>
      <c r="L164" s="6" t="s">
        <v>197</v>
      </c>
      <c r="M164" s="6"/>
    </row>
    <row r="165" customFormat="false" ht="30" hidden="false" customHeight="true" outlineLevel="0" collapsed="false">
      <c r="A165" s="6" t="s">
        <v>144</v>
      </c>
      <c r="B165" s="6" t="s">
        <v>449</v>
      </c>
      <c r="C165" s="7" t="n">
        <v>5</v>
      </c>
      <c r="D165" s="6" t="s">
        <v>454</v>
      </c>
      <c r="E165" s="9" t="s">
        <v>199</v>
      </c>
      <c r="F165" s="6" t="s">
        <v>233</v>
      </c>
      <c r="G165" s="6" t="s">
        <v>270</v>
      </c>
      <c r="H165" s="6" t="s">
        <v>285</v>
      </c>
      <c r="I165" s="6" t="s">
        <v>195</v>
      </c>
      <c r="J165" s="6" t="s">
        <v>230</v>
      </c>
      <c r="K165" s="6" t="s">
        <v>21</v>
      </c>
      <c r="L165" s="11" t="s">
        <v>259</v>
      </c>
      <c r="M165" s="6" t="s">
        <v>455</v>
      </c>
    </row>
    <row r="166" customFormat="false" ht="18" hidden="false" customHeight="true" outlineLevel="0" collapsed="false">
      <c r="A166" s="6" t="s">
        <v>144</v>
      </c>
      <c r="B166" s="6" t="s">
        <v>449</v>
      </c>
      <c r="C166" s="7" t="n">
        <v>6</v>
      </c>
      <c r="D166" s="6" t="s">
        <v>456</v>
      </c>
      <c r="E166" s="9" t="s">
        <v>199</v>
      </c>
      <c r="F166" s="6" t="s">
        <v>205</v>
      </c>
      <c r="G166" s="6" t="s">
        <v>270</v>
      </c>
      <c r="H166" s="6" t="s">
        <v>194</v>
      </c>
      <c r="I166" s="6" t="s">
        <v>195</v>
      </c>
      <c r="J166" s="6" t="s">
        <v>102</v>
      </c>
      <c r="K166" s="6" t="s">
        <v>21</v>
      </c>
      <c r="L166" s="6" t="s">
        <v>197</v>
      </c>
      <c r="M166" s="6"/>
    </row>
    <row r="167" customFormat="false" ht="30" hidden="false" customHeight="true" outlineLevel="0" collapsed="false">
      <c r="A167" s="6" t="s">
        <v>144</v>
      </c>
      <c r="B167" s="6" t="s">
        <v>449</v>
      </c>
      <c r="C167" s="7" t="n">
        <v>7</v>
      </c>
      <c r="D167" s="6" t="s">
        <v>457</v>
      </c>
      <c r="E167" s="9" t="s">
        <v>199</v>
      </c>
      <c r="F167" s="6" t="s">
        <v>233</v>
      </c>
      <c r="G167" s="6" t="s">
        <v>270</v>
      </c>
      <c r="H167" s="6" t="s">
        <v>285</v>
      </c>
      <c r="I167" s="6" t="s">
        <v>195</v>
      </c>
      <c r="J167" s="6" t="s">
        <v>427</v>
      </c>
      <c r="K167" s="6" t="s">
        <v>21</v>
      </c>
      <c r="L167" s="11" t="s">
        <v>259</v>
      </c>
      <c r="M167" s="6" t="s">
        <v>455</v>
      </c>
    </row>
    <row r="168" customFormat="false" ht="18" hidden="false" customHeight="true" outlineLevel="0" collapsed="false">
      <c r="A168" s="6" t="s">
        <v>144</v>
      </c>
      <c r="B168" s="6" t="s">
        <v>449</v>
      </c>
      <c r="C168" s="7" t="n">
        <v>8</v>
      </c>
      <c r="D168" s="6" t="s">
        <v>458</v>
      </c>
      <c r="E168" s="9" t="s">
        <v>199</v>
      </c>
      <c r="F168" s="6" t="s">
        <v>212</v>
      </c>
      <c r="G168" s="6" t="s">
        <v>270</v>
      </c>
      <c r="H168" s="6" t="s">
        <v>194</v>
      </c>
      <c r="I168" s="6" t="s">
        <v>195</v>
      </c>
      <c r="J168" s="6" t="s">
        <v>116</v>
      </c>
      <c r="K168" s="6" t="s">
        <v>21</v>
      </c>
      <c r="L168" s="6" t="s">
        <v>197</v>
      </c>
      <c r="M168" s="6"/>
    </row>
    <row r="169" customFormat="false" ht="45" hidden="false" customHeight="true" outlineLevel="0" collapsed="false">
      <c r="A169" s="6" t="s">
        <v>144</v>
      </c>
      <c r="B169" s="6" t="s">
        <v>449</v>
      </c>
      <c r="C169" s="7" t="n">
        <v>9</v>
      </c>
      <c r="D169" s="6" t="s">
        <v>459</v>
      </c>
      <c r="E169" s="9" t="s">
        <v>199</v>
      </c>
      <c r="F169" s="6" t="s">
        <v>212</v>
      </c>
      <c r="G169" s="6" t="s">
        <v>270</v>
      </c>
      <c r="H169" s="6" t="s">
        <v>194</v>
      </c>
      <c r="I169" s="6" t="s">
        <v>195</v>
      </c>
      <c r="J169" s="6" t="s">
        <v>52</v>
      </c>
      <c r="K169" s="6" t="s">
        <v>21</v>
      </c>
      <c r="L169" s="11" t="s">
        <v>259</v>
      </c>
      <c r="M169" s="6" t="s">
        <v>460</v>
      </c>
    </row>
    <row r="170" customFormat="false" ht="18" hidden="false" customHeight="true" outlineLevel="0" collapsed="false">
      <c r="A170" s="6" t="s">
        <v>144</v>
      </c>
      <c r="B170" s="6" t="s">
        <v>461</v>
      </c>
      <c r="C170" s="7" t="n">
        <v>1</v>
      </c>
      <c r="D170" s="6" t="s">
        <v>462</v>
      </c>
      <c r="E170" s="6" t="s">
        <v>191</v>
      </c>
      <c r="F170" s="6" t="s">
        <v>192</v>
      </c>
      <c r="G170" s="6" t="s">
        <v>270</v>
      </c>
      <c r="H170" s="6" t="s">
        <v>194</v>
      </c>
      <c r="I170" s="6" t="s">
        <v>195</v>
      </c>
      <c r="J170" s="6" t="s">
        <v>102</v>
      </c>
      <c r="K170" s="6" t="s">
        <v>21</v>
      </c>
      <c r="L170" s="6" t="s">
        <v>197</v>
      </c>
      <c r="M170" s="6"/>
    </row>
    <row r="171" customFormat="false" ht="18" hidden="false" customHeight="true" outlineLevel="0" collapsed="false">
      <c r="A171" s="6" t="s">
        <v>144</v>
      </c>
      <c r="B171" s="6" t="s">
        <v>461</v>
      </c>
      <c r="C171" s="7" t="n">
        <v>2</v>
      </c>
      <c r="D171" s="6" t="s">
        <v>463</v>
      </c>
      <c r="E171" s="6" t="s">
        <v>202</v>
      </c>
      <c r="F171" s="6" t="s">
        <v>200</v>
      </c>
      <c r="G171" s="6" t="s">
        <v>270</v>
      </c>
      <c r="H171" s="6" t="s">
        <v>194</v>
      </c>
      <c r="I171" s="6" t="s">
        <v>195</v>
      </c>
      <c r="J171" s="6" t="s">
        <v>102</v>
      </c>
      <c r="K171" s="6" t="s">
        <v>21</v>
      </c>
      <c r="L171" s="6" t="s">
        <v>197</v>
      </c>
      <c r="M171" s="6"/>
    </row>
    <row r="172" customFormat="false" ht="18" hidden="false" customHeight="true" outlineLevel="0" collapsed="false">
      <c r="A172" s="6" t="s">
        <v>144</v>
      </c>
      <c r="B172" s="6" t="s">
        <v>461</v>
      </c>
      <c r="C172" s="7" t="n">
        <v>3</v>
      </c>
      <c r="D172" s="6" t="s">
        <v>464</v>
      </c>
      <c r="E172" s="6" t="s">
        <v>202</v>
      </c>
      <c r="F172" s="6" t="s">
        <v>200</v>
      </c>
      <c r="G172" s="6" t="s">
        <v>270</v>
      </c>
      <c r="H172" s="6" t="s">
        <v>194</v>
      </c>
      <c r="I172" s="6" t="s">
        <v>195</v>
      </c>
      <c r="J172" s="6" t="s">
        <v>52</v>
      </c>
      <c r="K172" s="6" t="s">
        <v>21</v>
      </c>
      <c r="L172" s="6" t="s">
        <v>197</v>
      </c>
      <c r="M172" s="6"/>
    </row>
    <row r="173" customFormat="false" ht="18" hidden="false" customHeight="true" outlineLevel="0" collapsed="false">
      <c r="A173" s="6" t="s">
        <v>144</v>
      </c>
      <c r="B173" s="6" t="s">
        <v>461</v>
      </c>
      <c r="C173" s="7" t="n">
        <v>4</v>
      </c>
      <c r="D173" s="6" t="s">
        <v>465</v>
      </c>
      <c r="E173" s="9" t="s">
        <v>199</v>
      </c>
      <c r="F173" s="6" t="s">
        <v>200</v>
      </c>
      <c r="G173" s="6" t="s">
        <v>270</v>
      </c>
      <c r="H173" s="6" t="s">
        <v>194</v>
      </c>
      <c r="I173" s="6" t="s">
        <v>195</v>
      </c>
      <c r="J173" s="6" t="s">
        <v>102</v>
      </c>
      <c r="K173" s="6" t="s">
        <v>21</v>
      </c>
      <c r="L173" s="6" t="s">
        <v>197</v>
      </c>
      <c r="M173" s="6"/>
    </row>
    <row r="174" customFormat="false" ht="18" hidden="false" customHeight="true" outlineLevel="0" collapsed="false">
      <c r="A174" s="6" t="s">
        <v>144</v>
      </c>
      <c r="B174" s="6" t="s">
        <v>461</v>
      </c>
      <c r="C174" s="7" t="n">
        <v>5</v>
      </c>
      <c r="D174" s="6" t="s">
        <v>466</v>
      </c>
      <c r="E174" s="9" t="s">
        <v>199</v>
      </c>
      <c r="F174" s="6" t="s">
        <v>205</v>
      </c>
      <c r="G174" s="6" t="s">
        <v>270</v>
      </c>
      <c r="H174" s="6" t="s">
        <v>194</v>
      </c>
      <c r="I174" s="6" t="s">
        <v>195</v>
      </c>
      <c r="J174" s="6" t="s">
        <v>226</v>
      </c>
      <c r="K174" s="6" t="s">
        <v>21</v>
      </c>
      <c r="L174" s="6" t="s">
        <v>197</v>
      </c>
      <c r="M174" s="6"/>
    </row>
    <row r="175" customFormat="false" ht="18" hidden="false" customHeight="true" outlineLevel="0" collapsed="false">
      <c r="A175" s="6" t="s">
        <v>144</v>
      </c>
      <c r="B175" s="6" t="s">
        <v>461</v>
      </c>
      <c r="C175" s="7" t="n">
        <v>6</v>
      </c>
      <c r="D175" s="6" t="s">
        <v>467</v>
      </c>
      <c r="E175" s="9" t="s">
        <v>199</v>
      </c>
      <c r="F175" s="6" t="s">
        <v>299</v>
      </c>
      <c r="G175" s="6" t="s">
        <v>270</v>
      </c>
      <c r="H175" s="6" t="s">
        <v>194</v>
      </c>
      <c r="I175" s="6" t="s">
        <v>195</v>
      </c>
      <c r="J175" s="6" t="s">
        <v>85</v>
      </c>
      <c r="K175" s="6" t="s">
        <v>21</v>
      </c>
      <c r="L175" s="6" t="s">
        <v>197</v>
      </c>
      <c r="M175" s="6"/>
    </row>
    <row r="176" customFormat="false" ht="18" hidden="false" customHeight="true" outlineLevel="0" collapsed="false">
      <c r="A176" s="6" t="s">
        <v>144</v>
      </c>
      <c r="B176" s="6" t="s">
        <v>461</v>
      </c>
      <c r="C176" s="7" t="n">
        <v>8</v>
      </c>
      <c r="D176" s="6" t="s">
        <v>468</v>
      </c>
      <c r="E176" s="6" t="s">
        <v>239</v>
      </c>
      <c r="F176" s="6" t="s">
        <v>212</v>
      </c>
      <c r="G176" s="6" t="s">
        <v>240</v>
      </c>
      <c r="H176" s="9" t="s">
        <v>241</v>
      </c>
      <c r="I176" s="6" t="s">
        <v>195</v>
      </c>
      <c r="J176" s="6" t="s">
        <v>116</v>
      </c>
      <c r="K176" s="6" t="s">
        <v>21</v>
      </c>
      <c r="L176" s="6" t="s">
        <v>243</v>
      </c>
      <c r="M176" s="6"/>
    </row>
    <row r="177" customFormat="false" ht="18" hidden="false" customHeight="true" outlineLevel="0" collapsed="false">
      <c r="A177" s="6" t="s">
        <v>144</v>
      </c>
      <c r="B177" s="6" t="s">
        <v>469</v>
      </c>
      <c r="C177" s="7" t="n">
        <v>5</v>
      </c>
      <c r="D177" s="6" t="s">
        <v>470</v>
      </c>
      <c r="E177" s="9" t="s">
        <v>199</v>
      </c>
      <c r="F177" s="6" t="s">
        <v>233</v>
      </c>
      <c r="G177" s="6" t="s">
        <v>270</v>
      </c>
      <c r="H177" s="6" t="s">
        <v>285</v>
      </c>
      <c r="I177" s="6" t="s">
        <v>218</v>
      </c>
      <c r="J177" s="6" t="s">
        <v>427</v>
      </c>
      <c r="K177" s="6" t="s">
        <v>21</v>
      </c>
      <c r="L177" s="6" t="s">
        <v>197</v>
      </c>
      <c r="M177" s="6"/>
    </row>
    <row r="178" customFormat="false" ht="18" hidden="false" customHeight="true" outlineLevel="0" collapsed="false">
      <c r="A178" s="6" t="s">
        <v>144</v>
      </c>
      <c r="B178" s="6" t="s">
        <v>469</v>
      </c>
      <c r="C178" s="7" t="n">
        <v>6</v>
      </c>
      <c r="D178" s="6" t="s">
        <v>471</v>
      </c>
      <c r="E178" s="9" t="s">
        <v>199</v>
      </c>
      <c r="F178" s="6" t="s">
        <v>200</v>
      </c>
      <c r="G178" s="6" t="s">
        <v>270</v>
      </c>
      <c r="H178" s="6" t="s">
        <v>194</v>
      </c>
      <c r="I178" s="6" t="s">
        <v>218</v>
      </c>
      <c r="J178" s="6" t="s">
        <v>230</v>
      </c>
      <c r="K178" s="6" t="s">
        <v>21</v>
      </c>
      <c r="L178" s="6" t="s">
        <v>197</v>
      </c>
      <c r="M178" s="6"/>
    </row>
    <row r="179" customFormat="false" ht="18" hidden="false" customHeight="true" outlineLevel="0" collapsed="false">
      <c r="A179" s="6" t="s">
        <v>144</v>
      </c>
      <c r="B179" s="6" t="s">
        <v>469</v>
      </c>
      <c r="C179" s="7" t="n">
        <v>7</v>
      </c>
      <c r="D179" s="6" t="s">
        <v>472</v>
      </c>
      <c r="E179" s="9" t="s">
        <v>199</v>
      </c>
      <c r="F179" s="6" t="s">
        <v>299</v>
      </c>
      <c r="G179" s="6" t="s">
        <v>270</v>
      </c>
      <c r="H179" s="6" t="s">
        <v>194</v>
      </c>
      <c r="I179" s="6" t="s">
        <v>218</v>
      </c>
      <c r="J179" s="6" t="s">
        <v>102</v>
      </c>
      <c r="K179" s="6" t="s">
        <v>21</v>
      </c>
      <c r="L179" s="6" t="s">
        <v>197</v>
      </c>
      <c r="M179" s="6"/>
    </row>
    <row r="180" customFormat="false" ht="18" hidden="false" customHeight="true" outlineLevel="0" collapsed="false">
      <c r="A180" s="6" t="s">
        <v>144</v>
      </c>
      <c r="B180" s="6" t="s">
        <v>469</v>
      </c>
      <c r="C180" s="7" t="n">
        <v>8</v>
      </c>
      <c r="D180" s="6" t="s">
        <v>473</v>
      </c>
      <c r="E180" s="6" t="s">
        <v>239</v>
      </c>
      <c r="F180" s="6" t="s">
        <v>212</v>
      </c>
      <c r="G180" s="6" t="s">
        <v>240</v>
      </c>
      <c r="H180" s="9" t="s">
        <v>241</v>
      </c>
      <c r="I180" s="6" t="s">
        <v>218</v>
      </c>
      <c r="J180" s="6" t="s">
        <v>52</v>
      </c>
      <c r="K180" s="6" t="s">
        <v>21</v>
      </c>
      <c r="L180" s="6" t="s">
        <v>243</v>
      </c>
      <c r="M180" s="6"/>
    </row>
    <row r="181" customFormat="false" ht="18" hidden="false" customHeight="true" outlineLevel="0" collapsed="false">
      <c r="A181" s="6" t="s">
        <v>144</v>
      </c>
      <c r="B181" s="6" t="s">
        <v>474</v>
      </c>
      <c r="C181" s="7" t="n">
        <v>4</v>
      </c>
      <c r="D181" s="6" t="s">
        <v>475</v>
      </c>
      <c r="E181" s="6" t="s">
        <v>239</v>
      </c>
      <c r="F181" s="6" t="s">
        <v>365</v>
      </c>
      <c r="G181" s="6" t="s">
        <v>240</v>
      </c>
      <c r="H181" s="9" t="s">
        <v>241</v>
      </c>
      <c r="I181" s="6" t="s">
        <v>218</v>
      </c>
      <c r="J181" s="6" t="s">
        <v>85</v>
      </c>
      <c r="K181" s="6" t="s">
        <v>21</v>
      </c>
      <c r="L181" s="6" t="s">
        <v>243</v>
      </c>
      <c r="M181" s="6"/>
    </row>
    <row r="182" customFormat="false" ht="18" hidden="false" customHeight="true" outlineLevel="0" collapsed="false">
      <c r="A182" s="6" t="s">
        <v>144</v>
      </c>
      <c r="B182" s="6" t="s">
        <v>474</v>
      </c>
      <c r="C182" s="7" t="n">
        <v>6</v>
      </c>
      <c r="D182" s="6" t="s">
        <v>476</v>
      </c>
      <c r="E182" s="9" t="s">
        <v>199</v>
      </c>
      <c r="F182" s="6" t="s">
        <v>233</v>
      </c>
      <c r="G182" s="6" t="s">
        <v>270</v>
      </c>
      <c r="H182" s="6" t="s">
        <v>285</v>
      </c>
      <c r="I182" s="6" t="s">
        <v>218</v>
      </c>
      <c r="J182" s="6" t="s">
        <v>52</v>
      </c>
      <c r="K182" s="6" t="s">
        <v>21</v>
      </c>
      <c r="L182" s="6" t="s">
        <v>197</v>
      </c>
      <c r="M182" s="6"/>
    </row>
    <row r="183" customFormat="false" ht="18" hidden="false" customHeight="true" outlineLevel="0" collapsed="false">
      <c r="A183" s="6" t="s">
        <v>144</v>
      </c>
      <c r="B183" s="6" t="s">
        <v>474</v>
      </c>
      <c r="C183" s="7" t="n">
        <v>7</v>
      </c>
      <c r="D183" s="6" t="s">
        <v>477</v>
      </c>
      <c r="E183" s="6" t="s">
        <v>239</v>
      </c>
      <c r="F183" s="6" t="s">
        <v>365</v>
      </c>
      <c r="G183" s="6" t="s">
        <v>240</v>
      </c>
      <c r="H183" s="9" t="s">
        <v>241</v>
      </c>
      <c r="I183" s="6" t="s">
        <v>218</v>
      </c>
      <c r="J183" s="6" t="s">
        <v>52</v>
      </c>
      <c r="K183" s="6" t="s">
        <v>21</v>
      </c>
      <c r="L183" s="6" t="s">
        <v>243</v>
      </c>
      <c r="M183" s="6"/>
    </row>
    <row r="184" customFormat="false" ht="18" hidden="false" customHeight="true" outlineLevel="0" collapsed="false">
      <c r="A184" s="6" t="s">
        <v>144</v>
      </c>
      <c r="B184" s="6" t="s">
        <v>474</v>
      </c>
      <c r="C184" s="7" t="n">
        <v>7</v>
      </c>
      <c r="D184" s="6" t="s">
        <v>478</v>
      </c>
      <c r="E184" s="6" t="s">
        <v>239</v>
      </c>
      <c r="F184" s="6" t="s">
        <v>365</v>
      </c>
      <c r="G184" s="6" t="s">
        <v>240</v>
      </c>
      <c r="H184" s="9" t="s">
        <v>241</v>
      </c>
      <c r="I184" s="6" t="s">
        <v>218</v>
      </c>
      <c r="J184" s="6" t="s">
        <v>38</v>
      </c>
      <c r="K184" s="6" t="s">
        <v>21</v>
      </c>
      <c r="L184" s="6" t="s">
        <v>243</v>
      </c>
      <c r="M184" s="6"/>
    </row>
    <row r="185" customFormat="false" ht="18" hidden="false" customHeight="true" outlineLevel="0" collapsed="false">
      <c r="A185" s="6" t="s">
        <v>144</v>
      </c>
      <c r="B185" s="6" t="s">
        <v>474</v>
      </c>
      <c r="C185" s="7" t="n">
        <v>8</v>
      </c>
      <c r="D185" s="6" t="s">
        <v>479</v>
      </c>
      <c r="E185" s="6" t="s">
        <v>239</v>
      </c>
      <c r="F185" s="6" t="s">
        <v>212</v>
      </c>
      <c r="G185" s="6" t="s">
        <v>240</v>
      </c>
      <c r="H185" s="9" t="s">
        <v>241</v>
      </c>
      <c r="I185" s="6" t="s">
        <v>218</v>
      </c>
      <c r="J185" s="6" t="s">
        <v>52</v>
      </c>
      <c r="K185" s="6" t="s">
        <v>21</v>
      </c>
      <c r="L185" s="6" t="s">
        <v>243</v>
      </c>
      <c r="M185" s="6"/>
    </row>
    <row r="186" customFormat="false" ht="18" hidden="false" customHeight="true" outlineLevel="0" collapsed="false">
      <c r="A186" s="6" t="s">
        <v>144</v>
      </c>
      <c r="B186" s="6" t="s">
        <v>474</v>
      </c>
      <c r="C186" s="7" t="n">
        <v>10</v>
      </c>
      <c r="D186" s="6" t="s">
        <v>480</v>
      </c>
      <c r="E186" s="6" t="s">
        <v>338</v>
      </c>
      <c r="F186" s="6" t="s">
        <v>339</v>
      </c>
      <c r="G186" s="6" t="s">
        <v>340</v>
      </c>
      <c r="H186" s="6" t="s">
        <v>341</v>
      </c>
      <c r="I186" s="6" t="s">
        <v>218</v>
      </c>
      <c r="J186" s="6" t="s">
        <v>52</v>
      </c>
      <c r="K186" s="6" t="s">
        <v>21</v>
      </c>
      <c r="L186" s="6" t="s">
        <v>342</v>
      </c>
      <c r="M186" s="6"/>
    </row>
    <row r="187" customFormat="false" ht="18" hidden="false" customHeight="true" outlineLevel="0" collapsed="false">
      <c r="A187" s="6" t="s">
        <v>159</v>
      </c>
      <c r="B187" s="6" t="s">
        <v>481</v>
      </c>
      <c r="C187" s="7" t="n">
        <v>1</v>
      </c>
      <c r="D187" s="6" t="s">
        <v>482</v>
      </c>
      <c r="E187" s="6" t="s">
        <v>191</v>
      </c>
      <c r="F187" s="6" t="s">
        <v>192</v>
      </c>
      <c r="G187" s="6" t="s">
        <v>270</v>
      </c>
      <c r="H187" s="6" t="s">
        <v>194</v>
      </c>
      <c r="I187" s="6" t="s">
        <v>195</v>
      </c>
      <c r="J187" s="6" t="s">
        <v>324</v>
      </c>
      <c r="K187" s="6" t="s">
        <v>21</v>
      </c>
      <c r="L187" s="6" t="s">
        <v>197</v>
      </c>
      <c r="M187" s="6"/>
    </row>
    <row r="188" customFormat="false" ht="18" hidden="false" customHeight="true" outlineLevel="0" collapsed="false">
      <c r="A188" s="6" t="s">
        <v>159</v>
      </c>
      <c r="B188" s="6" t="s">
        <v>481</v>
      </c>
      <c r="C188" s="7" t="n">
        <v>2</v>
      </c>
      <c r="D188" s="6" t="s">
        <v>483</v>
      </c>
      <c r="E188" s="9" t="s">
        <v>199</v>
      </c>
      <c r="F188" s="6" t="s">
        <v>200</v>
      </c>
      <c r="G188" s="6" t="s">
        <v>270</v>
      </c>
      <c r="H188" s="6" t="s">
        <v>194</v>
      </c>
      <c r="I188" s="6" t="s">
        <v>195</v>
      </c>
      <c r="J188" s="6" t="s">
        <v>70</v>
      </c>
      <c r="K188" s="6" t="s">
        <v>21</v>
      </c>
      <c r="L188" s="6" t="s">
        <v>197</v>
      </c>
      <c r="M188" s="6"/>
    </row>
    <row r="189" customFormat="false" ht="18" hidden="false" customHeight="true" outlineLevel="0" collapsed="false">
      <c r="A189" s="6" t="s">
        <v>159</v>
      </c>
      <c r="B189" s="6" t="s">
        <v>481</v>
      </c>
      <c r="C189" s="7" t="n">
        <v>3</v>
      </c>
      <c r="D189" s="6" t="s">
        <v>484</v>
      </c>
      <c r="E189" s="6" t="s">
        <v>202</v>
      </c>
      <c r="F189" s="6" t="s">
        <v>299</v>
      </c>
      <c r="G189" s="6" t="s">
        <v>270</v>
      </c>
      <c r="H189" s="6" t="s">
        <v>194</v>
      </c>
      <c r="I189" s="6" t="s">
        <v>195</v>
      </c>
      <c r="J189" s="6" t="s">
        <v>85</v>
      </c>
      <c r="K189" s="6" t="s">
        <v>21</v>
      </c>
      <c r="L189" s="6" t="s">
        <v>197</v>
      </c>
      <c r="M189" s="6"/>
    </row>
    <row r="190" customFormat="false" ht="18" hidden="false" customHeight="true" outlineLevel="0" collapsed="false">
      <c r="A190" s="6" t="s">
        <v>159</v>
      </c>
      <c r="B190" s="6" t="s">
        <v>481</v>
      </c>
      <c r="C190" s="7" t="n">
        <v>4</v>
      </c>
      <c r="D190" s="6" t="s">
        <v>485</v>
      </c>
      <c r="E190" s="9" t="s">
        <v>199</v>
      </c>
      <c r="F190" s="6" t="s">
        <v>200</v>
      </c>
      <c r="G190" s="6" t="s">
        <v>270</v>
      </c>
      <c r="H190" s="6" t="s">
        <v>194</v>
      </c>
      <c r="I190" s="6" t="s">
        <v>195</v>
      </c>
      <c r="J190" s="6" t="s">
        <v>70</v>
      </c>
      <c r="K190" s="6" t="s">
        <v>21</v>
      </c>
      <c r="L190" s="6" t="s">
        <v>197</v>
      </c>
      <c r="M190" s="6"/>
    </row>
    <row r="191" customFormat="false" ht="18" hidden="false" customHeight="true" outlineLevel="0" collapsed="false">
      <c r="A191" s="6" t="s">
        <v>159</v>
      </c>
      <c r="B191" s="6" t="s">
        <v>481</v>
      </c>
      <c r="C191" s="7" t="n">
        <v>5</v>
      </c>
      <c r="D191" s="6" t="s">
        <v>486</v>
      </c>
      <c r="E191" s="9" t="s">
        <v>199</v>
      </c>
      <c r="F191" s="6" t="s">
        <v>233</v>
      </c>
      <c r="G191" s="6" t="s">
        <v>270</v>
      </c>
      <c r="H191" s="6" t="s">
        <v>285</v>
      </c>
      <c r="I191" s="6" t="s">
        <v>195</v>
      </c>
      <c r="J191" s="6" t="s">
        <v>102</v>
      </c>
      <c r="K191" s="6" t="s">
        <v>21</v>
      </c>
      <c r="L191" s="6" t="s">
        <v>197</v>
      </c>
      <c r="M191" s="6"/>
    </row>
    <row r="192" customFormat="false" ht="18" hidden="false" customHeight="true" outlineLevel="0" collapsed="false">
      <c r="A192" s="6" t="s">
        <v>159</v>
      </c>
      <c r="B192" s="6" t="s">
        <v>481</v>
      </c>
      <c r="C192" s="7" t="n">
        <v>6</v>
      </c>
      <c r="D192" s="6" t="s">
        <v>487</v>
      </c>
      <c r="E192" s="9" t="s">
        <v>199</v>
      </c>
      <c r="F192" s="6" t="s">
        <v>205</v>
      </c>
      <c r="G192" s="6" t="s">
        <v>270</v>
      </c>
      <c r="H192" s="6" t="s">
        <v>194</v>
      </c>
      <c r="I192" s="6" t="s">
        <v>195</v>
      </c>
      <c r="J192" s="6" t="s">
        <v>203</v>
      </c>
      <c r="K192" s="6" t="s">
        <v>21</v>
      </c>
      <c r="L192" s="6" t="s">
        <v>197</v>
      </c>
      <c r="M192" s="6"/>
    </row>
    <row r="193" customFormat="false" ht="18" hidden="false" customHeight="true" outlineLevel="0" collapsed="false">
      <c r="A193" s="6" t="s">
        <v>159</v>
      </c>
      <c r="B193" s="6" t="s">
        <v>481</v>
      </c>
      <c r="C193" s="7" t="n">
        <v>7</v>
      </c>
      <c r="D193" s="6" t="s">
        <v>488</v>
      </c>
      <c r="E193" s="9" t="s">
        <v>199</v>
      </c>
      <c r="F193" s="6" t="s">
        <v>205</v>
      </c>
      <c r="G193" s="6" t="s">
        <v>270</v>
      </c>
      <c r="H193" s="6" t="s">
        <v>194</v>
      </c>
      <c r="I193" s="6" t="s">
        <v>195</v>
      </c>
      <c r="J193" s="6" t="s">
        <v>52</v>
      </c>
      <c r="K193" s="6" t="s">
        <v>21</v>
      </c>
      <c r="L193" s="6" t="s">
        <v>197</v>
      </c>
      <c r="M193" s="6"/>
    </row>
    <row r="194" customFormat="false" ht="30" hidden="false" customHeight="true" outlineLevel="0" collapsed="false">
      <c r="A194" s="6" t="s">
        <v>159</v>
      </c>
      <c r="B194" s="6" t="s">
        <v>481</v>
      </c>
      <c r="C194" s="7" t="n">
        <v>8</v>
      </c>
      <c r="D194" s="6" t="s">
        <v>489</v>
      </c>
      <c r="E194" s="9" t="s">
        <v>199</v>
      </c>
      <c r="F194" s="6" t="s">
        <v>233</v>
      </c>
      <c r="G194" s="6" t="s">
        <v>270</v>
      </c>
      <c r="H194" s="6" t="s">
        <v>285</v>
      </c>
      <c r="I194" s="6" t="s">
        <v>195</v>
      </c>
      <c r="J194" s="6" t="s">
        <v>213</v>
      </c>
      <c r="K194" s="6" t="s">
        <v>21</v>
      </c>
      <c r="L194" s="11" t="s">
        <v>259</v>
      </c>
      <c r="M194" s="6" t="s">
        <v>490</v>
      </c>
    </row>
    <row r="195" customFormat="false" ht="30" hidden="false" customHeight="true" outlineLevel="0" collapsed="false">
      <c r="A195" s="6" t="s">
        <v>159</v>
      </c>
      <c r="B195" s="6" t="s">
        <v>481</v>
      </c>
      <c r="C195" s="7" t="n">
        <v>9</v>
      </c>
      <c r="D195" s="6" t="s">
        <v>491</v>
      </c>
      <c r="E195" s="9" t="s">
        <v>199</v>
      </c>
      <c r="F195" s="6" t="s">
        <v>200</v>
      </c>
      <c r="G195" s="6" t="s">
        <v>270</v>
      </c>
      <c r="H195" s="6" t="s">
        <v>194</v>
      </c>
      <c r="I195" s="6" t="s">
        <v>195</v>
      </c>
      <c r="J195" s="6" t="s">
        <v>70</v>
      </c>
      <c r="K195" s="6" t="s">
        <v>21</v>
      </c>
      <c r="L195" s="11" t="s">
        <v>259</v>
      </c>
      <c r="M195" s="6" t="s">
        <v>492</v>
      </c>
    </row>
    <row r="196" customFormat="false" ht="18" hidden="false" customHeight="true" outlineLevel="0" collapsed="false">
      <c r="A196" s="6" t="s">
        <v>159</v>
      </c>
      <c r="B196" s="6" t="s">
        <v>493</v>
      </c>
      <c r="C196" s="7" t="n">
        <v>1</v>
      </c>
      <c r="D196" s="6" t="s">
        <v>494</v>
      </c>
      <c r="E196" s="6" t="s">
        <v>191</v>
      </c>
      <c r="F196" s="6" t="s">
        <v>192</v>
      </c>
      <c r="G196" s="6" t="s">
        <v>217</v>
      </c>
      <c r="H196" s="6" t="s">
        <v>194</v>
      </c>
      <c r="I196" s="6" t="s">
        <v>195</v>
      </c>
      <c r="J196" s="6" t="s">
        <v>85</v>
      </c>
      <c r="K196" s="6" t="s">
        <v>21</v>
      </c>
      <c r="L196" s="6" t="s">
        <v>197</v>
      </c>
      <c r="M196" s="6"/>
    </row>
    <row r="197" customFormat="false" ht="18" hidden="false" customHeight="true" outlineLevel="0" collapsed="false">
      <c r="A197" s="6" t="s">
        <v>159</v>
      </c>
      <c r="B197" s="6" t="s">
        <v>493</v>
      </c>
      <c r="C197" s="7" t="n">
        <v>3</v>
      </c>
      <c r="D197" s="6" t="s">
        <v>495</v>
      </c>
      <c r="E197" s="6" t="s">
        <v>202</v>
      </c>
      <c r="F197" s="6" t="s">
        <v>200</v>
      </c>
      <c r="G197" s="6" t="s">
        <v>217</v>
      </c>
      <c r="H197" s="6" t="s">
        <v>194</v>
      </c>
      <c r="I197" s="6" t="s">
        <v>195</v>
      </c>
      <c r="J197" s="6" t="s">
        <v>85</v>
      </c>
      <c r="K197" s="6" t="s">
        <v>21</v>
      </c>
      <c r="L197" s="6" t="s">
        <v>197</v>
      </c>
      <c r="M197" s="6"/>
    </row>
    <row r="198" customFormat="false" ht="18" hidden="false" customHeight="true" outlineLevel="0" collapsed="false">
      <c r="A198" s="6" t="s">
        <v>159</v>
      </c>
      <c r="B198" s="6" t="s">
        <v>493</v>
      </c>
      <c r="C198" s="7" t="n">
        <v>4</v>
      </c>
      <c r="D198" s="6" t="s">
        <v>496</v>
      </c>
      <c r="E198" s="9" t="s">
        <v>199</v>
      </c>
      <c r="F198" s="6" t="s">
        <v>200</v>
      </c>
      <c r="G198" s="6" t="s">
        <v>217</v>
      </c>
      <c r="H198" s="6" t="s">
        <v>194</v>
      </c>
      <c r="I198" s="6" t="s">
        <v>195</v>
      </c>
      <c r="J198" s="6" t="s">
        <v>85</v>
      </c>
      <c r="K198" s="6" t="s">
        <v>21</v>
      </c>
      <c r="L198" s="6" t="s">
        <v>197</v>
      </c>
      <c r="M198" s="6"/>
    </row>
    <row r="199" customFormat="false" ht="18" hidden="false" customHeight="true" outlineLevel="0" collapsed="false">
      <c r="A199" s="6" t="s">
        <v>159</v>
      </c>
      <c r="B199" s="6" t="s">
        <v>493</v>
      </c>
      <c r="C199" s="7" t="n">
        <v>5</v>
      </c>
      <c r="D199" s="6" t="s">
        <v>497</v>
      </c>
      <c r="E199" s="9" t="s">
        <v>199</v>
      </c>
      <c r="F199" s="6" t="s">
        <v>205</v>
      </c>
      <c r="G199" s="6" t="s">
        <v>217</v>
      </c>
      <c r="H199" s="6" t="s">
        <v>194</v>
      </c>
      <c r="I199" s="6" t="s">
        <v>195</v>
      </c>
      <c r="J199" s="6" t="s">
        <v>102</v>
      </c>
      <c r="K199" s="6" t="s">
        <v>21</v>
      </c>
      <c r="L199" s="6" t="s">
        <v>197</v>
      </c>
      <c r="M199" s="6"/>
    </row>
    <row r="200" customFormat="false" ht="18" hidden="false" customHeight="true" outlineLevel="0" collapsed="false">
      <c r="A200" s="6" t="s">
        <v>159</v>
      </c>
      <c r="B200" s="6" t="s">
        <v>493</v>
      </c>
      <c r="C200" s="7" t="n">
        <v>6</v>
      </c>
      <c r="D200" s="6" t="s">
        <v>498</v>
      </c>
      <c r="E200" s="9" t="s">
        <v>199</v>
      </c>
      <c r="F200" s="6" t="s">
        <v>200</v>
      </c>
      <c r="G200" s="6" t="s">
        <v>217</v>
      </c>
      <c r="H200" s="6" t="s">
        <v>194</v>
      </c>
      <c r="I200" s="6" t="s">
        <v>195</v>
      </c>
      <c r="J200" s="6" t="s">
        <v>85</v>
      </c>
      <c r="K200" s="6" t="s">
        <v>21</v>
      </c>
      <c r="L200" s="6" t="s">
        <v>197</v>
      </c>
      <c r="M200" s="6"/>
    </row>
    <row r="201" customFormat="false" ht="18" hidden="false" customHeight="true" outlineLevel="0" collapsed="false">
      <c r="A201" s="6" t="s">
        <v>159</v>
      </c>
      <c r="B201" s="6" t="s">
        <v>493</v>
      </c>
      <c r="C201" s="7" t="n">
        <v>7</v>
      </c>
      <c r="D201" s="6" t="s">
        <v>499</v>
      </c>
      <c r="E201" s="9" t="s">
        <v>199</v>
      </c>
      <c r="F201" s="6" t="s">
        <v>299</v>
      </c>
      <c r="G201" s="6" t="s">
        <v>347</v>
      </c>
      <c r="H201" s="6" t="s">
        <v>348</v>
      </c>
      <c r="I201" s="6" t="s">
        <v>195</v>
      </c>
      <c r="J201" s="6" t="s">
        <v>85</v>
      </c>
      <c r="K201" s="6" t="s">
        <v>21</v>
      </c>
      <c r="L201" s="6" t="s">
        <v>197</v>
      </c>
      <c r="M201" s="6"/>
    </row>
    <row r="202" customFormat="false" ht="18" hidden="false" customHeight="true" outlineLevel="0" collapsed="false">
      <c r="A202" s="6" t="s">
        <v>159</v>
      </c>
      <c r="B202" s="6" t="s">
        <v>493</v>
      </c>
      <c r="C202" s="7" t="n">
        <v>8</v>
      </c>
      <c r="D202" s="6" t="s">
        <v>500</v>
      </c>
      <c r="E202" s="9" t="s">
        <v>199</v>
      </c>
      <c r="F202" s="6" t="s">
        <v>212</v>
      </c>
      <c r="G202" s="6" t="s">
        <v>217</v>
      </c>
      <c r="H202" s="6" t="s">
        <v>194</v>
      </c>
      <c r="I202" s="6" t="s">
        <v>195</v>
      </c>
      <c r="J202" s="6" t="s">
        <v>85</v>
      </c>
      <c r="K202" s="6" t="s">
        <v>21</v>
      </c>
      <c r="L202" s="6" t="s">
        <v>197</v>
      </c>
      <c r="M202" s="6"/>
    </row>
    <row r="203" customFormat="false" ht="18" hidden="false" customHeight="true" outlineLevel="0" collapsed="false">
      <c r="A203" s="6" t="s">
        <v>159</v>
      </c>
      <c r="B203" s="6" t="s">
        <v>501</v>
      </c>
      <c r="C203" s="7" t="n">
        <v>1</v>
      </c>
      <c r="D203" s="6" t="s">
        <v>502</v>
      </c>
      <c r="E203" s="6" t="s">
        <v>191</v>
      </c>
      <c r="F203" s="6" t="s">
        <v>192</v>
      </c>
      <c r="G203" s="6" t="s">
        <v>436</v>
      </c>
      <c r="H203" s="6" t="s">
        <v>437</v>
      </c>
      <c r="I203" s="6" t="s">
        <v>218</v>
      </c>
      <c r="J203" s="6" t="s">
        <v>130</v>
      </c>
      <c r="K203" s="6" t="s">
        <v>21</v>
      </c>
      <c r="L203" s="6" t="s">
        <v>197</v>
      </c>
      <c r="M203" s="6"/>
    </row>
    <row r="204" customFormat="false" ht="18" hidden="false" customHeight="true" outlineLevel="0" collapsed="false">
      <c r="A204" s="6" t="s">
        <v>159</v>
      </c>
      <c r="B204" s="6" t="s">
        <v>501</v>
      </c>
      <c r="C204" s="7" t="n">
        <v>3</v>
      </c>
      <c r="D204" s="6" t="s">
        <v>503</v>
      </c>
      <c r="E204" s="9" t="s">
        <v>199</v>
      </c>
      <c r="F204" s="6" t="s">
        <v>200</v>
      </c>
      <c r="G204" s="6" t="s">
        <v>436</v>
      </c>
      <c r="H204" s="6" t="s">
        <v>437</v>
      </c>
      <c r="I204" s="6" t="s">
        <v>218</v>
      </c>
      <c r="J204" s="6" t="s">
        <v>38</v>
      </c>
      <c r="K204" s="6" t="s">
        <v>21</v>
      </c>
      <c r="L204" s="6" t="s">
        <v>197</v>
      </c>
      <c r="M204" s="6"/>
    </row>
    <row r="205" customFormat="false" ht="18" hidden="false" customHeight="true" outlineLevel="0" collapsed="false">
      <c r="A205" s="6" t="s">
        <v>159</v>
      </c>
      <c r="B205" s="6" t="s">
        <v>501</v>
      </c>
      <c r="C205" s="7" t="n">
        <v>4</v>
      </c>
      <c r="D205" s="6" t="s">
        <v>504</v>
      </c>
      <c r="E205" s="9" t="s">
        <v>199</v>
      </c>
      <c r="F205" s="6" t="s">
        <v>205</v>
      </c>
      <c r="G205" s="6" t="s">
        <v>436</v>
      </c>
      <c r="H205" s="6" t="s">
        <v>437</v>
      </c>
      <c r="I205" s="6" t="s">
        <v>218</v>
      </c>
      <c r="J205" s="6" t="s">
        <v>52</v>
      </c>
      <c r="K205" s="6" t="s">
        <v>21</v>
      </c>
      <c r="L205" s="6" t="s">
        <v>197</v>
      </c>
      <c r="M205" s="6"/>
    </row>
    <row r="206" customFormat="false" ht="18" hidden="false" customHeight="true" outlineLevel="0" collapsed="false">
      <c r="A206" s="6" t="s">
        <v>159</v>
      </c>
      <c r="B206" s="6" t="s">
        <v>501</v>
      </c>
      <c r="C206" s="7" t="n">
        <v>5</v>
      </c>
      <c r="D206" s="6" t="s">
        <v>505</v>
      </c>
      <c r="E206" s="9" t="s">
        <v>199</v>
      </c>
      <c r="F206" s="6" t="s">
        <v>205</v>
      </c>
      <c r="G206" s="6" t="s">
        <v>436</v>
      </c>
      <c r="H206" s="6" t="s">
        <v>437</v>
      </c>
      <c r="I206" s="6" t="s">
        <v>218</v>
      </c>
      <c r="J206" s="6" t="s">
        <v>52</v>
      </c>
      <c r="K206" s="6" t="s">
        <v>21</v>
      </c>
      <c r="L206" s="6" t="s">
        <v>197</v>
      </c>
      <c r="M206" s="6"/>
    </row>
    <row r="207" customFormat="false" ht="18" hidden="false" customHeight="true" outlineLevel="0" collapsed="false">
      <c r="A207" s="6" t="s">
        <v>159</v>
      </c>
      <c r="B207" s="6" t="s">
        <v>501</v>
      </c>
      <c r="C207" s="7" t="n">
        <v>6</v>
      </c>
      <c r="D207" s="6" t="s">
        <v>506</v>
      </c>
      <c r="E207" s="6" t="s">
        <v>239</v>
      </c>
      <c r="F207" s="6" t="s">
        <v>365</v>
      </c>
      <c r="G207" s="6" t="s">
        <v>240</v>
      </c>
      <c r="H207" s="9" t="s">
        <v>241</v>
      </c>
      <c r="I207" s="6" t="s">
        <v>218</v>
      </c>
      <c r="J207" s="6" t="s">
        <v>85</v>
      </c>
      <c r="K207" s="6" t="s">
        <v>21</v>
      </c>
      <c r="L207" s="6" t="s">
        <v>243</v>
      </c>
      <c r="M207" s="6"/>
    </row>
    <row r="208" customFormat="false" ht="18" hidden="false" customHeight="true" outlineLevel="0" collapsed="false">
      <c r="A208" s="6" t="s">
        <v>159</v>
      </c>
      <c r="B208" s="6" t="s">
        <v>501</v>
      </c>
      <c r="C208" s="7" t="n">
        <v>7</v>
      </c>
      <c r="D208" s="6" t="s">
        <v>507</v>
      </c>
      <c r="E208" s="9" t="s">
        <v>199</v>
      </c>
      <c r="F208" s="6" t="s">
        <v>205</v>
      </c>
      <c r="G208" s="6" t="s">
        <v>436</v>
      </c>
      <c r="H208" s="6" t="s">
        <v>437</v>
      </c>
      <c r="I208" s="6" t="s">
        <v>218</v>
      </c>
      <c r="J208" s="6" t="s">
        <v>52</v>
      </c>
      <c r="K208" s="6" t="s">
        <v>21</v>
      </c>
      <c r="L208" s="6" t="s">
        <v>197</v>
      </c>
      <c r="M208" s="6"/>
    </row>
    <row r="209" customFormat="false" ht="18" hidden="false" customHeight="true" outlineLevel="0" collapsed="false">
      <c r="A209" s="6" t="s">
        <v>159</v>
      </c>
      <c r="B209" s="6" t="s">
        <v>501</v>
      </c>
      <c r="C209" s="7" t="n">
        <v>9</v>
      </c>
      <c r="D209" s="6" t="s">
        <v>508</v>
      </c>
      <c r="E209" s="6" t="s">
        <v>239</v>
      </c>
      <c r="F209" s="6" t="s">
        <v>212</v>
      </c>
      <c r="G209" s="6" t="s">
        <v>240</v>
      </c>
      <c r="H209" s="9" t="s">
        <v>241</v>
      </c>
      <c r="I209" s="6" t="s">
        <v>218</v>
      </c>
      <c r="J209" s="6" t="s">
        <v>52</v>
      </c>
      <c r="K209" s="6" t="s">
        <v>21</v>
      </c>
      <c r="L209" s="6" t="s">
        <v>243</v>
      </c>
      <c r="M209" s="6"/>
    </row>
    <row r="210" customFormat="false" ht="18" hidden="false" customHeight="true" outlineLevel="0" collapsed="false">
      <c r="A210" s="6" t="s">
        <v>159</v>
      </c>
      <c r="B210" s="6" t="s">
        <v>509</v>
      </c>
      <c r="C210" s="7" t="n">
        <v>1</v>
      </c>
      <c r="D210" s="6" t="s">
        <v>510</v>
      </c>
      <c r="E210" s="6" t="s">
        <v>191</v>
      </c>
      <c r="F210" s="6" t="s">
        <v>192</v>
      </c>
      <c r="G210" s="6" t="s">
        <v>270</v>
      </c>
      <c r="H210" s="6" t="s">
        <v>194</v>
      </c>
      <c r="I210" s="6" t="s">
        <v>195</v>
      </c>
      <c r="J210" s="6" t="s">
        <v>102</v>
      </c>
      <c r="K210" s="6" t="s">
        <v>21</v>
      </c>
      <c r="L210" s="6" t="s">
        <v>197</v>
      </c>
      <c r="M210" s="6"/>
    </row>
    <row r="211" customFormat="false" ht="18" hidden="false" customHeight="true" outlineLevel="0" collapsed="false">
      <c r="A211" s="6" t="s">
        <v>159</v>
      </c>
      <c r="B211" s="6" t="s">
        <v>509</v>
      </c>
      <c r="C211" s="7" t="n">
        <v>2</v>
      </c>
      <c r="D211" s="6" t="s">
        <v>511</v>
      </c>
      <c r="E211" s="9" t="s">
        <v>199</v>
      </c>
      <c r="F211" s="6" t="s">
        <v>233</v>
      </c>
      <c r="G211" s="6" t="s">
        <v>270</v>
      </c>
      <c r="H211" s="6" t="s">
        <v>285</v>
      </c>
      <c r="I211" s="6" t="s">
        <v>195</v>
      </c>
      <c r="J211" s="6" t="s">
        <v>85</v>
      </c>
      <c r="K211" s="6" t="s">
        <v>21</v>
      </c>
      <c r="L211" s="6" t="s">
        <v>197</v>
      </c>
      <c r="M211" s="6"/>
    </row>
    <row r="212" customFormat="false" ht="18" hidden="false" customHeight="true" outlineLevel="0" collapsed="false">
      <c r="A212" s="6" t="s">
        <v>159</v>
      </c>
      <c r="B212" s="6" t="s">
        <v>509</v>
      </c>
      <c r="C212" s="7" t="n">
        <v>2</v>
      </c>
      <c r="D212" s="6" t="s">
        <v>512</v>
      </c>
      <c r="E212" s="6" t="s">
        <v>202</v>
      </c>
      <c r="F212" s="6" t="s">
        <v>200</v>
      </c>
      <c r="G212" s="6" t="s">
        <v>270</v>
      </c>
      <c r="H212" s="6" t="s">
        <v>194</v>
      </c>
      <c r="I212" s="6" t="s">
        <v>195</v>
      </c>
      <c r="J212" s="6" t="s">
        <v>102</v>
      </c>
      <c r="K212" s="6" t="s">
        <v>21</v>
      </c>
      <c r="L212" s="6" t="s">
        <v>197</v>
      </c>
      <c r="M212" s="6"/>
    </row>
    <row r="213" customFormat="false" ht="18" hidden="false" customHeight="true" outlineLevel="0" collapsed="false">
      <c r="A213" s="6" t="s">
        <v>159</v>
      </c>
      <c r="B213" s="6" t="s">
        <v>509</v>
      </c>
      <c r="C213" s="7" t="n">
        <v>3</v>
      </c>
      <c r="D213" s="6" t="s">
        <v>513</v>
      </c>
      <c r="E213" s="6" t="s">
        <v>202</v>
      </c>
      <c r="F213" s="6" t="s">
        <v>200</v>
      </c>
      <c r="G213" s="6" t="s">
        <v>270</v>
      </c>
      <c r="H213" s="6" t="s">
        <v>194</v>
      </c>
      <c r="I213" s="6" t="s">
        <v>195</v>
      </c>
      <c r="J213" s="6" t="s">
        <v>102</v>
      </c>
      <c r="K213" s="6" t="s">
        <v>21</v>
      </c>
      <c r="L213" s="6" t="s">
        <v>197</v>
      </c>
      <c r="M213" s="6"/>
    </row>
    <row r="214" customFormat="false" ht="18" hidden="false" customHeight="true" outlineLevel="0" collapsed="false">
      <c r="A214" s="6" t="s">
        <v>159</v>
      </c>
      <c r="B214" s="6" t="s">
        <v>509</v>
      </c>
      <c r="C214" s="7" t="n">
        <v>5</v>
      </c>
      <c r="D214" s="6" t="s">
        <v>514</v>
      </c>
      <c r="E214" s="9" t="s">
        <v>199</v>
      </c>
      <c r="F214" s="6" t="s">
        <v>205</v>
      </c>
      <c r="G214" s="6" t="s">
        <v>270</v>
      </c>
      <c r="H214" s="6" t="s">
        <v>194</v>
      </c>
      <c r="I214" s="6" t="s">
        <v>195</v>
      </c>
      <c r="J214" s="6" t="s">
        <v>324</v>
      </c>
      <c r="K214" s="6" t="s">
        <v>21</v>
      </c>
      <c r="L214" s="6" t="s">
        <v>197</v>
      </c>
      <c r="M214" s="6"/>
    </row>
    <row r="215" customFormat="false" ht="18" hidden="false" customHeight="true" outlineLevel="0" collapsed="false">
      <c r="A215" s="6" t="s">
        <v>159</v>
      </c>
      <c r="B215" s="6" t="s">
        <v>509</v>
      </c>
      <c r="C215" s="7" t="n">
        <v>7</v>
      </c>
      <c r="D215" s="6" t="s">
        <v>515</v>
      </c>
      <c r="E215" s="9" t="s">
        <v>199</v>
      </c>
      <c r="F215" s="6" t="s">
        <v>200</v>
      </c>
      <c r="G215" s="6" t="s">
        <v>270</v>
      </c>
      <c r="H215" s="6" t="s">
        <v>194</v>
      </c>
      <c r="I215" s="6" t="s">
        <v>195</v>
      </c>
      <c r="J215" s="6" t="s">
        <v>70</v>
      </c>
      <c r="K215" s="6" t="s">
        <v>21</v>
      </c>
      <c r="L215" s="6" t="s">
        <v>197</v>
      </c>
      <c r="M215" s="6"/>
    </row>
  </sheetData>
  <autoFilter ref="A1:M215"/>
  <printOptions headings="false" gridLines="false" gridLinesSet="true" horizontalCentered="false" verticalCentered="false"/>
  <pageMargins left="0.25" right="0.25" top="0.4" bottom="0.4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&amp;CStar Cluster - provisional candidate matrix - no calibration&amp;RPage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6" min="6" style="0" width="23"/>
    <col collapsed="false" customWidth="true" hidden="false" outlineLevel="0" max="7" min="7" style="0" width="16"/>
    <col collapsed="false" customWidth="true" hidden="false" outlineLevel="0" max="8" min="8" style="0" width="32"/>
    <col collapsed="false" customWidth="true" hidden="false" outlineLevel="0" max="9" min="9" style="0" width="58"/>
    <col collapsed="false" customWidth="true" hidden="false" outlineLevel="0" max="10" min="10" style="0" width="65"/>
    <col collapsed="false" customWidth="true" hidden="false" outlineLevel="0" max="11" min="11" style="0" width="34"/>
  </cols>
  <sheetData>
    <row r="1" customFormat="false" ht="31.5" hidden="false" customHeight="true" outlineLevel="0" collapsed="false">
      <c r="A1" s="5" t="s">
        <v>516</v>
      </c>
      <c r="B1" s="5" t="s">
        <v>517</v>
      </c>
      <c r="C1" s="5" t="s">
        <v>518</v>
      </c>
      <c r="D1" s="5" t="s">
        <v>519</v>
      </c>
      <c r="E1" s="5" t="s">
        <v>520</v>
      </c>
      <c r="F1" s="5" t="s">
        <v>521</v>
      </c>
      <c r="G1" s="5" t="s">
        <v>522</v>
      </c>
      <c r="H1" s="5" t="s">
        <v>523</v>
      </c>
      <c r="I1" s="5" t="s">
        <v>524</v>
      </c>
      <c r="J1" s="5" t="s">
        <v>525</v>
      </c>
      <c r="K1" s="5" t="s">
        <v>180</v>
      </c>
    </row>
    <row r="2" customFormat="false" ht="30" hidden="false" customHeight="true" outlineLevel="0" collapsed="false">
      <c r="A2" s="6" t="s">
        <v>526</v>
      </c>
      <c r="B2" s="6" t="s">
        <v>527</v>
      </c>
      <c r="C2" s="6" t="s">
        <v>38</v>
      </c>
      <c r="D2" s="6" t="s">
        <v>528</v>
      </c>
      <c r="E2" s="7" t="n">
        <v>1</v>
      </c>
      <c r="F2" s="6" t="s">
        <v>224</v>
      </c>
      <c r="G2" s="7" t="n">
        <v>1</v>
      </c>
      <c r="H2" s="6" t="s">
        <v>529</v>
      </c>
      <c r="I2" s="6" t="s">
        <v>530</v>
      </c>
      <c r="J2" s="6" t="s">
        <v>531</v>
      </c>
      <c r="K2" s="6" t="s">
        <v>532</v>
      </c>
    </row>
    <row r="3" customFormat="false" ht="45" hidden="false" customHeight="true" outlineLevel="0" collapsed="false">
      <c r="A3" s="6" t="s">
        <v>533</v>
      </c>
      <c r="B3" s="6" t="s">
        <v>534</v>
      </c>
      <c r="C3" s="6" t="s">
        <v>102</v>
      </c>
      <c r="D3" s="6" t="s">
        <v>535</v>
      </c>
      <c r="E3" s="7" t="n">
        <v>1</v>
      </c>
      <c r="F3" s="6" t="s">
        <v>224</v>
      </c>
      <c r="G3" s="9" t="s">
        <v>536</v>
      </c>
      <c r="H3" s="6" t="s">
        <v>537</v>
      </c>
      <c r="I3" s="6" t="s">
        <v>538</v>
      </c>
      <c r="J3" s="9" t="s">
        <v>539</v>
      </c>
      <c r="K3" s="9" t="s">
        <v>540</v>
      </c>
    </row>
    <row r="4" customFormat="false" ht="30" hidden="false" customHeight="true" outlineLevel="0" collapsed="false">
      <c r="A4" s="6" t="s">
        <v>541</v>
      </c>
      <c r="B4" s="6" t="s">
        <v>542</v>
      </c>
      <c r="C4" s="6" t="s">
        <v>102</v>
      </c>
      <c r="D4" s="6" t="s">
        <v>543</v>
      </c>
      <c r="E4" s="7" t="n">
        <v>1</v>
      </c>
      <c r="F4" s="6" t="s">
        <v>224</v>
      </c>
      <c r="G4" s="9" t="s">
        <v>536</v>
      </c>
      <c r="H4" s="6" t="s">
        <v>544</v>
      </c>
      <c r="I4" s="6" t="s">
        <v>545</v>
      </c>
      <c r="J4" s="6" t="s">
        <v>546</v>
      </c>
      <c r="K4" s="9" t="s">
        <v>540</v>
      </c>
    </row>
    <row r="5" customFormat="false" ht="30" hidden="false" customHeight="true" outlineLevel="0" collapsed="false">
      <c r="A5" s="6" t="s">
        <v>547</v>
      </c>
      <c r="B5" s="6" t="s">
        <v>548</v>
      </c>
      <c r="C5" s="6" t="s">
        <v>144</v>
      </c>
      <c r="D5" s="6" t="s">
        <v>549</v>
      </c>
      <c r="E5" s="7" t="n">
        <v>1</v>
      </c>
      <c r="F5" s="6" t="s">
        <v>550</v>
      </c>
      <c r="G5" s="6" t="s">
        <v>551</v>
      </c>
      <c r="H5" s="6" t="s">
        <v>552</v>
      </c>
      <c r="I5" s="6" t="s">
        <v>553</v>
      </c>
      <c r="J5" s="6" t="s">
        <v>554</v>
      </c>
      <c r="K5" s="6" t="s">
        <v>555</v>
      </c>
    </row>
    <row r="6" customFormat="false" ht="18" hidden="false" customHeight="true" outlineLevel="0" collapsed="false">
      <c r="A6" s="6" t="s">
        <v>556</v>
      </c>
      <c r="B6" s="6" t="s">
        <v>557</v>
      </c>
      <c r="C6" s="6" t="s">
        <v>18</v>
      </c>
      <c r="D6" s="6" t="s">
        <v>558</v>
      </c>
      <c r="E6" s="7" t="n">
        <v>1</v>
      </c>
      <c r="F6" s="6" t="s">
        <v>224</v>
      </c>
      <c r="G6" s="9" t="s">
        <v>536</v>
      </c>
      <c r="H6" s="6" t="s">
        <v>559</v>
      </c>
      <c r="I6" s="6" t="s">
        <v>560</v>
      </c>
      <c r="J6" s="6" t="s">
        <v>561</v>
      </c>
      <c r="K6" s="9" t="s">
        <v>540</v>
      </c>
    </row>
    <row r="7" customFormat="false" ht="30" hidden="false" customHeight="true" outlineLevel="0" collapsed="false">
      <c r="A7" s="6" t="s">
        <v>562</v>
      </c>
      <c r="B7" s="6" t="s">
        <v>563</v>
      </c>
      <c r="C7" s="6" t="s">
        <v>18</v>
      </c>
      <c r="D7" s="6" t="s">
        <v>543</v>
      </c>
      <c r="E7" s="7" t="n">
        <v>1</v>
      </c>
      <c r="F7" s="6" t="s">
        <v>224</v>
      </c>
      <c r="G7" s="9" t="s">
        <v>536</v>
      </c>
      <c r="H7" s="6" t="s">
        <v>564</v>
      </c>
      <c r="I7" s="6" t="s">
        <v>565</v>
      </c>
      <c r="J7" s="6" t="s">
        <v>566</v>
      </c>
      <c r="K7" s="9" t="s">
        <v>540</v>
      </c>
    </row>
    <row r="8" customFormat="false" ht="30" hidden="false" customHeight="true" outlineLevel="0" collapsed="false">
      <c r="A8" s="6" t="s">
        <v>567</v>
      </c>
      <c r="B8" s="6" t="s">
        <v>568</v>
      </c>
      <c r="C8" s="6" t="s">
        <v>18</v>
      </c>
      <c r="D8" s="6" t="s">
        <v>569</v>
      </c>
      <c r="E8" s="7" t="n">
        <v>1</v>
      </c>
      <c r="F8" s="6" t="s">
        <v>224</v>
      </c>
      <c r="G8" s="9" t="s">
        <v>536</v>
      </c>
      <c r="H8" s="6" t="s">
        <v>570</v>
      </c>
      <c r="I8" s="6" t="s">
        <v>571</v>
      </c>
      <c r="J8" s="6" t="s">
        <v>572</v>
      </c>
      <c r="K8" s="9" t="s">
        <v>540</v>
      </c>
    </row>
    <row r="9" customFormat="false" ht="30" hidden="false" customHeight="true" outlineLevel="0" collapsed="false">
      <c r="A9" s="6" t="s">
        <v>573</v>
      </c>
      <c r="B9" s="6" t="s">
        <v>574</v>
      </c>
      <c r="C9" s="6" t="s">
        <v>18</v>
      </c>
      <c r="D9" s="6" t="s">
        <v>543</v>
      </c>
      <c r="E9" s="7" t="n">
        <v>1</v>
      </c>
      <c r="F9" s="6" t="s">
        <v>224</v>
      </c>
      <c r="G9" s="9" t="s">
        <v>536</v>
      </c>
      <c r="H9" s="6" t="s">
        <v>575</v>
      </c>
      <c r="I9" s="6" t="s">
        <v>576</v>
      </c>
      <c r="J9" s="9" t="s">
        <v>577</v>
      </c>
      <c r="K9" s="9" t="s">
        <v>540</v>
      </c>
    </row>
    <row r="10" customFormat="false" ht="18" hidden="false" customHeight="true" outlineLevel="0" collapsed="false">
      <c r="A10" s="6" t="s">
        <v>578</v>
      </c>
      <c r="B10" s="6" t="s">
        <v>579</v>
      </c>
      <c r="C10" s="6" t="s">
        <v>159</v>
      </c>
      <c r="D10" s="6" t="s">
        <v>549</v>
      </c>
      <c r="E10" s="7" t="n">
        <v>1</v>
      </c>
      <c r="F10" s="6" t="s">
        <v>550</v>
      </c>
      <c r="G10" s="6" t="s">
        <v>551</v>
      </c>
      <c r="H10" s="6" t="s">
        <v>580</v>
      </c>
      <c r="I10" s="6" t="s">
        <v>581</v>
      </c>
      <c r="J10" s="6" t="s">
        <v>582</v>
      </c>
      <c r="K10" s="6" t="s">
        <v>555</v>
      </c>
    </row>
    <row r="11" customFormat="false" ht="30" hidden="false" customHeight="true" outlineLevel="0" collapsed="false">
      <c r="A11" s="6" t="s">
        <v>583</v>
      </c>
      <c r="B11" s="6" t="s">
        <v>584</v>
      </c>
      <c r="C11" s="6" t="s">
        <v>159</v>
      </c>
      <c r="D11" s="6" t="s">
        <v>543</v>
      </c>
      <c r="E11" s="7" t="n">
        <v>1</v>
      </c>
      <c r="F11" s="6" t="s">
        <v>224</v>
      </c>
      <c r="G11" s="9" t="s">
        <v>536</v>
      </c>
      <c r="H11" s="6" t="s">
        <v>585</v>
      </c>
      <c r="I11" s="6" t="s">
        <v>586</v>
      </c>
      <c r="J11" s="9" t="s">
        <v>587</v>
      </c>
      <c r="K11" s="9" t="s">
        <v>540</v>
      </c>
    </row>
    <row r="12" customFormat="false" ht="30" hidden="false" customHeight="true" outlineLevel="0" collapsed="false">
      <c r="A12" s="6" t="s">
        <v>588</v>
      </c>
      <c r="B12" s="6" t="s">
        <v>589</v>
      </c>
      <c r="C12" s="6" t="s">
        <v>52</v>
      </c>
      <c r="D12" s="6" t="s">
        <v>549</v>
      </c>
      <c r="E12" s="7" t="n">
        <v>1</v>
      </c>
      <c r="F12" s="6" t="s">
        <v>224</v>
      </c>
      <c r="G12" s="9" t="s">
        <v>536</v>
      </c>
      <c r="H12" s="6" t="s">
        <v>590</v>
      </c>
      <c r="I12" s="6" t="s">
        <v>591</v>
      </c>
      <c r="J12" s="6" t="s">
        <v>592</v>
      </c>
      <c r="K12" s="6" t="s">
        <v>593</v>
      </c>
    </row>
    <row r="13" customFormat="false" ht="30" hidden="false" customHeight="true" outlineLevel="0" collapsed="false">
      <c r="A13" s="6" t="s">
        <v>594</v>
      </c>
      <c r="B13" s="6" t="s">
        <v>595</v>
      </c>
      <c r="C13" s="6" t="s">
        <v>52</v>
      </c>
      <c r="D13" s="6" t="s">
        <v>549</v>
      </c>
      <c r="E13" s="7" t="n">
        <v>1</v>
      </c>
      <c r="F13" s="6" t="s">
        <v>224</v>
      </c>
      <c r="G13" s="9" t="s">
        <v>536</v>
      </c>
      <c r="H13" s="6" t="s">
        <v>596</v>
      </c>
      <c r="I13" s="6" t="s">
        <v>597</v>
      </c>
      <c r="J13" s="6" t="s">
        <v>598</v>
      </c>
      <c r="K13" s="6" t="s">
        <v>593</v>
      </c>
    </row>
    <row r="14" customFormat="false" ht="30" hidden="false" customHeight="true" outlineLevel="0" collapsed="false">
      <c r="A14" s="6" t="s">
        <v>599</v>
      </c>
      <c r="B14" s="6" t="s">
        <v>600</v>
      </c>
      <c r="C14" s="6" t="s">
        <v>52</v>
      </c>
      <c r="D14" s="6" t="s">
        <v>549</v>
      </c>
      <c r="E14" s="7" t="n">
        <v>1</v>
      </c>
      <c r="F14" s="6" t="s">
        <v>224</v>
      </c>
      <c r="G14" s="9" t="s">
        <v>536</v>
      </c>
      <c r="H14" s="6" t="s">
        <v>601</v>
      </c>
      <c r="I14" s="6" t="s">
        <v>602</v>
      </c>
      <c r="J14" s="6" t="s">
        <v>603</v>
      </c>
      <c r="K14" s="6" t="s">
        <v>593</v>
      </c>
    </row>
    <row r="15" customFormat="false" ht="30" hidden="false" customHeight="true" outlineLevel="0" collapsed="false">
      <c r="A15" s="6" t="s">
        <v>604</v>
      </c>
      <c r="B15" s="6" t="s">
        <v>605</v>
      </c>
      <c r="C15" s="6" t="s">
        <v>130</v>
      </c>
      <c r="D15" s="6" t="s">
        <v>543</v>
      </c>
      <c r="E15" s="7" t="n">
        <v>1</v>
      </c>
      <c r="F15" s="6" t="s">
        <v>224</v>
      </c>
      <c r="G15" s="9" t="s">
        <v>536</v>
      </c>
      <c r="H15" s="6" t="s">
        <v>606</v>
      </c>
      <c r="I15" s="6" t="s">
        <v>607</v>
      </c>
      <c r="J15" s="6" t="s">
        <v>608</v>
      </c>
      <c r="K15" s="9" t="s">
        <v>540</v>
      </c>
    </row>
    <row r="16" customFormat="false" ht="30" hidden="false" customHeight="true" outlineLevel="0" collapsed="false">
      <c r="A16" s="6" t="s">
        <v>609</v>
      </c>
      <c r="B16" s="6" t="s">
        <v>610</v>
      </c>
      <c r="C16" s="6" t="s">
        <v>130</v>
      </c>
      <c r="D16" s="6" t="s">
        <v>549</v>
      </c>
      <c r="E16" s="7" t="n">
        <v>1</v>
      </c>
      <c r="F16" s="6" t="s">
        <v>550</v>
      </c>
      <c r="G16" s="7" t="n">
        <v>2</v>
      </c>
      <c r="H16" s="6" t="s">
        <v>611</v>
      </c>
      <c r="I16" s="6" t="s">
        <v>612</v>
      </c>
      <c r="J16" s="6" t="s">
        <v>613</v>
      </c>
      <c r="K16" s="6" t="s">
        <v>614</v>
      </c>
    </row>
    <row r="17" customFormat="false" ht="30" hidden="false" customHeight="true" outlineLevel="0" collapsed="false">
      <c r="A17" s="6" t="s">
        <v>615</v>
      </c>
      <c r="B17" s="6" t="s">
        <v>616</v>
      </c>
      <c r="C17" s="6" t="s">
        <v>70</v>
      </c>
      <c r="D17" s="6" t="s">
        <v>558</v>
      </c>
      <c r="E17" s="7" t="n">
        <v>1</v>
      </c>
      <c r="F17" s="6" t="s">
        <v>224</v>
      </c>
      <c r="G17" s="9" t="s">
        <v>536</v>
      </c>
      <c r="H17" s="6" t="s">
        <v>617</v>
      </c>
      <c r="I17" s="6" t="s">
        <v>618</v>
      </c>
      <c r="J17" s="9" t="s">
        <v>619</v>
      </c>
      <c r="K17" s="9" t="s">
        <v>540</v>
      </c>
    </row>
    <row r="18" customFormat="false" ht="30" hidden="false" customHeight="true" outlineLevel="0" collapsed="false">
      <c r="A18" s="6" t="s">
        <v>620</v>
      </c>
      <c r="B18" s="6" t="s">
        <v>621</v>
      </c>
      <c r="C18" s="6" t="s">
        <v>70</v>
      </c>
      <c r="D18" s="6" t="s">
        <v>569</v>
      </c>
      <c r="E18" s="7" t="n">
        <v>1</v>
      </c>
      <c r="F18" s="6" t="s">
        <v>224</v>
      </c>
      <c r="G18" s="9" t="s">
        <v>536</v>
      </c>
      <c r="H18" s="6" t="s">
        <v>622</v>
      </c>
      <c r="I18" s="6" t="s">
        <v>623</v>
      </c>
      <c r="J18" s="6" t="s">
        <v>624</v>
      </c>
      <c r="K18" s="9" t="s">
        <v>540</v>
      </c>
    </row>
    <row r="19" customFormat="false" ht="30" hidden="false" customHeight="true" outlineLevel="0" collapsed="false">
      <c r="A19" s="6" t="s">
        <v>625</v>
      </c>
      <c r="B19" s="6" t="s">
        <v>626</v>
      </c>
      <c r="C19" s="6" t="s">
        <v>116</v>
      </c>
      <c r="D19" s="6" t="s">
        <v>549</v>
      </c>
      <c r="E19" s="7" t="n">
        <v>1</v>
      </c>
      <c r="F19" s="6" t="s">
        <v>224</v>
      </c>
      <c r="G19" s="9" t="s">
        <v>536</v>
      </c>
      <c r="H19" s="6" t="s">
        <v>627</v>
      </c>
      <c r="I19" s="6" t="s">
        <v>628</v>
      </c>
      <c r="J19" s="9" t="s">
        <v>629</v>
      </c>
      <c r="K19" s="6" t="s">
        <v>593</v>
      </c>
    </row>
    <row r="20" customFormat="false" ht="30" hidden="false" customHeight="true" outlineLevel="0" collapsed="false">
      <c r="A20" s="6" t="s">
        <v>630</v>
      </c>
      <c r="B20" s="6" t="s">
        <v>631</v>
      </c>
      <c r="C20" s="6" t="s">
        <v>18</v>
      </c>
      <c r="D20" s="6" t="s">
        <v>632</v>
      </c>
      <c r="E20" s="7" t="n">
        <v>2</v>
      </c>
      <c r="F20" s="6" t="s">
        <v>224</v>
      </c>
      <c r="G20" s="9" t="s">
        <v>536</v>
      </c>
      <c r="H20" s="6" t="s">
        <v>633</v>
      </c>
      <c r="I20" s="6" t="s">
        <v>634</v>
      </c>
      <c r="J20" s="6" t="s">
        <v>635</v>
      </c>
      <c r="K20" s="9" t="s">
        <v>540</v>
      </c>
    </row>
    <row r="21" customFormat="false" ht="30" hidden="false" customHeight="true" outlineLevel="0" collapsed="false">
      <c r="A21" s="6" t="s">
        <v>636</v>
      </c>
      <c r="B21" s="6" t="s">
        <v>637</v>
      </c>
      <c r="C21" s="6" t="s">
        <v>52</v>
      </c>
      <c r="D21" s="6" t="s">
        <v>638</v>
      </c>
      <c r="E21" s="7" t="n">
        <v>2</v>
      </c>
      <c r="F21" s="6" t="s">
        <v>224</v>
      </c>
      <c r="G21" s="9" t="s">
        <v>536</v>
      </c>
      <c r="H21" s="6" t="s">
        <v>639</v>
      </c>
      <c r="I21" s="6" t="s">
        <v>640</v>
      </c>
      <c r="J21" s="6" t="s">
        <v>641</v>
      </c>
      <c r="K21" s="6" t="s">
        <v>593</v>
      </c>
    </row>
    <row r="22" customFormat="false" ht="30" hidden="false" customHeight="true" outlineLevel="0" collapsed="false">
      <c r="A22" s="6" t="s">
        <v>642</v>
      </c>
      <c r="B22" s="6" t="s">
        <v>643</v>
      </c>
      <c r="C22" s="6" t="s">
        <v>52</v>
      </c>
      <c r="D22" s="6" t="s">
        <v>644</v>
      </c>
      <c r="E22" s="7" t="n">
        <v>2</v>
      </c>
      <c r="F22" s="6" t="s">
        <v>224</v>
      </c>
      <c r="G22" s="9" t="s">
        <v>536</v>
      </c>
      <c r="H22" s="6" t="s">
        <v>645</v>
      </c>
      <c r="I22" s="6" t="s">
        <v>646</v>
      </c>
      <c r="J22" s="6" t="s">
        <v>647</v>
      </c>
      <c r="K22" s="9" t="s">
        <v>540</v>
      </c>
    </row>
    <row r="23" customFormat="false" ht="60" hidden="false" customHeight="true" outlineLevel="0" collapsed="false">
      <c r="A23" s="6" t="s">
        <v>648</v>
      </c>
      <c r="B23" s="6" t="s">
        <v>649</v>
      </c>
      <c r="C23" s="6" t="s">
        <v>85</v>
      </c>
      <c r="D23" s="6" t="s">
        <v>650</v>
      </c>
      <c r="E23" s="7" t="n">
        <v>2</v>
      </c>
      <c r="F23" s="6" t="s">
        <v>224</v>
      </c>
      <c r="G23" s="9" t="s">
        <v>536</v>
      </c>
      <c r="H23" s="6" t="s">
        <v>651</v>
      </c>
      <c r="I23" s="6" t="s">
        <v>652</v>
      </c>
      <c r="J23" s="6" t="s">
        <v>653</v>
      </c>
      <c r="K23" s="9" t="s">
        <v>540</v>
      </c>
    </row>
    <row r="24" customFormat="false" ht="30" hidden="false" customHeight="true" outlineLevel="0" collapsed="false">
      <c r="A24" s="6" t="s">
        <v>654</v>
      </c>
      <c r="B24" s="6" t="s">
        <v>655</v>
      </c>
      <c r="C24" s="6" t="s">
        <v>116</v>
      </c>
      <c r="D24" s="6" t="s">
        <v>638</v>
      </c>
      <c r="E24" s="7" t="n">
        <v>2</v>
      </c>
      <c r="F24" s="6" t="s">
        <v>224</v>
      </c>
      <c r="G24" s="9" t="s">
        <v>536</v>
      </c>
      <c r="H24" s="6" t="s">
        <v>656</v>
      </c>
      <c r="I24" s="6" t="s">
        <v>657</v>
      </c>
      <c r="J24" s="6" t="s">
        <v>658</v>
      </c>
      <c r="K24" s="6" t="s">
        <v>593</v>
      </c>
    </row>
    <row r="25" customFormat="false" ht="30" hidden="false" customHeight="true" outlineLevel="0" collapsed="false">
      <c r="A25" s="6" t="s">
        <v>659</v>
      </c>
      <c r="B25" s="6" t="s">
        <v>419</v>
      </c>
      <c r="C25" s="6" t="s">
        <v>116</v>
      </c>
      <c r="D25" s="6" t="s">
        <v>660</v>
      </c>
      <c r="E25" s="7" t="n">
        <v>3</v>
      </c>
      <c r="F25" s="6" t="s">
        <v>224</v>
      </c>
      <c r="G25" s="7" t="n">
        <v>1</v>
      </c>
      <c r="H25" s="6" t="s">
        <v>661</v>
      </c>
      <c r="I25" s="9" t="s">
        <v>662</v>
      </c>
      <c r="J25" s="6" t="s">
        <v>663</v>
      </c>
      <c r="K25" s="9" t="s">
        <v>664</v>
      </c>
    </row>
    <row r="26" customFormat="false" ht="30" hidden="false" customHeight="true" outlineLevel="0" collapsed="false">
      <c r="A26" s="6" t="s">
        <v>665</v>
      </c>
      <c r="B26" s="6" t="s">
        <v>666</v>
      </c>
      <c r="C26" s="6" t="s">
        <v>38</v>
      </c>
      <c r="D26" s="6" t="s">
        <v>667</v>
      </c>
      <c r="E26" s="7" t="n">
        <v>4</v>
      </c>
      <c r="F26" s="6" t="s">
        <v>224</v>
      </c>
      <c r="G26" s="9" t="s">
        <v>536</v>
      </c>
      <c r="H26" s="6" t="s">
        <v>668</v>
      </c>
      <c r="I26" s="6" t="s">
        <v>669</v>
      </c>
      <c r="J26" s="6" t="s">
        <v>670</v>
      </c>
      <c r="K26" s="9" t="s">
        <v>540</v>
      </c>
    </row>
    <row r="27" customFormat="false" ht="30" hidden="false" customHeight="true" outlineLevel="0" collapsed="false">
      <c r="A27" s="6" t="s">
        <v>671</v>
      </c>
      <c r="B27" s="6" t="s">
        <v>672</v>
      </c>
      <c r="C27" s="6" t="s">
        <v>18</v>
      </c>
      <c r="D27" s="6" t="s">
        <v>673</v>
      </c>
      <c r="E27" s="7" t="n">
        <v>4</v>
      </c>
      <c r="F27" s="6" t="s">
        <v>224</v>
      </c>
      <c r="G27" s="9" t="s">
        <v>536</v>
      </c>
      <c r="H27" s="6" t="s">
        <v>674</v>
      </c>
      <c r="I27" s="6" t="s">
        <v>675</v>
      </c>
      <c r="J27" s="6" t="s">
        <v>676</v>
      </c>
      <c r="K27" s="9" t="s">
        <v>540</v>
      </c>
    </row>
    <row r="28" customFormat="false" ht="18" hidden="false" customHeight="true" outlineLevel="0" collapsed="false">
      <c r="A28" s="6" t="s">
        <v>677</v>
      </c>
      <c r="B28" s="6" t="s">
        <v>678</v>
      </c>
      <c r="C28" s="6" t="s">
        <v>52</v>
      </c>
      <c r="D28" s="6" t="s">
        <v>673</v>
      </c>
      <c r="E28" s="7" t="n">
        <v>4</v>
      </c>
      <c r="F28" s="6" t="s">
        <v>224</v>
      </c>
      <c r="G28" s="9" t="s">
        <v>536</v>
      </c>
      <c r="H28" s="6" t="s">
        <v>679</v>
      </c>
      <c r="I28" s="6" t="s">
        <v>680</v>
      </c>
      <c r="J28" s="6" t="s">
        <v>681</v>
      </c>
      <c r="K28" s="9" t="s">
        <v>540</v>
      </c>
    </row>
    <row r="29" customFormat="false" ht="30" hidden="false" customHeight="true" outlineLevel="0" collapsed="false">
      <c r="A29" s="6" t="s">
        <v>682</v>
      </c>
      <c r="B29" s="6" t="s">
        <v>683</v>
      </c>
      <c r="C29" s="6" t="s">
        <v>70</v>
      </c>
      <c r="D29" s="6" t="s">
        <v>667</v>
      </c>
      <c r="E29" s="7" t="n">
        <v>4</v>
      </c>
      <c r="F29" s="6" t="s">
        <v>224</v>
      </c>
      <c r="G29" s="9" t="s">
        <v>536</v>
      </c>
      <c r="H29" s="6" t="s">
        <v>684</v>
      </c>
      <c r="I29" s="6" t="s">
        <v>685</v>
      </c>
      <c r="J29" s="6" t="s">
        <v>686</v>
      </c>
      <c r="K29" s="9" t="s">
        <v>540</v>
      </c>
    </row>
    <row r="30" customFormat="false" ht="30" hidden="false" customHeight="true" outlineLevel="0" collapsed="false">
      <c r="A30" s="6" t="s">
        <v>687</v>
      </c>
      <c r="B30" s="6" t="s">
        <v>688</v>
      </c>
      <c r="C30" s="6" t="s">
        <v>38</v>
      </c>
      <c r="D30" s="6" t="s">
        <v>689</v>
      </c>
      <c r="E30" s="7" t="n">
        <v>5</v>
      </c>
      <c r="F30" s="6" t="s">
        <v>224</v>
      </c>
      <c r="G30" s="9" t="s">
        <v>536</v>
      </c>
      <c r="H30" s="6" t="s">
        <v>661</v>
      </c>
      <c r="I30" s="6" t="s">
        <v>690</v>
      </c>
      <c r="J30" s="6" t="s">
        <v>691</v>
      </c>
      <c r="K30" s="9" t="s">
        <v>540</v>
      </c>
    </row>
    <row r="31" customFormat="false" ht="30" hidden="false" customHeight="true" outlineLevel="0" collapsed="false">
      <c r="A31" s="6" t="s">
        <v>692</v>
      </c>
      <c r="B31" s="6" t="s">
        <v>693</v>
      </c>
      <c r="C31" s="6" t="s">
        <v>18</v>
      </c>
      <c r="D31" s="6" t="s">
        <v>694</v>
      </c>
      <c r="E31" s="7" t="n">
        <v>5</v>
      </c>
      <c r="F31" s="6" t="s">
        <v>224</v>
      </c>
      <c r="G31" s="9" t="s">
        <v>536</v>
      </c>
      <c r="H31" s="6" t="s">
        <v>695</v>
      </c>
      <c r="I31" s="6" t="s">
        <v>696</v>
      </c>
      <c r="J31" s="6" t="s">
        <v>697</v>
      </c>
      <c r="K31" s="9" t="s">
        <v>540</v>
      </c>
    </row>
    <row r="32" customFormat="false" ht="30" hidden="false" customHeight="true" outlineLevel="0" collapsed="false">
      <c r="A32" s="6" t="s">
        <v>698</v>
      </c>
      <c r="B32" s="6" t="s">
        <v>699</v>
      </c>
      <c r="C32" s="6" t="s">
        <v>52</v>
      </c>
      <c r="D32" s="6" t="s">
        <v>694</v>
      </c>
      <c r="E32" s="7" t="n">
        <v>5</v>
      </c>
      <c r="F32" s="6" t="s">
        <v>224</v>
      </c>
      <c r="G32" s="9" t="s">
        <v>536</v>
      </c>
      <c r="H32" s="6" t="s">
        <v>700</v>
      </c>
      <c r="I32" s="6" t="s">
        <v>701</v>
      </c>
      <c r="J32" s="6" t="s">
        <v>702</v>
      </c>
      <c r="K32" s="9" t="s">
        <v>540</v>
      </c>
    </row>
    <row r="33" customFormat="false" ht="45" hidden="false" customHeight="true" outlineLevel="0" collapsed="false">
      <c r="A33" s="6" t="s">
        <v>703</v>
      </c>
      <c r="B33" s="6" t="s">
        <v>704</v>
      </c>
      <c r="C33" s="6" t="s">
        <v>116</v>
      </c>
      <c r="D33" s="6" t="s">
        <v>689</v>
      </c>
      <c r="E33" s="7" t="n">
        <v>5</v>
      </c>
      <c r="F33" s="6" t="s">
        <v>224</v>
      </c>
      <c r="G33" s="9" t="s">
        <v>536</v>
      </c>
      <c r="H33" s="6" t="s">
        <v>705</v>
      </c>
      <c r="I33" s="6" t="s">
        <v>706</v>
      </c>
      <c r="J33" s="9" t="s">
        <v>707</v>
      </c>
      <c r="K33" s="9" t="s">
        <v>540</v>
      </c>
    </row>
    <row r="34" customFormat="false" ht="45" hidden="false" customHeight="true" outlineLevel="0" collapsed="false">
      <c r="A34" s="6" t="s">
        <v>708</v>
      </c>
      <c r="B34" s="6" t="s">
        <v>709</v>
      </c>
      <c r="C34" s="6" t="s">
        <v>116</v>
      </c>
      <c r="D34" s="6" t="s">
        <v>710</v>
      </c>
      <c r="E34" s="7" t="n">
        <v>7</v>
      </c>
      <c r="F34" s="6" t="s">
        <v>224</v>
      </c>
      <c r="G34" s="9" t="s">
        <v>536</v>
      </c>
      <c r="H34" s="6" t="s">
        <v>711</v>
      </c>
      <c r="I34" s="6" t="s">
        <v>712</v>
      </c>
      <c r="J34" s="6" t="s">
        <v>713</v>
      </c>
      <c r="K34" s="9" t="s">
        <v>540</v>
      </c>
    </row>
    <row r="35" customFormat="false" ht="30" hidden="false" customHeight="true" outlineLevel="0" collapsed="false">
      <c r="A35" s="6" t="s">
        <v>714</v>
      </c>
      <c r="B35" s="6" t="s">
        <v>715</v>
      </c>
      <c r="C35" s="6" t="s">
        <v>18</v>
      </c>
      <c r="D35" s="6" t="s">
        <v>716</v>
      </c>
      <c r="E35" s="7" t="n">
        <v>8</v>
      </c>
      <c r="F35" s="6" t="s">
        <v>224</v>
      </c>
      <c r="G35" s="9" t="s">
        <v>536</v>
      </c>
      <c r="H35" s="6" t="s">
        <v>717</v>
      </c>
      <c r="I35" s="6" t="s">
        <v>718</v>
      </c>
      <c r="J35" s="6" t="s">
        <v>719</v>
      </c>
      <c r="K35" s="9" t="s">
        <v>540</v>
      </c>
    </row>
    <row r="36" customFormat="false" ht="45" hidden="false" customHeight="true" outlineLevel="0" collapsed="false">
      <c r="A36" s="6" t="s">
        <v>720</v>
      </c>
      <c r="B36" s="6" t="s">
        <v>721</v>
      </c>
      <c r="C36" s="6" t="s">
        <v>18</v>
      </c>
      <c r="D36" s="6" t="s">
        <v>722</v>
      </c>
      <c r="E36" s="6"/>
      <c r="F36" s="6" t="s">
        <v>224</v>
      </c>
      <c r="G36" s="9" t="s">
        <v>536</v>
      </c>
      <c r="H36" s="6" t="s">
        <v>723</v>
      </c>
      <c r="I36" s="6" t="s">
        <v>724</v>
      </c>
      <c r="J36" s="6" t="s">
        <v>725</v>
      </c>
      <c r="K36" s="6" t="s">
        <v>726</v>
      </c>
    </row>
  </sheetData>
  <autoFilter ref="A1:K36"/>
  <printOptions headings="false" gridLines="false" gridLinesSet="true" horizontalCentered="false" verticalCentered="false"/>
  <pageMargins left="0.25" right="0.25" top="0.4" bottom="0.4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&amp;CStar Cluster - provisional candidate matrix - no calibration&amp;RPage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6"/>
    <col collapsed="false" customWidth="true" hidden="false" outlineLevel="0" max="4" min="4" style="0" width="46"/>
    <col collapsed="false" customWidth="true" hidden="false" outlineLevel="0" max="5" min="5" style="0" width="45"/>
    <col collapsed="false" customWidth="true" hidden="false" outlineLevel="0" max="6" min="6" style="0" width="34"/>
  </cols>
  <sheetData>
    <row r="1" customFormat="false" ht="31.5" hidden="false" customHeight="true" outlineLevel="0" collapsed="false">
      <c r="A1" s="5" t="s">
        <v>13</v>
      </c>
      <c r="B1" s="5" t="s">
        <v>178</v>
      </c>
      <c r="C1" s="5" t="s">
        <v>14</v>
      </c>
      <c r="D1" s="5" t="s">
        <v>179</v>
      </c>
      <c r="E1" s="5" t="s">
        <v>727</v>
      </c>
      <c r="F1" s="5" t="s">
        <v>728</v>
      </c>
    </row>
    <row r="2" customFormat="false" ht="18" hidden="false" customHeight="true" outlineLevel="0" collapsed="false">
      <c r="A2" s="6" t="s">
        <v>18</v>
      </c>
      <c r="B2" s="6" t="s">
        <v>189</v>
      </c>
      <c r="C2" s="7" t="n">
        <v>1</v>
      </c>
      <c r="D2" s="6" t="s">
        <v>190</v>
      </c>
      <c r="E2" s="6" t="s">
        <v>196</v>
      </c>
      <c r="F2" s="6" t="s">
        <v>21</v>
      </c>
    </row>
    <row r="3" customFormat="false" ht="30" hidden="false" customHeight="true" outlineLevel="0" collapsed="false">
      <c r="A3" s="6" t="s">
        <v>18</v>
      </c>
      <c r="B3" s="6" t="s">
        <v>189</v>
      </c>
      <c r="C3" s="7" t="n">
        <v>2</v>
      </c>
      <c r="D3" s="6" t="s">
        <v>198</v>
      </c>
      <c r="E3" s="6" t="s">
        <v>102</v>
      </c>
      <c r="F3" s="6" t="s">
        <v>21</v>
      </c>
    </row>
    <row r="4" customFormat="false" ht="18" hidden="false" customHeight="true" outlineLevel="0" collapsed="false">
      <c r="A4" s="6" t="s">
        <v>18</v>
      </c>
      <c r="B4" s="6" t="s">
        <v>189</v>
      </c>
      <c r="C4" s="7" t="n">
        <v>3</v>
      </c>
      <c r="D4" s="6" t="s">
        <v>201</v>
      </c>
      <c r="E4" s="6" t="s">
        <v>203</v>
      </c>
      <c r="F4" s="6" t="s">
        <v>21</v>
      </c>
    </row>
    <row r="5" customFormat="false" ht="18" hidden="false" customHeight="true" outlineLevel="0" collapsed="false">
      <c r="A5" s="6" t="s">
        <v>18</v>
      </c>
      <c r="B5" s="6" t="s">
        <v>189</v>
      </c>
      <c r="C5" s="7" t="n">
        <v>4</v>
      </c>
      <c r="D5" s="6" t="s">
        <v>204</v>
      </c>
      <c r="E5" s="6" t="s">
        <v>38</v>
      </c>
      <c r="F5" s="6" t="s">
        <v>21</v>
      </c>
    </row>
    <row r="6" customFormat="false" ht="18" hidden="false" customHeight="true" outlineLevel="0" collapsed="false">
      <c r="A6" s="6" t="s">
        <v>18</v>
      </c>
      <c r="B6" s="6" t="s">
        <v>189</v>
      </c>
      <c r="C6" s="7" t="n">
        <v>5</v>
      </c>
      <c r="D6" s="6" t="s">
        <v>206</v>
      </c>
      <c r="E6" s="6" t="s">
        <v>207</v>
      </c>
      <c r="F6" s="6" t="s">
        <v>21</v>
      </c>
    </row>
    <row r="7" customFormat="false" ht="18" hidden="false" customHeight="true" outlineLevel="0" collapsed="false">
      <c r="A7" s="6" t="s">
        <v>18</v>
      </c>
      <c r="B7" s="6" t="s">
        <v>189</v>
      </c>
      <c r="C7" s="7" t="n">
        <v>6</v>
      </c>
      <c r="D7" s="6" t="s">
        <v>208</v>
      </c>
      <c r="E7" s="6" t="s">
        <v>209</v>
      </c>
      <c r="F7" s="6" t="s">
        <v>21</v>
      </c>
    </row>
    <row r="8" customFormat="false" ht="18" hidden="false" customHeight="true" outlineLevel="0" collapsed="false">
      <c r="A8" s="6" t="s">
        <v>18</v>
      </c>
      <c r="B8" s="6" t="s">
        <v>189</v>
      </c>
      <c r="C8" s="7" t="n">
        <v>7</v>
      </c>
      <c r="D8" s="6" t="s">
        <v>210</v>
      </c>
      <c r="E8" s="6" t="s">
        <v>203</v>
      </c>
      <c r="F8" s="6" t="s">
        <v>21</v>
      </c>
    </row>
    <row r="9" customFormat="false" ht="18" hidden="false" customHeight="true" outlineLevel="0" collapsed="false">
      <c r="A9" s="6" t="s">
        <v>18</v>
      </c>
      <c r="B9" s="6" t="s">
        <v>189</v>
      </c>
      <c r="C9" s="7" t="n">
        <v>8</v>
      </c>
      <c r="D9" s="6" t="s">
        <v>211</v>
      </c>
      <c r="E9" s="6" t="s">
        <v>213</v>
      </c>
      <c r="F9" s="6" t="s">
        <v>21</v>
      </c>
    </row>
    <row r="10" customFormat="false" ht="18" hidden="false" customHeight="true" outlineLevel="0" collapsed="false">
      <c r="A10" s="6" t="s">
        <v>18</v>
      </c>
      <c r="B10" s="6" t="s">
        <v>189</v>
      </c>
      <c r="C10" s="7" t="n">
        <v>9</v>
      </c>
      <c r="D10" s="6" t="s">
        <v>214</v>
      </c>
      <c r="E10" s="6" t="s">
        <v>196</v>
      </c>
      <c r="F10" s="6" t="s">
        <v>21</v>
      </c>
    </row>
    <row r="11" customFormat="false" ht="18" hidden="false" customHeight="true" outlineLevel="0" collapsed="false">
      <c r="A11" s="6" t="s">
        <v>18</v>
      </c>
      <c r="B11" s="6" t="s">
        <v>215</v>
      </c>
      <c r="C11" s="7" t="n">
        <v>1</v>
      </c>
      <c r="D11" s="6" t="s">
        <v>216</v>
      </c>
      <c r="E11" s="6" t="s">
        <v>102</v>
      </c>
      <c r="F11" s="6" t="s">
        <v>21</v>
      </c>
    </row>
    <row r="12" customFormat="false" ht="18" hidden="false" customHeight="true" outlineLevel="0" collapsed="false">
      <c r="A12" s="6" t="s">
        <v>18</v>
      </c>
      <c r="B12" s="6" t="s">
        <v>215</v>
      </c>
      <c r="C12" s="7" t="n">
        <v>3</v>
      </c>
      <c r="D12" s="6" t="s">
        <v>219</v>
      </c>
      <c r="E12" s="6" t="s">
        <v>102</v>
      </c>
      <c r="F12" s="6" t="s">
        <v>21</v>
      </c>
    </row>
    <row r="13" customFormat="false" ht="18" hidden="false" customHeight="true" outlineLevel="0" collapsed="false">
      <c r="A13" s="6" t="s">
        <v>18</v>
      </c>
      <c r="B13" s="6" t="s">
        <v>215</v>
      </c>
      <c r="C13" s="7" t="n">
        <v>4</v>
      </c>
      <c r="D13" s="6" t="s">
        <v>220</v>
      </c>
      <c r="E13" s="6" t="s">
        <v>102</v>
      </c>
      <c r="F13" s="6" t="s">
        <v>21</v>
      </c>
    </row>
    <row r="14" customFormat="false" ht="18" hidden="false" customHeight="true" outlineLevel="0" collapsed="false">
      <c r="A14" s="6" t="s">
        <v>18</v>
      </c>
      <c r="B14" s="6" t="s">
        <v>215</v>
      </c>
      <c r="C14" s="7" t="n">
        <v>5</v>
      </c>
      <c r="D14" s="6" t="s">
        <v>223</v>
      </c>
      <c r="E14" s="6" t="s">
        <v>38</v>
      </c>
      <c r="F14" s="6" t="s">
        <v>21</v>
      </c>
    </row>
    <row r="15" customFormat="false" ht="18" hidden="false" customHeight="true" outlineLevel="0" collapsed="false">
      <c r="A15" s="6" t="s">
        <v>18</v>
      </c>
      <c r="B15" s="6" t="s">
        <v>215</v>
      </c>
      <c r="C15" s="7" t="n">
        <v>6</v>
      </c>
      <c r="D15" s="6" t="s">
        <v>225</v>
      </c>
      <c r="E15" s="6" t="s">
        <v>226</v>
      </c>
      <c r="F15" s="6" t="s">
        <v>21</v>
      </c>
    </row>
    <row r="16" customFormat="false" ht="18" hidden="false" customHeight="true" outlineLevel="0" collapsed="false">
      <c r="A16" s="6" t="s">
        <v>18</v>
      </c>
      <c r="B16" s="6" t="s">
        <v>215</v>
      </c>
      <c r="C16" s="7" t="n">
        <v>7</v>
      </c>
      <c r="D16" s="6" t="s">
        <v>227</v>
      </c>
      <c r="E16" s="6" t="s">
        <v>38</v>
      </c>
      <c r="F16" s="6" t="s">
        <v>21</v>
      </c>
    </row>
    <row r="17" customFormat="false" ht="18" hidden="false" customHeight="true" outlineLevel="0" collapsed="false">
      <c r="A17" s="6" t="s">
        <v>18</v>
      </c>
      <c r="B17" s="6" t="s">
        <v>215</v>
      </c>
      <c r="C17" s="7" t="n">
        <v>8</v>
      </c>
      <c r="D17" s="6" t="s">
        <v>228</v>
      </c>
      <c r="E17" s="6" t="s">
        <v>207</v>
      </c>
      <c r="F17" s="6" t="s">
        <v>21</v>
      </c>
    </row>
    <row r="18" customFormat="false" ht="18" hidden="false" customHeight="true" outlineLevel="0" collapsed="false">
      <c r="A18" s="6" t="s">
        <v>18</v>
      </c>
      <c r="B18" s="6" t="s">
        <v>215</v>
      </c>
      <c r="C18" s="7" t="n">
        <v>9</v>
      </c>
      <c r="D18" s="6" t="s">
        <v>229</v>
      </c>
      <c r="E18" s="6" t="s">
        <v>230</v>
      </c>
      <c r="F18" s="6" t="s">
        <v>21</v>
      </c>
    </row>
    <row r="19" customFormat="false" ht="30" hidden="false" customHeight="true" outlineLevel="0" collapsed="false">
      <c r="A19" s="6" t="s">
        <v>18</v>
      </c>
      <c r="B19" s="6" t="s">
        <v>231</v>
      </c>
      <c r="C19" s="7" t="n">
        <v>1</v>
      </c>
      <c r="D19" s="6" t="s">
        <v>232</v>
      </c>
      <c r="E19" s="6" t="s">
        <v>70</v>
      </c>
      <c r="F19" s="6" t="s">
        <v>21</v>
      </c>
    </row>
    <row r="20" customFormat="false" ht="18" hidden="false" customHeight="true" outlineLevel="0" collapsed="false">
      <c r="A20" s="6" t="s">
        <v>18</v>
      </c>
      <c r="B20" s="6" t="s">
        <v>231</v>
      </c>
      <c r="C20" s="7" t="n">
        <v>4</v>
      </c>
      <c r="D20" s="6" t="s">
        <v>236</v>
      </c>
      <c r="E20" s="6" t="s">
        <v>102</v>
      </c>
      <c r="F20" s="6" t="s">
        <v>21</v>
      </c>
    </row>
    <row r="21" customFormat="false" ht="18" hidden="false" customHeight="true" outlineLevel="0" collapsed="false">
      <c r="A21" s="6" t="s">
        <v>18</v>
      </c>
      <c r="B21" s="6" t="s">
        <v>231</v>
      </c>
      <c r="C21" s="7" t="n">
        <v>6</v>
      </c>
      <c r="D21" s="6" t="s">
        <v>237</v>
      </c>
      <c r="E21" s="6" t="s">
        <v>52</v>
      </c>
      <c r="F21" s="6" t="s">
        <v>21</v>
      </c>
    </row>
    <row r="22" customFormat="false" ht="18" hidden="false" customHeight="true" outlineLevel="0" collapsed="false">
      <c r="A22" s="6" t="s">
        <v>18</v>
      </c>
      <c r="B22" s="6" t="s">
        <v>231</v>
      </c>
      <c r="C22" s="7" t="n">
        <v>8</v>
      </c>
      <c r="D22" s="6" t="s">
        <v>238</v>
      </c>
      <c r="E22" s="6" t="s">
        <v>242</v>
      </c>
      <c r="F22" s="6" t="s">
        <v>21</v>
      </c>
    </row>
    <row r="23" customFormat="false" ht="18" hidden="false" customHeight="true" outlineLevel="0" collapsed="false">
      <c r="A23" s="6" t="s">
        <v>38</v>
      </c>
      <c r="B23" s="6" t="s">
        <v>244</v>
      </c>
      <c r="C23" s="7" t="n">
        <v>1</v>
      </c>
      <c r="D23" s="6" t="s">
        <v>245</v>
      </c>
      <c r="E23" s="6" t="s">
        <v>18</v>
      </c>
      <c r="F23" s="6" t="s">
        <v>21</v>
      </c>
    </row>
    <row r="24" customFormat="false" ht="18" hidden="false" customHeight="true" outlineLevel="0" collapsed="false">
      <c r="A24" s="6" t="s">
        <v>38</v>
      </c>
      <c r="B24" s="6" t="s">
        <v>244</v>
      </c>
      <c r="C24" s="7" t="n">
        <v>2</v>
      </c>
      <c r="D24" s="6" t="s">
        <v>246</v>
      </c>
      <c r="E24" s="6" t="s">
        <v>18</v>
      </c>
      <c r="F24" s="6" t="s">
        <v>21</v>
      </c>
    </row>
    <row r="25" customFormat="false" ht="18" hidden="false" customHeight="true" outlineLevel="0" collapsed="false">
      <c r="A25" s="6" t="s">
        <v>38</v>
      </c>
      <c r="B25" s="6" t="s">
        <v>244</v>
      </c>
      <c r="C25" s="7" t="n">
        <v>3</v>
      </c>
      <c r="D25" s="6" t="s">
        <v>247</v>
      </c>
      <c r="E25" s="6" t="s">
        <v>18</v>
      </c>
      <c r="F25" s="6" t="s">
        <v>21</v>
      </c>
    </row>
    <row r="26" customFormat="false" ht="18" hidden="false" customHeight="true" outlineLevel="0" collapsed="false">
      <c r="A26" s="6" t="s">
        <v>38</v>
      </c>
      <c r="B26" s="6" t="s">
        <v>244</v>
      </c>
      <c r="C26" s="7" t="n">
        <v>4</v>
      </c>
      <c r="D26" s="6" t="s">
        <v>248</v>
      </c>
      <c r="E26" s="6" t="s">
        <v>18</v>
      </c>
      <c r="F26" s="6" t="s">
        <v>21</v>
      </c>
    </row>
    <row r="27" customFormat="false" ht="18" hidden="false" customHeight="true" outlineLevel="0" collapsed="false">
      <c r="A27" s="6" t="s">
        <v>38</v>
      </c>
      <c r="B27" s="6" t="s">
        <v>244</v>
      </c>
      <c r="C27" s="7" t="n">
        <v>5</v>
      </c>
      <c r="D27" s="6" t="s">
        <v>249</v>
      </c>
      <c r="E27" s="6" t="s">
        <v>18</v>
      </c>
      <c r="F27" s="6" t="s">
        <v>21</v>
      </c>
    </row>
    <row r="28" customFormat="false" ht="18" hidden="false" customHeight="true" outlineLevel="0" collapsed="false">
      <c r="A28" s="6" t="s">
        <v>38</v>
      </c>
      <c r="B28" s="6" t="s">
        <v>244</v>
      </c>
      <c r="C28" s="7" t="n">
        <v>6</v>
      </c>
      <c r="D28" s="6" t="s">
        <v>250</v>
      </c>
      <c r="E28" s="6" t="s">
        <v>251</v>
      </c>
      <c r="F28" s="6" t="s">
        <v>21</v>
      </c>
    </row>
    <row r="29" customFormat="false" ht="18" hidden="false" customHeight="true" outlineLevel="0" collapsed="false">
      <c r="A29" s="6" t="s">
        <v>38</v>
      </c>
      <c r="B29" s="6" t="s">
        <v>244</v>
      </c>
      <c r="C29" s="7" t="n">
        <v>9</v>
      </c>
      <c r="D29" s="6" t="s">
        <v>252</v>
      </c>
      <c r="E29" s="6" t="s">
        <v>253</v>
      </c>
      <c r="F29" s="6" t="s">
        <v>21</v>
      </c>
    </row>
    <row r="30" customFormat="false" ht="18" hidden="false" customHeight="true" outlineLevel="0" collapsed="false">
      <c r="A30" s="6" t="s">
        <v>38</v>
      </c>
      <c r="B30" s="6" t="s">
        <v>254</v>
      </c>
      <c r="C30" s="7" t="n">
        <v>1</v>
      </c>
      <c r="D30" s="6" t="s">
        <v>255</v>
      </c>
      <c r="E30" s="6" t="s">
        <v>18</v>
      </c>
      <c r="F30" s="6" t="s">
        <v>21</v>
      </c>
    </row>
    <row r="31" customFormat="false" ht="18" hidden="false" customHeight="true" outlineLevel="0" collapsed="false">
      <c r="A31" s="6" t="s">
        <v>38</v>
      </c>
      <c r="B31" s="6" t="s">
        <v>254</v>
      </c>
      <c r="C31" s="7" t="n">
        <v>4</v>
      </c>
      <c r="D31" s="6" t="s">
        <v>256</v>
      </c>
      <c r="E31" s="6" t="s">
        <v>18</v>
      </c>
      <c r="F31" s="6" t="s">
        <v>21</v>
      </c>
    </row>
    <row r="32" customFormat="false" ht="18" hidden="false" customHeight="true" outlineLevel="0" collapsed="false">
      <c r="A32" s="6" t="s">
        <v>38</v>
      </c>
      <c r="B32" s="6" t="s">
        <v>254</v>
      </c>
      <c r="C32" s="7" t="n">
        <v>5</v>
      </c>
      <c r="D32" s="6" t="s">
        <v>257</v>
      </c>
      <c r="E32" s="6" t="s">
        <v>52</v>
      </c>
      <c r="F32" s="6" t="s">
        <v>21</v>
      </c>
    </row>
    <row r="33" customFormat="false" ht="18" hidden="false" customHeight="true" outlineLevel="0" collapsed="false">
      <c r="A33" s="6" t="s">
        <v>38</v>
      </c>
      <c r="B33" s="6" t="s">
        <v>254</v>
      </c>
      <c r="C33" s="7" t="n">
        <v>7</v>
      </c>
      <c r="D33" s="6" t="s">
        <v>258</v>
      </c>
      <c r="E33" s="6" t="s">
        <v>230</v>
      </c>
      <c r="F33" s="6" t="s">
        <v>21</v>
      </c>
    </row>
    <row r="34" customFormat="false" ht="18" hidden="false" customHeight="true" outlineLevel="0" collapsed="false">
      <c r="A34" s="6" t="s">
        <v>38</v>
      </c>
      <c r="B34" s="6" t="s">
        <v>254</v>
      </c>
      <c r="C34" s="7" t="n">
        <v>7</v>
      </c>
      <c r="D34" s="6" t="s">
        <v>261</v>
      </c>
      <c r="E34" s="6" t="s">
        <v>263</v>
      </c>
      <c r="F34" s="6" t="s">
        <v>21</v>
      </c>
    </row>
    <row r="35" customFormat="false" ht="18" hidden="false" customHeight="true" outlineLevel="0" collapsed="false">
      <c r="A35" s="6" t="s">
        <v>38</v>
      </c>
      <c r="B35" s="6" t="s">
        <v>254</v>
      </c>
      <c r="C35" s="7" t="n">
        <v>8</v>
      </c>
      <c r="D35" s="6" t="s">
        <v>265</v>
      </c>
      <c r="E35" s="6" t="s">
        <v>266</v>
      </c>
      <c r="F35" s="6" t="s">
        <v>21</v>
      </c>
    </row>
    <row r="36" customFormat="false" ht="18" hidden="false" customHeight="true" outlineLevel="0" collapsed="false">
      <c r="A36" s="6" t="s">
        <v>52</v>
      </c>
      <c r="B36" s="6" t="s">
        <v>268</v>
      </c>
      <c r="C36" s="7" t="n">
        <v>1</v>
      </c>
      <c r="D36" s="6" t="s">
        <v>269</v>
      </c>
      <c r="E36" s="6" t="s">
        <v>18</v>
      </c>
      <c r="F36" s="6" t="s">
        <v>21</v>
      </c>
    </row>
    <row r="37" customFormat="false" ht="18" hidden="false" customHeight="true" outlineLevel="0" collapsed="false">
      <c r="A37" s="6" t="s">
        <v>52</v>
      </c>
      <c r="B37" s="6" t="s">
        <v>268</v>
      </c>
      <c r="C37" s="7" t="n">
        <v>2</v>
      </c>
      <c r="D37" s="6" t="s">
        <v>271</v>
      </c>
      <c r="E37" s="6" t="s">
        <v>18</v>
      </c>
      <c r="F37" s="6" t="s">
        <v>21</v>
      </c>
    </row>
    <row r="38" customFormat="false" ht="18" hidden="false" customHeight="true" outlineLevel="0" collapsed="false">
      <c r="A38" s="6" t="s">
        <v>52</v>
      </c>
      <c r="B38" s="6" t="s">
        <v>268</v>
      </c>
      <c r="C38" s="7" t="n">
        <v>3</v>
      </c>
      <c r="D38" s="6" t="s">
        <v>272</v>
      </c>
      <c r="E38" s="6" t="s">
        <v>18</v>
      </c>
      <c r="F38" s="6" t="s">
        <v>21</v>
      </c>
    </row>
    <row r="39" customFormat="false" ht="18" hidden="false" customHeight="true" outlineLevel="0" collapsed="false">
      <c r="A39" s="6" t="s">
        <v>52</v>
      </c>
      <c r="B39" s="6" t="s">
        <v>268</v>
      </c>
      <c r="C39" s="7" t="n">
        <v>4</v>
      </c>
      <c r="D39" s="6" t="s">
        <v>273</v>
      </c>
      <c r="E39" s="6" t="s">
        <v>18</v>
      </c>
      <c r="F39" s="6" t="s">
        <v>21</v>
      </c>
    </row>
    <row r="40" customFormat="false" ht="18" hidden="false" customHeight="true" outlineLevel="0" collapsed="false">
      <c r="A40" s="6" t="s">
        <v>52</v>
      </c>
      <c r="B40" s="6" t="s">
        <v>268</v>
      </c>
      <c r="C40" s="7" t="n">
        <v>5</v>
      </c>
      <c r="D40" s="6" t="s">
        <v>274</v>
      </c>
      <c r="E40" s="6" t="s">
        <v>275</v>
      </c>
      <c r="F40" s="6" t="s">
        <v>21</v>
      </c>
    </row>
    <row r="41" customFormat="false" ht="18" hidden="false" customHeight="true" outlineLevel="0" collapsed="false">
      <c r="A41" s="6" t="s">
        <v>52</v>
      </c>
      <c r="B41" s="6" t="s">
        <v>268</v>
      </c>
      <c r="C41" s="7" t="n">
        <v>6</v>
      </c>
      <c r="D41" s="6" t="s">
        <v>277</v>
      </c>
      <c r="E41" s="6" t="s">
        <v>196</v>
      </c>
      <c r="F41" s="6" t="s">
        <v>21</v>
      </c>
    </row>
    <row r="42" customFormat="false" ht="18" hidden="false" customHeight="true" outlineLevel="0" collapsed="false">
      <c r="A42" s="6" t="s">
        <v>52</v>
      </c>
      <c r="B42" s="6" t="s">
        <v>268</v>
      </c>
      <c r="C42" s="7" t="n">
        <v>7</v>
      </c>
      <c r="D42" s="6" t="s">
        <v>278</v>
      </c>
      <c r="E42" s="6" t="s">
        <v>38</v>
      </c>
      <c r="F42" s="6" t="s">
        <v>21</v>
      </c>
    </row>
    <row r="43" customFormat="false" ht="18" hidden="false" customHeight="true" outlineLevel="0" collapsed="false">
      <c r="A43" s="6" t="s">
        <v>52</v>
      </c>
      <c r="B43" s="6" t="s">
        <v>268</v>
      </c>
      <c r="C43" s="7" t="n">
        <v>8</v>
      </c>
      <c r="D43" s="6" t="s">
        <v>279</v>
      </c>
      <c r="E43" s="6" t="s">
        <v>18</v>
      </c>
      <c r="F43" s="6" t="s">
        <v>21</v>
      </c>
    </row>
    <row r="44" customFormat="false" ht="18" hidden="false" customHeight="true" outlineLevel="0" collapsed="false">
      <c r="A44" s="6" t="s">
        <v>52</v>
      </c>
      <c r="B44" s="6" t="s">
        <v>268</v>
      </c>
      <c r="C44" s="7" t="n">
        <v>9</v>
      </c>
      <c r="D44" s="6" t="s">
        <v>281</v>
      </c>
      <c r="E44" s="6" t="s">
        <v>18</v>
      </c>
      <c r="F44" s="6" t="s">
        <v>21</v>
      </c>
    </row>
    <row r="45" customFormat="false" ht="30" hidden="false" customHeight="true" outlineLevel="0" collapsed="false">
      <c r="A45" s="6" t="s">
        <v>52</v>
      </c>
      <c r="B45" s="6" t="s">
        <v>282</v>
      </c>
      <c r="C45" s="7" t="n">
        <v>5</v>
      </c>
      <c r="D45" s="6" t="s">
        <v>283</v>
      </c>
      <c r="E45" s="6" t="s">
        <v>286</v>
      </c>
      <c r="F45" s="6" t="s">
        <v>21</v>
      </c>
    </row>
    <row r="46" customFormat="false" ht="18" hidden="false" customHeight="true" outlineLevel="0" collapsed="false">
      <c r="A46" s="6" t="s">
        <v>52</v>
      </c>
      <c r="B46" s="6" t="s">
        <v>282</v>
      </c>
      <c r="C46" s="7" t="n">
        <v>7</v>
      </c>
      <c r="D46" s="6" t="s">
        <v>287</v>
      </c>
      <c r="E46" s="6" t="s">
        <v>18</v>
      </c>
      <c r="F46" s="6" t="s">
        <v>21</v>
      </c>
    </row>
    <row r="47" customFormat="false" ht="18" hidden="false" customHeight="true" outlineLevel="0" collapsed="false">
      <c r="A47" s="6" t="s">
        <v>52</v>
      </c>
      <c r="B47" s="6" t="s">
        <v>288</v>
      </c>
      <c r="C47" s="7" t="n">
        <v>1</v>
      </c>
      <c r="D47" s="6" t="s">
        <v>289</v>
      </c>
      <c r="E47" s="6" t="s">
        <v>18</v>
      </c>
      <c r="F47" s="6" t="s">
        <v>21</v>
      </c>
    </row>
    <row r="48" customFormat="false" ht="18" hidden="false" customHeight="true" outlineLevel="0" collapsed="false">
      <c r="A48" s="6" t="s">
        <v>52</v>
      </c>
      <c r="B48" s="6" t="s">
        <v>288</v>
      </c>
      <c r="C48" s="7" t="n">
        <v>2</v>
      </c>
      <c r="D48" s="6" t="s">
        <v>290</v>
      </c>
      <c r="E48" s="6" t="s">
        <v>38</v>
      </c>
      <c r="F48" s="6" t="s">
        <v>21</v>
      </c>
    </row>
    <row r="49" customFormat="false" ht="18" hidden="false" customHeight="true" outlineLevel="0" collapsed="false">
      <c r="A49" s="6" t="s">
        <v>52</v>
      </c>
      <c r="B49" s="6" t="s">
        <v>288</v>
      </c>
      <c r="C49" s="7" t="n">
        <v>4</v>
      </c>
      <c r="D49" s="6" t="s">
        <v>291</v>
      </c>
      <c r="E49" s="6" t="s">
        <v>38</v>
      </c>
      <c r="F49" s="6" t="s">
        <v>21</v>
      </c>
    </row>
    <row r="50" customFormat="false" ht="18" hidden="false" customHeight="true" outlineLevel="0" collapsed="false">
      <c r="A50" s="6" t="s">
        <v>52</v>
      </c>
      <c r="B50" s="6" t="s">
        <v>288</v>
      </c>
      <c r="C50" s="7" t="n">
        <v>6</v>
      </c>
      <c r="D50" s="6" t="s">
        <v>292</v>
      </c>
      <c r="E50" s="6" t="s">
        <v>38</v>
      </c>
      <c r="F50" s="6" t="s">
        <v>21</v>
      </c>
    </row>
    <row r="51" customFormat="false" ht="18" hidden="false" customHeight="true" outlineLevel="0" collapsed="false">
      <c r="A51" s="6" t="s">
        <v>52</v>
      </c>
      <c r="B51" s="6" t="s">
        <v>288</v>
      </c>
      <c r="C51" s="7" t="n">
        <v>8</v>
      </c>
      <c r="D51" s="6" t="s">
        <v>293</v>
      </c>
      <c r="E51" s="6" t="s">
        <v>116</v>
      </c>
      <c r="F51" s="6" t="s">
        <v>21</v>
      </c>
    </row>
    <row r="52" customFormat="false" ht="30" hidden="false" customHeight="true" outlineLevel="0" collapsed="false">
      <c r="A52" s="6" t="s">
        <v>52</v>
      </c>
      <c r="B52" s="6" t="s">
        <v>294</v>
      </c>
      <c r="C52" s="7" t="n">
        <v>1</v>
      </c>
      <c r="D52" s="6" t="s">
        <v>295</v>
      </c>
      <c r="E52" s="6" t="s">
        <v>18</v>
      </c>
      <c r="F52" s="6" t="s">
        <v>21</v>
      </c>
    </row>
    <row r="53" customFormat="false" ht="18" hidden="false" customHeight="true" outlineLevel="0" collapsed="false">
      <c r="A53" s="6" t="s">
        <v>52</v>
      </c>
      <c r="B53" s="6" t="s">
        <v>294</v>
      </c>
      <c r="C53" s="7" t="n">
        <v>3</v>
      </c>
      <c r="D53" s="6" t="s">
        <v>296</v>
      </c>
      <c r="E53" s="6" t="s">
        <v>38</v>
      </c>
      <c r="F53" s="6" t="s">
        <v>21</v>
      </c>
    </row>
    <row r="54" customFormat="false" ht="18" hidden="false" customHeight="true" outlineLevel="0" collapsed="false">
      <c r="A54" s="6" t="s">
        <v>52</v>
      </c>
      <c r="B54" s="6" t="s">
        <v>294</v>
      </c>
      <c r="C54" s="7" t="n">
        <v>4</v>
      </c>
      <c r="D54" s="6" t="s">
        <v>297</v>
      </c>
      <c r="E54" s="6" t="s">
        <v>38</v>
      </c>
      <c r="F54" s="6" t="s">
        <v>21</v>
      </c>
    </row>
    <row r="55" customFormat="false" ht="18" hidden="false" customHeight="true" outlineLevel="0" collapsed="false">
      <c r="A55" s="6" t="s">
        <v>52</v>
      </c>
      <c r="B55" s="6" t="s">
        <v>294</v>
      </c>
      <c r="C55" s="7" t="n">
        <v>5</v>
      </c>
      <c r="D55" s="6" t="s">
        <v>298</v>
      </c>
      <c r="E55" s="6" t="s">
        <v>85</v>
      </c>
      <c r="F55" s="6" t="s">
        <v>21</v>
      </c>
    </row>
    <row r="56" customFormat="false" ht="18" hidden="false" customHeight="true" outlineLevel="0" collapsed="false">
      <c r="A56" s="6" t="s">
        <v>52</v>
      </c>
      <c r="B56" s="6" t="s">
        <v>294</v>
      </c>
      <c r="C56" s="7" t="n">
        <v>6</v>
      </c>
      <c r="D56" s="6" t="s">
        <v>300</v>
      </c>
      <c r="E56" s="6" t="s">
        <v>38</v>
      </c>
      <c r="F56" s="6" t="s">
        <v>21</v>
      </c>
    </row>
    <row r="57" customFormat="false" ht="18" hidden="false" customHeight="true" outlineLevel="0" collapsed="false">
      <c r="A57" s="6" t="s">
        <v>52</v>
      </c>
      <c r="B57" s="6" t="s">
        <v>294</v>
      </c>
      <c r="C57" s="7" t="n">
        <v>8</v>
      </c>
      <c r="D57" s="6" t="s">
        <v>301</v>
      </c>
      <c r="E57" s="6" t="s">
        <v>116</v>
      </c>
      <c r="F57" s="6" t="s">
        <v>21</v>
      </c>
    </row>
    <row r="58" customFormat="false" ht="18" hidden="false" customHeight="true" outlineLevel="0" collapsed="false">
      <c r="A58" s="6" t="s">
        <v>70</v>
      </c>
      <c r="B58" s="6" t="s">
        <v>302</v>
      </c>
      <c r="C58" s="7" t="n">
        <v>1</v>
      </c>
      <c r="D58" s="6" t="s">
        <v>303</v>
      </c>
      <c r="E58" s="6" t="s">
        <v>52</v>
      </c>
      <c r="F58" s="6" t="s">
        <v>21</v>
      </c>
    </row>
    <row r="59" customFormat="false" ht="18" hidden="false" customHeight="true" outlineLevel="0" collapsed="false">
      <c r="A59" s="6" t="s">
        <v>70</v>
      </c>
      <c r="B59" s="6" t="s">
        <v>302</v>
      </c>
      <c r="C59" s="7" t="n">
        <v>2</v>
      </c>
      <c r="D59" s="6" t="s">
        <v>304</v>
      </c>
      <c r="E59" s="6" t="s">
        <v>52</v>
      </c>
      <c r="F59" s="6" t="s">
        <v>21</v>
      </c>
    </row>
    <row r="60" customFormat="false" ht="18" hidden="false" customHeight="true" outlineLevel="0" collapsed="false">
      <c r="A60" s="6" t="s">
        <v>70</v>
      </c>
      <c r="B60" s="6" t="s">
        <v>302</v>
      </c>
      <c r="C60" s="7" t="n">
        <v>3</v>
      </c>
      <c r="D60" s="6" t="s">
        <v>305</v>
      </c>
      <c r="E60" s="6" t="s">
        <v>52</v>
      </c>
      <c r="F60" s="6" t="s">
        <v>21</v>
      </c>
    </row>
    <row r="61" customFormat="false" ht="18" hidden="false" customHeight="true" outlineLevel="0" collapsed="false">
      <c r="A61" s="6" t="s">
        <v>70</v>
      </c>
      <c r="B61" s="6" t="s">
        <v>302</v>
      </c>
      <c r="C61" s="7" t="n">
        <v>4</v>
      </c>
      <c r="D61" s="6" t="s">
        <v>306</v>
      </c>
      <c r="E61" s="6" t="s">
        <v>52</v>
      </c>
      <c r="F61" s="6" t="s">
        <v>21</v>
      </c>
    </row>
    <row r="62" customFormat="false" ht="18" hidden="false" customHeight="true" outlineLevel="0" collapsed="false">
      <c r="A62" s="6" t="s">
        <v>70</v>
      </c>
      <c r="B62" s="6" t="s">
        <v>302</v>
      </c>
      <c r="C62" s="7" t="n">
        <v>5</v>
      </c>
      <c r="D62" s="6" t="s">
        <v>307</v>
      </c>
      <c r="E62" s="6" t="s">
        <v>52</v>
      </c>
      <c r="F62" s="6" t="s">
        <v>21</v>
      </c>
    </row>
    <row r="63" customFormat="false" ht="18" hidden="false" customHeight="true" outlineLevel="0" collapsed="false">
      <c r="A63" s="6" t="s">
        <v>70</v>
      </c>
      <c r="B63" s="6" t="s">
        <v>302</v>
      </c>
      <c r="C63" s="7" t="n">
        <v>6</v>
      </c>
      <c r="D63" s="6" t="s">
        <v>308</v>
      </c>
      <c r="E63" s="6" t="s">
        <v>52</v>
      </c>
      <c r="F63" s="6" t="s">
        <v>21</v>
      </c>
    </row>
    <row r="64" customFormat="false" ht="18" hidden="false" customHeight="true" outlineLevel="0" collapsed="false">
      <c r="A64" s="6" t="s">
        <v>70</v>
      </c>
      <c r="B64" s="6" t="s">
        <v>302</v>
      </c>
      <c r="C64" s="7" t="n">
        <v>7</v>
      </c>
      <c r="D64" s="6" t="s">
        <v>309</v>
      </c>
      <c r="E64" s="6" t="s">
        <v>52</v>
      </c>
      <c r="F64" s="6" t="s">
        <v>21</v>
      </c>
    </row>
    <row r="65" customFormat="false" ht="18" hidden="false" customHeight="true" outlineLevel="0" collapsed="false">
      <c r="A65" s="6" t="s">
        <v>70</v>
      </c>
      <c r="B65" s="6" t="s">
        <v>302</v>
      </c>
      <c r="C65" s="7" t="n">
        <v>8</v>
      </c>
      <c r="D65" s="6" t="s">
        <v>310</v>
      </c>
      <c r="E65" s="6" t="s">
        <v>311</v>
      </c>
      <c r="F65" s="6" t="s">
        <v>21</v>
      </c>
    </row>
    <row r="66" customFormat="false" ht="18" hidden="false" customHeight="true" outlineLevel="0" collapsed="false">
      <c r="A66" s="6" t="s">
        <v>70</v>
      </c>
      <c r="B66" s="6" t="s">
        <v>302</v>
      </c>
      <c r="C66" s="7" t="n">
        <v>9</v>
      </c>
      <c r="D66" s="6" t="s">
        <v>312</v>
      </c>
      <c r="E66" s="6" t="s">
        <v>263</v>
      </c>
      <c r="F66" s="6" t="s">
        <v>21</v>
      </c>
    </row>
    <row r="67" customFormat="false" ht="18" hidden="false" customHeight="true" outlineLevel="0" collapsed="false">
      <c r="A67" s="6" t="s">
        <v>70</v>
      </c>
      <c r="B67" s="6" t="s">
        <v>313</v>
      </c>
      <c r="C67" s="7" t="n">
        <v>1</v>
      </c>
      <c r="D67" s="6" t="s">
        <v>314</v>
      </c>
      <c r="E67" s="6" t="s">
        <v>52</v>
      </c>
      <c r="F67" s="6" t="s">
        <v>21</v>
      </c>
    </row>
    <row r="68" customFormat="false" ht="18" hidden="false" customHeight="true" outlineLevel="0" collapsed="false">
      <c r="A68" s="6" t="s">
        <v>70</v>
      </c>
      <c r="B68" s="6" t="s">
        <v>313</v>
      </c>
      <c r="C68" s="7" t="n">
        <v>2</v>
      </c>
      <c r="D68" s="6" t="s">
        <v>315</v>
      </c>
      <c r="E68" s="6" t="s">
        <v>52</v>
      </c>
      <c r="F68" s="6" t="s">
        <v>21</v>
      </c>
    </row>
    <row r="69" customFormat="false" ht="18" hidden="false" customHeight="true" outlineLevel="0" collapsed="false">
      <c r="A69" s="6" t="s">
        <v>70</v>
      </c>
      <c r="B69" s="6" t="s">
        <v>313</v>
      </c>
      <c r="C69" s="7" t="n">
        <v>4</v>
      </c>
      <c r="D69" s="6" t="s">
        <v>316</v>
      </c>
      <c r="E69" s="6" t="s">
        <v>275</v>
      </c>
      <c r="F69" s="6" t="s">
        <v>21</v>
      </c>
    </row>
    <row r="70" customFormat="false" ht="18" hidden="false" customHeight="true" outlineLevel="0" collapsed="false">
      <c r="A70" s="6" t="s">
        <v>70</v>
      </c>
      <c r="B70" s="6" t="s">
        <v>317</v>
      </c>
      <c r="C70" s="7" t="n">
        <v>1</v>
      </c>
      <c r="D70" s="6" t="s">
        <v>318</v>
      </c>
      <c r="E70" s="6" t="s">
        <v>102</v>
      </c>
      <c r="F70" s="6" t="s">
        <v>21</v>
      </c>
    </row>
    <row r="71" customFormat="false" ht="18" hidden="false" customHeight="true" outlineLevel="0" collapsed="false">
      <c r="A71" s="6" t="s">
        <v>70</v>
      </c>
      <c r="B71" s="6" t="s">
        <v>317</v>
      </c>
      <c r="C71" s="7" t="n">
        <v>2</v>
      </c>
      <c r="D71" s="6" t="s">
        <v>319</v>
      </c>
      <c r="E71" s="6" t="s">
        <v>85</v>
      </c>
      <c r="F71" s="6" t="s">
        <v>21</v>
      </c>
    </row>
    <row r="72" customFormat="false" ht="18" hidden="false" customHeight="true" outlineLevel="0" collapsed="false">
      <c r="A72" s="6" t="s">
        <v>70</v>
      </c>
      <c r="B72" s="6" t="s">
        <v>317</v>
      </c>
      <c r="C72" s="7" t="n">
        <v>3</v>
      </c>
      <c r="D72" s="6" t="s">
        <v>320</v>
      </c>
      <c r="E72" s="6" t="s">
        <v>85</v>
      </c>
      <c r="F72" s="6" t="s">
        <v>21</v>
      </c>
    </row>
    <row r="73" customFormat="false" ht="18" hidden="false" customHeight="true" outlineLevel="0" collapsed="false">
      <c r="A73" s="6" t="s">
        <v>70</v>
      </c>
      <c r="B73" s="6" t="s">
        <v>317</v>
      </c>
      <c r="C73" s="7" t="n">
        <v>4</v>
      </c>
      <c r="D73" s="6" t="s">
        <v>321</v>
      </c>
      <c r="E73" s="6" t="s">
        <v>18</v>
      </c>
      <c r="F73" s="6" t="s">
        <v>21</v>
      </c>
    </row>
    <row r="74" customFormat="false" ht="18" hidden="false" customHeight="true" outlineLevel="0" collapsed="false">
      <c r="A74" s="6" t="s">
        <v>70</v>
      </c>
      <c r="B74" s="6" t="s">
        <v>317</v>
      </c>
      <c r="C74" s="7" t="n">
        <v>5</v>
      </c>
      <c r="D74" s="6" t="s">
        <v>322</v>
      </c>
      <c r="E74" s="6" t="s">
        <v>85</v>
      </c>
      <c r="F74" s="6" t="s">
        <v>21</v>
      </c>
    </row>
    <row r="75" customFormat="false" ht="18" hidden="false" customHeight="true" outlineLevel="0" collapsed="false">
      <c r="A75" s="6" t="s">
        <v>70</v>
      </c>
      <c r="B75" s="6" t="s">
        <v>317</v>
      </c>
      <c r="C75" s="7" t="n">
        <v>6</v>
      </c>
      <c r="D75" s="6" t="s">
        <v>323</v>
      </c>
      <c r="E75" s="6" t="s">
        <v>324</v>
      </c>
      <c r="F75" s="6" t="s">
        <v>21</v>
      </c>
    </row>
    <row r="76" customFormat="false" ht="18" hidden="false" customHeight="true" outlineLevel="0" collapsed="false">
      <c r="A76" s="6" t="s">
        <v>70</v>
      </c>
      <c r="B76" s="6" t="s">
        <v>317</v>
      </c>
      <c r="C76" s="7" t="n">
        <v>7</v>
      </c>
      <c r="D76" s="6" t="s">
        <v>325</v>
      </c>
      <c r="E76" s="6" t="s">
        <v>52</v>
      </c>
      <c r="F76" s="6" t="s">
        <v>21</v>
      </c>
    </row>
    <row r="77" customFormat="false" ht="18" hidden="false" customHeight="true" outlineLevel="0" collapsed="false">
      <c r="A77" s="6" t="s">
        <v>70</v>
      </c>
      <c r="B77" s="6" t="s">
        <v>317</v>
      </c>
      <c r="C77" s="7" t="n">
        <v>8</v>
      </c>
      <c r="D77" s="6" t="s">
        <v>326</v>
      </c>
      <c r="E77" s="6" t="s">
        <v>327</v>
      </c>
      <c r="F77" s="6" t="s">
        <v>21</v>
      </c>
    </row>
    <row r="78" customFormat="false" ht="18" hidden="false" customHeight="true" outlineLevel="0" collapsed="false">
      <c r="A78" s="6" t="s">
        <v>70</v>
      </c>
      <c r="B78" s="6" t="s">
        <v>317</v>
      </c>
      <c r="C78" s="7" t="n">
        <v>9</v>
      </c>
      <c r="D78" s="6" t="s">
        <v>328</v>
      </c>
      <c r="E78" s="6" t="s">
        <v>327</v>
      </c>
      <c r="F78" s="6" t="s">
        <v>21</v>
      </c>
    </row>
    <row r="79" customFormat="false" ht="18" hidden="false" customHeight="true" outlineLevel="0" collapsed="false">
      <c r="A79" s="6" t="s">
        <v>70</v>
      </c>
      <c r="B79" s="6" t="s">
        <v>329</v>
      </c>
      <c r="C79" s="7" t="n">
        <v>4</v>
      </c>
      <c r="D79" s="6" t="s">
        <v>330</v>
      </c>
      <c r="E79" s="6" t="s">
        <v>85</v>
      </c>
      <c r="F79" s="6" t="s">
        <v>21</v>
      </c>
    </row>
    <row r="80" customFormat="false" ht="18" hidden="false" customHeight="true" outlineLevel="0" collapsed="false">
      <c r="A80" s="6" t="s">
        <v>70</v>
      </c>
      <c r="B80" s="6" t="s">
        <v>329</v>
      </c>
      <c r="C80" s="7" t="n">
        <v>7</v>
      </c>
      <c r="D80" s="6" t="s">
        <v>334</v>
      </c>
      <c r="E80" s="6" t="s">
        <v>335</v>
      </c>
      <c r="F80" s="6" t="s">
        <v>21</v>
      </c>
    </row>
    <row r="81" customFormat="false" ht="18" hidden="false" customHeight="true" outlineLevel="0" collapsed="false">
      <c r="A81" s="6" t="s">
        <v>70</v>
      </c>
      <c r="B81" s="6" t="s">
        <v>329</v>
      </c>
      <c r="C81" s="7" t="n">
        <v>9</v>
      </c>
      <c r="D81" s="6" t="s">
        <v>336</v>
      </c>
      <c r="E81" s="6" t="s">
        <v>52</v>
      </c>
      <c r="F81" s="6" t="s">
        <v>21</v>
      </c>
    </row>
    <row r="82" customFormat="false" ht="18" hidden="false" customHeight="true" outlineLevel="0" collapsed="false">
      <c r="A82" s="6" t="s">
        <v>70</v>
      </c>
      <c r="B82" s="6" t="s">
        <v>329</v>
      </c>
      <c r="C82" s="7" t="n">
        <v>10</v>
      </c>
      <c r="D82" s="6" t="s">
        <v>337</v>
      </c>
      <c r="E82" s="6" t="s">
        <v>85</v>
      </c>
      <c r="F82" s="6" t="s">
        <v>21</v>
      </c>
    </row>
    <row r="83" customFormat="false" ht="18" hidden="false" customHeight="true" outlineLevel="0" collapsed="false">
      <c r="A83" s="6" t="s">
        <v>85</v>
      </c>
      <c r="B83" s="6" t="s">
        <v>343</v>
      </c>
      <c r="C83" s="7" t="n">
        <v>1</v>
      </c>
      <c r="D83" s="6" t="s">
        <v>344</v>
      </c>
      <c r="E83" s="6" t="s">
        <v>102</v>
      </c>
      <c r="F83" s="6" t="s">
        <v>21</v>
      </c>
    </row>
    <row r="84" customFormat="false" ht="18" hidden="false" customHeight="true" outlineLevel="0" collapsed="false">
      <c r="A84" s="6" t="s">
        <v>85</v>
      </c>
      <c r="B84" s="6" t="s">
        <v>343</v>
      </c>
      <c r="C84" s="7" t="n">
        <v>2</v>
      </c>
      <c r="D84" s="6" t="s">
        <v>345</v>
      </c>
      <c r="E84" s="6" t="s">
        <v>102</v>
      </c>
      <c r="F84" s="6" t="s">
        <v>21</v>
      </c>
    </row>
    <row r="85" customFormat="false" ht="18" hidden="false" customHeight="true" outlineLevel="0" collapsed="false">
      <c r="A85" s="6" t="s">
        <v>85</v>
      </c>
      <c r="B85" s="6" t="s">
        <v>343</v>
      </c>
      <c r="C85" s="7" t="n">
        <v>3</v>
      </c>
      <c r="D85" s="6" t="s">
        <v>346</v>
      </c>
      <c r="E85" s="6" t="s">
        <v>52</v>
      </c>
      <c r="F85" s="6" t="s">
        <v>21</v>
      </c>
    </row>
    <row r="86" customFormat="false" ht="18" hidden="false" customHeight="true" outlineLevel="0" collapsed="false">
      <c r="A86" s="6" t="s">
        <v>85</v>
      </c>
      <c r="B86" s="6" t="s">
        <v>343</v>
      </c>
      <c r="C86" s="7" t="n">
        <v>4</v>
      </c>
      <c r="D86" s="6" t="s">
        <v>349</v>
      </c>
      <c r="E86" s="6" t="s">
        <v>102</v>
      </c>
      <c r="F86" s="6" t="s">
        <v>21</v>
      </c>
    </row>
    <row r="87" customFormat="false" ht="30" hidden="false" customHeight="true" outlineLevel="0" collapsed="false">
      <c r="A87" s="6" t="s">
        <v>85</v>
      </c>
      <c r="B87" s="6" t="s">
        <v>343</v>
      </c>
      <c r="C87" s="7" t="n">
        <v>5</v>
      </c>
      <c r="D87" s="6" t="s">
        <v>350</v>
      </c>
      <c r="E87" s="6" t="s">
        <v>102</v>
      </c>
      <c r="F87" s="6" t="s">
        <v>21</v>
      </c>
    </row>
    <row r="88" customFormat="false" ht="18" hidden="false" customHeight="true" outlineLevel="0" collapsed="false">
      <c r="A88" s="6" t="s">
        <v>85</v>
      </c>
      <c r="B88" s="6" t="s">
        <v>343</v>
      </c>
      <c r="C88" s="7" t="n">
        <v>6</v>
      </c>
      <c r="D88" s="6" t="s">
        <v>351</v>
      </c>
      <c r="E88" s="6" t="s">
        <v>102</v>
      </c>
      <c r="F88" s="6" t="s">
        <v>21</v>
      </c>
    </row>
    <row r="89" customFormat="false" ht="18" hidden="false" customHeight="true" outlineLevel="0" collapsed="false">
      <c r="A89" s="6" t="s">
        <v>85</v>
      </c>
      <c r="B89" s="6" t="s">
        <v>343</v>
      </c>
      <c r="C89" s="7" t="n">
        <v>7</v>
      </c>
      <c r="D89" s="6" t="s">
        <v>352</v>
      </c>
      <c r="E89" s="6" t="s">
        <v>52</v>
      </c>
      <c r="F89" s="6" t="s">
        <v>21</v>
      </c>
    </row>
    <row r="90" customFormat="false" ht="18" hidden="false" customHeight="true" outlineLevel="0" collapsed="false">
      <c r="A90" s="6" t="s">
        <v>85</v>
      </c>
      <c r="B90" s="6" t="s">
        <v>343</v>
      </c>
      <c r="C90" s="7" t="n">
        <v>8</v>
      </c>
      <c r="D90" s="6" t="s">
        <v>354</v>
      </c>
      <c r="E90" s="6" t="s">
        <v>70</v>
      </c>
      <c r="F90" s="6" t="s">
        <v>21</v>
      </c>
    </row>
    <row r="91" customFormat="false" ht="18" hidden="false" customHeight="true" outlineLevel="0" collapsed="false">
      <c r="A91" s="6" t="s">
        <v>85</v>
      </c>
      <c r="B91" s="6" t="s">
        <v>343</v>
      </c>
      <c r="C91" s="7" t="n">
        <v>9</v>
      </c>
      <c r="D91" s="6" t="s">
        <v>355</v>
      </c>
      <c r="E91" s="6" t="s">
        <v>102</v>
      </c>
      <c r="F91" s="6" t="s">
        <v>21</v>
      </c>
    </row>
    <row r="92" customFormat="false" ht="18" hidden="false" customHeight="true" outlineLevel="0" collapsed="false">
      <c r="A92" s="6" t="s">
        <v>85</v>
      </c>
      <c r="B92" s="6" t="s">
        <v>357</v>
      </c>
      <c r="C92" s="7" t="n">
        <v>1</v>
      </c>
      <c r="D92" s="6" t="s">
        <v>358</v>
      </c>
      <c r="E92" s="6" t="s">
        <v>102</v>
      </c>
      <c r="F92" s="6" t="s">
        <v>21</v>
      </c>
    </row>
    <row r="93" customFormat="false" ht="18" hidden="false" customHeight="true" outlineLevel="0" collapsed="false">
      <c r="A93" s="6" t="s">
        <v>85</v>
      </c>
      <c r="B93" s="6" t="s">
        <v>357</v>
      </c>
      <c r="C93" s="7" t="n">
        <v>2</v>
      </c>
      <c r="D93" s="6" t="s">
        <v>359</v>
      </c>
      <c r="E93" s="6" t="s">
        <v>52</v>
      </c>
      <c r="F93" s="6" t="s">
        <v>21</v>
      </c>
    </row>
    <row r="94" customFormat="false" ht="18" hidden="false" customHeight="true" outlineLevel="0" collapsed="false">
      <c r="A94" s="6" t="s">
        <v>85</v>
      </c>
      <c r="B94" s="6" t="s">
        <v>357</v>
      </c>
      <c r="C94" s="7" t="n">
        <v>3</v>
      </c>
      <c r="D94" s="6" t="s">
        <v>360</v>
      </c>
      <c r="E94" s="6" t="s">
        <v>52</v>
      </c>
      <c r="F94" s="6" t="s">
        <v>21</v>
      </c>
    </row>
    <row r="95" customFormat="false" ht="18" hidden="false" customHeight="true" outlineLevel="0" collapsed="false">
      <c r="A95" s="6" t="s">
        <v>85</v>
      </c>
      <c r="B95" s="6" t="s">
        <v>357</v>
      </c>
      <c r="C95" s="7" t="n">
        <v>4</v>
      </c>
      <c r="D95" s="6" t="s">
        <v>361</v>
      </c>
      <c r="E95" s="6" t="s">
        <v>102</v>
      </c>
      <c r="F95" s="6" t="s">
        <v>21</v>
      </c>
    </row>
    <row r="96" customFormat="false" ht="18" hidden="false" customHeight="true" outlineLevel="0" collapsed="false">
      <c r="A96" s="6" t="s">
        <v>85</v>
      </c>
      <c r="B96" s="6" t="s">
        <v>357</v>
      </c>
      <c r="C96" s="7" t="n">
        <v>5</v>
      </c>
      <c r="D96" s="6" t="s">
        <v>362</v>
      </c>
      <c r="E96" s="6" t="s">
        <v>102</v>
      </c>
      <c r="F96" s="6" t="s">
        <v>21</v>
      </c>
    </row>
    <row r="97" customFormat="false" ht="18" hidden="false" customHeight="true" outlineLevel="0" collapsed="false">
      <c r="A97" s="6" t="s">
        <v>85</v>
      </c>
      <c r="B97" s="6" t="s">
        <v>357</v>
      </c>
      <c r="C97" s="7" t="n">
        <v>6</v>
      </c>
      <c r="D97" s="6" t="s">
        <v>363</v>
      </c>
      <c r="E97" s="6" t="s">
        <v>102</v>
      </c>
      <c r="F97" s="6" t="s">
        <v>21</v>
      </c>
    </row>
    <row r="98" customFormat="false" ht="18" hidden="false" customHeight="true" outlineLevel="0" collapsed="false">
      <c r="A98" s="6" t="s">
        <v>85</v>
      </c>
      <c r="B98" s="6" t="s">
        <v>357</v>
      </c>
      <c r="C98" s="7" t="n">
        <v>7</v>
      </c>
      <c r="D98" s="6" t="s">
        <v>364</v>
      </c>
      <c r="E98" s="6" t="s">
        <v>159</v>
      </c>
      <c r="F98" s="6" t="s">
        <v>21</v>
      </c>
    </row>
    <row r="99" customFormat="false" ht="18" hidden="false" customHeight="true" outlineLevel="0" collapsed="false">
      <c r="A99" s="6" t="s">
        <v>85</v>
      </c>
      <c r="B99" s="6" t="s">
        <v>357</v>
      </c>
      <c r="C99" s="7" t="n">
        <v>8</v>
      </c>
      <c r="D99" s="6" t="s">
        <v>366</v>
      </c>
      <c r="E99" s="6" t="s">
        <v>213</v>
      </c>
      <c r="F99" s="6" t="s">
        <v>21</v>
      </c>
    </row>
    <row r="100" customFormat="false" ht="18" hidden="false" customHeight="true" outlineLevel="0" collapsed="false">
      <c r="A100" s="6" t="s">
        <v>85</v>
      </c>
      <c r="B100" s="6" t="s">
        <v>357</v>
      </c>
      <c r="C100" s="7" t="n">
        <v>9</v>
      </c>
      <c r="D100" s="6" t="s">
        <v>367</v>
      </c>
      <c r="E100" s="6" t="s">
        <v>70</v>
      </c>
      <c r="F100" s="6" t="s">
        <v>21</v>
      </c>
    </row>
    <row r="101" customFormat="false" ht="18" hidden="false" customHeight="true" outlineLevel="0" collapsed="false">
      <c r="A101" s="6" t="s">
        <v>85</v>
      </c>
      <c r="B101" s="6" t="s">
        <v>369</v>
      </c>
      <c r="C101" s="7" t="n">
        <v>1</v>
      </c>
      <c r="D101" s="6" t="s">
        <v>370</v>
      </c>
      <c r="E101" s="6" t="s">
        <v>102</v>
      </c>
      <c r="F101" s="6" t="s">
        <v>21</v>
      </c>
    </row>
    <row r="102" customFormat="false" ht="18" hidden="false" customHeight="true" outlineLevel="0" collapsed="false">
      <c r="A102" s="6" t="s">
        <v>85</v>
      </c>
      <c r="B102" s="6" t="s">
        <v>369</v>
      </c>
      <c r="C102" s="7" t="n">
        <v>2</v>
      </c>
      <c r="D102" s="6" t="s">
        <v>371</v>
      </c>
      <c r="E102" s="6" t="s">
        <v>52</v>
      </c>
      <c r="F102" s="6" t="s">
        <v>21</v>
      </c>
    </row>
    <row r="103" customFormat="false" ht="18" hidden="false" customHeight="true" outlineLevel="0" collapsed="false">
      <c r="A103" s="6" t="s">
        <v>85</v>
      </c>
      <c r="B103" s="6" t="s">
        <v>369</v>
      </c>
      <c r="C103" s="7" t="n">
        <v>3</v>
      </c>
      <c r="D103" s="6" t="s">
        <v>372</v>
      </c>
      <c r="E103" s="6" t="s">
        <v>52</v>
      </c>
      <c r="F103" s="6" t="s">
        <v>21</v>
      </c>
    </row>
    <row r="104" customFormat="false" ht="18" hidden="false" customHeight="true" outlineLevel="0" collapsed="false">
      <c r="A104" s="6" t="s">
        <v>85</v>
      </c>
      <c r="B104" s="6" t="s">
        <v>369</v>
      </c>
      <c r="C104" s="7" t="n">
        <v>4</v>
      </c>
      <c r="D104" s="6" t="s">
        <v>373</v>
      </c>
      <c r="E104" s="6" t="s">
        <v>102</v>
      </c>
      <c r="F104" s="6" t="s">
        <v>21</v>
      </c>
    </row>
    <row r="105" customFormat="false" ht="18" hidden="false" customHeight="true" outlineLevel="0" collapsed="false">
      <c r="A105" s="6" t="s">
        <v>85</v>
      </c>
      <c r="B105" s="6" t="s">
        <v>369</v>
      </c>
      <c r="C105" s="7" t="n">
        <v>5</v>
      </c>
      <c r="D105" s="6" t="s">
        <v>374</v>
      </c>
      <c r="E105" s="6" t="s">
        <v>102</v>
      </c>
      <c r="F105" s="6" t="s">
        <v>21</v>
      </c>
    </row>
    <row r="106" customFormat="false" ht="18" hidden="false" customHeight="true" outlineLevel="0" collapsed="false">
      <c r="A106" s="6" t="s">
        <v>85</v>
      </c>
      <c r="B106" s="6" t="s">
        <v>369</v>
      </c>
      <c r="C106" s="7" t="n">
        <v>6</v>
      </c>
      <c r="D106" s="6" t="s">
        <v>375</v>
      </c>
      <c r="E106" s="6" t="s">
        <v>102</v>
      </c>
      <c r="F106" s="6" t="s">
        <v>21</v>
      </c>
    </row>
    <row r="107" customFormat="false" ht="18" hidden="false" customHeight="true" outlineLevel="0" collapsed="false">
      <c r="A107" s="6" t="s">
        <v>85</v>
      </c>
      <c r="B107" s="6" t="s">
        <v>369</v>
      </c>
      <c r="C107" s="7" t="n">
        <v>7</v>
      </c>
      <c r="D107" s="6" t="s">
        <v>376</v>
      </c>
      <c r="E107" s="6" t="s">
        <v>159</v>
      </c>
      <c r="F107" s="6" t="s">
        <v>21</v>
      </c>
    </row>
    <row r="108" customFormat="false" ht="18" hidden="false" customHeight="true" outlineLevel="0" collapsed="false">
      <c r="A108" s="6" t="s">
        <v>85</v>
      </c>
      <c r="B108" s="6" t="s">
        <v>369</v>
      </c>
      <c r="C108" s="7" t="n">
        <v>8</v>
      </c>
      <c r="D108" s="6" t="s">
        <v>377</v>
      </c>
      <c r="E108" s="6" t="s">
        <v>52</v>
      </c>
      <c r="F108" s="6" t="s">
        <v>21</v>
      </c>
    </row>
    <row r="109" customFormat="false" ht="18" hidden="false" customHeight="true" outlineLevel="0" collapsed="false">
      <c r="A109" s="6" t="s">
        <v>85</v>
      </c>
      <c r="B109" s="6" t="s">
        <v>369</v>
      </c>
      <c r="C109" s="7" t="n">
        <v>9</v>
      </c>
      <c r="D109" s="6" t="s">
        <v>378</v>
      </c>
      <c r="E109" s="6" t="s">
        <v>102</v>
      </c>
      <c r="F109" s="6" t="s">
        <v>21</v>
      </c>
    </row>
    <row r="110" customFormat="false" ht="18" hidden="false" customHeight="true" outlineLevel="0" collapsed="false">
      <c r="A110" s="6" t="s">
        <v>85</v>
      </c>
      <c r="B110" s="6" t="s">
        <v>380</v>
      </c>
      <c r="C110" s="7" t="n">
        <v>1</v>
      </c>
      <c r="D110" s="6" t="s">
        <v>381</v>
      </c>
      <c r="E110" s="6" t="s">
        <v>18</v>
      </c>
      <c r="F110" s="6" t="s">
        <v>21</v>
      </c>
    </row>
    <row r="111" customFormat="false" ht="18" hidden="false" customHeight="true" outlineLevel="0" collapsed="false">
      <c r="A111" s="6" t="s">
        <v>85</v>
      </c>
      <c r="B111" s="6" t="s">
        <v>380</v>
      </c>
      <c r="C111" s="7" t="n">
        <v>3</v>
      </c>
      <c r="D111" s="6" t="s">
        <v>382</v>
      </c>
      <c r="E111" s="6" t="s">
        <v>52</v>
      </c>
      <c r="F111" s="6" t="s">
        <v>21</v>
      </c>
    </row>
    <row r="112" customFormat="false" ht="18" hidden="false" customHeight="true" outlineLevel="0" collapsed="false">
      <c r="A112" s="6" t="s">
        <v>85</v>
      </c>
      <c r="B112" s="6" t="s">
        <v>380</v>
      </c>
      <c r="C112" s="7" t="n">
        <v>5</v>
      </c>
      <c r="D112" s="6" t="s">
        <v>383</v>
      </c>
      <c r="E112" s="6" t="s">
        <v>52</v>
      </c>
      <c r="F112" s="6" t="s">
        <v>21</v>
      </c>
    </row>
    <row r="113" customFormat="false" ht="18" hidden="false" customHeight="true" outlineLevel="0" collapsed="false">
      <c r="A113" s="6" t="s">
        <v>85</v>
      </c>
      <c r="B113" s="6" t="s">
        <v>380</v>
      </c>
      <c r="C113" s="7" t="n">
        <v>6</v>
      </c>
      <c r="D113" s="6" t="s">
        <v>384</v>
      </c>
      <c r="E113" s="6" t="s">
        <v>102</v>
      </c>
      <c r="F113" s="6" t="s">
        <v>21</v>
      </c>
    </row>
    <row r="114" customFormat="false" ht="18" hidden="false" customHeight="true" outlineLevel="0" collapsed="false">
      <c r="A114" s="6" t="s">
        <v>85</v>
      </c>
      <c r="B114" s="6" t="s">
        <v>380</v>
      </c>
      <c r="C114" s="7" t="n">
        <v>8</v>
      </c>
      <c r="D114" s="6" t="s">
        <v>385</v>
      </c>
      <c r="E114" s="6" t="s">
        <v>266</v>
      </c>
      <c r="F114" s="6" t="s">
        <v>21</v>
      </c>
    </row>
    <row r="115" customFormat="false" ht="18" hidden="false" customHeight="true" outlineLevel="0" collapsed="false">
      <c r="A115" s="6" t="s">
        <v>85</v>
      </c>
      <c r="B115" s="6" t="s">
        <v>380</v>
      </c>
      <c r="C115" s="7" t="n">
        <v>10</v>
      </c>
      <c r="D115" s="6" t="s">
        <v>386</v>
      </c>
      <c r="E115" s="6" t="s">
        <v>116</v>
      </c>
      <c r="F115" s="6" t="s">
        <v>21</v>
      </c>
    </row>
    <row r="116" customFormat="false" ht="18" hidden="false" customHeight="true" outlineLevel="0" collapsed="false">
      <c r="A116" s="6" t="s">
        <v>102</v>
      </c>
      <c r="B116" s="6" t="s">
        <v>387</v>
      </c>
      <c r="C116" s="7" t="n">
        <v>1</v>
      </c>
      <c r="D116" s="6" t="s">
        <v>388</v>
      </c>
      <c r="E116" s="6" t="s">
        <v>85</v>
      </c>
      <c r="F116" s="6" t="s">
        <v>21</v>
      </c>
    </row>
    <row r="117" customFormat="false" ht="18" hidden="false" customHeight="true" outlineLevel="0" collapsed="false">
      <c r="A117" s="6" t="s">
        <v>102</v>
      </c>
      <c r="B117" s="6" t="s">
        <v>387</v>
      </c>
      <c r="C117" s="7" t="n">
        <v>2</v>
      </c>
      <c r="D117" s="6" t="s">
        <v>389</v>
      </c>
      <c r="E117" s="6" t="s">
        <v>85</v>
      </c>
      <c r="F117" s="6" t="s">
        <v>21</v>
      </c>
    </row>
    <row r="118" customFormat="false" ht="18" hidden="false" customHeight="true" outlineLevel="0" collapsed="false">
      <c r="A118" s="6" t="s">
        <v>102</v>
      </c>
      <c r="B118" s="6" t="s">
        <v>387</v>
      </c>
      <c r="C118" s="7" t="n">
        <v>3</v>
      </c>
      <c r="D118" s="6" t="s">
        <v>390</v>
      </c>
      <c r="E118" s="6" t="s">
        <v>70</v>
      </c>
      <c r="F118" s="6" t="s">
        <v>21</v>
      </c>
    </row>
    <row r="119" customFormat="false" ht="18" hidden="false" customHeight="true" outlineLevel="0" collapsed="false">
      <c r="A119" s="6" t="s">
        <v>102</v>
      </c>
      <c r="B119" s="6" t="s">
        <v>387</v>
      </c>
      <c r="C119" s="7" t="n">
        <v>4</v>
      </c>
      <c r="D119" s="6" t="s">
        <v>391</v>
      </c>
      <c r="E119" s="6" t="s">
        <v>52</v>
      </c>
      <c r="F119" s="6" t="s">
        <v>21</v>
      </c>
    </row>
    <row r="120" customFormat="false" ht="18" hidden="false" customHeight="true" outlineLevel="0" collapsed="false">
      <c r="A120" s="6" t="s">
        <v>102</v>
      </c>
      <c r="B120" s="6" t="s">
        <v>387</v>
      </c>
      <c r="C120" s="7" t="n">
        <v>5</v>
      </c>
      <c r="D120" s="6" t="s">
        <v>392</v>
      </c>
      <c r="E120" s="6" t="s">
        <v>85</v>
      </c>
      <c r="F120" s="6" t="s">
        <v>21</v>
      </c>
    </row>
    <row r="121" customFormat="false" ht="18" hidden="false" customHeight="true" outlineLevel="0" collapsed="false">
      <c r="A121" s="6" t="s">
        <v>102</v>
      </c>
      <c r="B121" s="6" t="s">
        <v>387</v>
      </c>
      <c r="C121" s="7" t="n">
        <v>6</v>
      </c>
      <c r="D121" s="6" t="s">
        <v>393</v>
      </c>
      <c r="E121" s="6" t="s">
        <v>85</v>
      </c>
      <c r="F121" s="6" t="s">
        <v>21</v>
      </c>
    </row>
    <row r="122" customFormat="false" ht="18" hidden="false" customHeight="true" outlineLevel="0" collapsed="false">
      <c r="A122" s="6" t="s">
        <v>102</v>
      </c>
      <c r="B122" s="6" t="s">
        <v>387</v>
      </c>
      <c r="C122" s="7" t="n">
        <v>7</v>
      </c>
      <c r="D122" s="6" t="s">
        <v>394</v>
      </c>
      <c r="E122" s="6" t="s">
        <v>52</v>
      </c>
      <c r="F122" s="6" t="s">
        <v>21</v>
      </c>
    </row>
    <row r="123" customFormat="false" ht="18" hidden="false" customHeight="true" outlineLevel="0" collapsed="false">
      <c r="A123" s="6" t="s">
        <v>102</v>
      </c>
      <c r="B123" s="6" t="s">
        <v>387</v>
      </c>
      <c r="C123" s="7" t="n">
        <v>8</v>
      </c>
      <c r="D123" s="6" t="s">
        <v>395</v>
      </c>
      <c r="E123" s="6" t="s">
        <v>85</v>
      </c>
      <c r="F123" s="6" t="s">
        <v>21</v>
      </c>
    </row>
    <row r="124" customFormat="false" ht="18" hidden="false" customHeight="true" outlineLevel="0" collapsed="false">
      <c r="A124" s="6" t="s">
        <v>102</v>
      </c>
      <c r="B124" s="6" t="s">
        <v>387</v>
      </c>
      <c r="C124" s="7" t="n">
        <v>9</v>
      </c>
      <c r="D124" s="6" t="s">
        <v>396</v>
      </c>
      <c r="E124" s="6" t="s">
        <v>85</v>
      </c>
      <c r="F124" s="6" t="s">
        <v>21</v>
      </c>
    </row>
    <row r="125" customFormat="false" ht="18" hidden="false" customHeight="true" outlineLevel="0" collapsed="false">
      <c r="A125" s="6" t="s">
        <v>102</v>
      </c>
      <c r="B125" s="6" t="s">
        <v>398</v>
      </c>
      <c r="C125" s="7" t="n">
        <v>3</v>
      </c>
      <c r="D125" s="6" t="s">
        <v>399</v>
      </c>
      <c r="E125" s="6" t="s">
        <v>18</v>
      </c>
      <c r="F125" s="6" t="s">
        <v>21</v>
      </c>
    </row>
    <row r="126" customFormat="false" ht="18" hidden="false" customHeight="true" outlineLevel="0" collapsed="false">
      <c r="A126" s="6" t="s">
        <v>102</v>
      </c>
      <c r="B126" s="6" t="s">
        <v>398</v>
      </c>
      <c r="C126" s="7" t="n">
        <v>5</v>
      </c>
      <c r="D126" s="6" t="s">
        <v>400</v>
      </c>
      <c r="E126" s="6" t="s">
        <v>401</v>
      </c>
      <c r="F126" s="6" t="s">
        <v>21</v>
      </c>
    </row>
    <row r="127" customFormat="false" ht="18" hidden="false" customHeight="true" outlineLevel="0" collapsed="false">
      <c r="A127" s="6" t="s">
        <v>102</v>
      </c>
      <c r="B127" s="6" t="s">
        <v>398</v>
      </c>
      <c r="C127" s="7" t="n">
        <v>7</v>
      </c>
      <c r="D127" s="6" t="s">
        <v>402</v>
      </c>
      <c r="E127" s="6" t="s">
        <v>18</v>
      </c>
      <c r="F127" s="6" t="s">
        <v>21</v>
      </c>
    </row>
    <row r="128" customFormat="false" ht="18" hidden="false" customHeight="true" outlineLevel="0" collapsed="false">
      <c r="A128" s="6" t="s">
        <v>102</v>
      </c>
      <c r="B128" s="6" t="s">
        <v>398</v>
      </c>
      <c r="C128" s="7" t="n">
        <v>9</v>
      </c>
      <c r="D128" s="6" t="s">
        <v>405</v>
      </c>
      <c r="E128" s="6" t="s">
        <v>18</v>
      </c>
      <c r="F128" s="6" t="s">
        <v>21</v>
      </c>
    </row>
    <row r="129" customFormat="false" ht="18" hidden="false" customHeight="true" outlineLevel="0" collapsed="false">
      <c r="A129" s="6" t="s">
        <v>116</v>
      </c>
      <c r="B129" s="6" t="s">
        <v>406</v>
      </c>
      <c r="C129" s="7" t="n">
        <v>1</v>
      </c>
      <c r="D129" s="6" t="s">
        <v>407</v>
      </c>
      <c r="E129" s="6" t="s">
        <v>52</v>
      </c>
      <c r="F129" s="6" t="s">
        <v>21</v>
      </c>
    </row>
    <row r="130" customFormat="false" ht="18" hidden="false" customHeight="true" outlineLevel="0" collapsed="false">
      <c r="A130" s="6" t="s">
        <v>116</v>
      </c>
      <c r="B130" s="6" t="s">
        <v>406</v>
      </c>
      <c r="C130" s="7" t="n">
        <v>2</v>
      </c>
      <c r="D130" s="6" t="s">
        <v>408</v>
      </c>
      <c r="E130" s="6" t="s">
        <v>52</v>
      </c>
      <c r="F130" s="6" t="s">
        <v>21</v>
      </c>
    </row>
    <row r="131" customFormat="false" ht="18" hidden="false" customHeight="true" outlineLevel="0" collapsed="false">
      <c r="A131" s="6" t="s">
        <v>116</v>
      </c>
      <c r="B131" s="6" t="s">
        <v>406</v>
      </c>
      <c r="C131" s="7" t="n">
        <v>3</v>
      </c>
      <c r="D131" s="6" t="s">
        <v>409</v>
      </c>
      <c r="E131" s="6" t="s">
        <v>52</v>
      </c>
      <c r="F131" s="6" t="s">
        <v>21</v>
      </c>
    </row>
    <row r="132" customFormat="false" ht="18" hidden="false" customHeight="true" outlineLevel="0" collapsed="false">
      <c r="A132" s="6" t="s">
        <v>116</v>
      </c>
      <c r="B132" s="6" t="s">
        <v>406</v>
      </c>
      <c r="C132" s="7" t="n">
        <v>4</v>
      </c>
      <c r="D132" s="6" t="s">
        <v>411</v>
      </c>
      <c r="E132" s="6" t="s">
        <v>102</v>
      </c>
      <c r="F132" s="6" t="s">
        <v>21</v>
      </c>
    </row>
    <row r="133" customFormat="false" ht="18" hidden="false" customHeight="true" outlineLevel="0" collapsed="false">
      <c r="A133" s="6" t="s">
        <v>116</v>
      </c>
      <c r="B133" s="6" t="s">
        <v>406</v>
      </c>
      <c r="C133" s="7" t="n">
        <v>5</v>
      </c>
      <c r="D133" s="6" t="s">
        <v>412</v>
      </c>
      <c r="E133" s="6" t="s">
        <v>85</v>
      </c>
      <c r="F133" s="6" t="s">
        <v>21</v>
      </c>
    </row>
    <row r="134" customFormat="false" ht="18" hidden="false" customHeight="true" outlineLevel="0" collapsed="false">
      <c r="A134" s="6" t="s">
        <v>116</v>
      </c>
      <c r="B134" s="6" t="s">
        <v>406</v>
      </c>
      <c r="C134" s="7" t="n">
        <v>6</v>
      </c>
      <c r="D134" s="6" t="s">
        <v>413</v>
      </c>
      <c r="E134" s="6" t="s">
        <v>102</v>
      </c>
      <c r="F134" s="6" t="s">
        <v>21</v>
      </c>
    </row>
    <row r="135" customFormat="false" ht="18" hidden="false" customHeight="true" outlineLevel="0" collapsed="false">
      <c r="A135" s="6" t="s">
        <v>116</v>
      </c>
      <c r="B135" s="6" t="s">
        <v>406</v>
      </c>
      <c r="C135" s="7" t="n">
        <v>7</v>
      </c>
      <c r="D135" s="6" t="s">
        <v>414</v>
      </c>
      <c r="E135" s="6" t="s">
        <v>52</v>
      </c>
      <c r="F135" s="6" t="s">
        <v>21</v>
      </c>
    </row>
    <row r="136" customFormat="false" ht="18" hidden="false" customHeight="true" outlineLevel="0" collapsed="false">
      <c r="A136" s="6" t="s">
        <v>116</v>
      </c>
      <c r="B136" s="6" t="s">
        <v>406</v>
      </c>
      <c r="C136" s="7" t="n">
        <v>8</v>
      </c>
      <c r="D136" s="6" t="s">
        <v>415</v>
      </c>
      <c r="E136" s="6" t="s">
        <v>70</v>
      </c>
      <c r="F136" s="6" t="s">
        <v>21</v>
      </c>
    </row>
    <row r="137" customFormat="false" ht="18" hidden="false" customHeight="true" outlineLevel="0" collapsed="false">
      <c r="A137" s="6" t="s">
        <v>116</v>
      </c>
      <c r="B137" s="6" t="s">
        <v>406</v>
      </c>
      <c r="C137" s="7" t="n">
        <v>9</v>
      </c>
      <c r="D137" s="6" t="s">
        <v>416</v>
      </c>
      <c r="E137" s="6" t="s">
        <v>102</v>
      </c>
      <c r="F137" s="6" t="s">
        <v>21</v>
      </c>
    </row>
    <row r="138" customFormat="false" ht="18" hidden="false" customHeight="true" outlineLevel="0" collapsed="false">
      <c r="A138" s="6" t="s">
        <v>116</v>
      </c>
      <c r="B138" s="6" t="s">
        <v>417</v>
      </c>
      <c r="C138" s="7" t="n">
        <v>1</v>
      </c>
      <c r="D138" s="6" t="s">
        <v>418</v>
      </c>
      <c r="E138" s="6" t="s">
        <v>52</v>
      </c>
      <c r="F138" s="6" t="s">
        <v>21</v>
      </c>
    </row>
    <row r="139" customFormat="false" ht="18" hidden="false" customHeight="true" outlineLevel="0" collapsed="false">
      <c r="A139" s="6" t="s">
        <v>116</v>
      </c>
      <c r="B139" s="6" t="s">
        <v>417</v>
      </c>
      <c r="C139" s="7" t="n">
        <v>3</v>
      </c>
      <c r="D139" s="6" t="s">
        <v>419</v>
      </c>
      <c r="E139" s="6" t="s">
        <v>52</v>
      </c>
      <c r="F139" s="6" t="s">
        <v>21</v>
      </c>
    </row>
    <row r="140" customFormat="false" ht="18" hidden="false" customHeight="true" outlineLevel="0" collapsed="false">
      <c r="A140" s="6" t="s">
        <v>116</v>
      </c>
      <c r="B140" s="6" t="s">
        <v>417</v>
      </c>
      <c r="C140" s="7" t="n">
        <v>5</v>
      </c>
      <c r="D140" s="6" t="s">
        <v>420</v>
      </c>
      <c r="E140" s="6" t="s">
        <v>52</v>
      </c>
      <c r="F140" s="6" t="s">
        <v>21</v>
      </c>
    </row>
    <row r="141" customFormat="false" ht="18" hidden="false" customHeight="true" outlineLevel="0" collapsed="false">
      <c r="A141" s="6" t="s">
        <v>116</v>
      </c>
      <c r="B141" s="6" t="s">
        <v>417</v>
      </c>
      <c r="C141" s="7" t="n">
        <v>7</v>
      </c>
      <c r="D141" s="6" t="s">
        <v>421</v>
      </c>
      <c r="E141" s="6" t="s">
        <v>102</v>
      </c>
      <c r="F141" s="6" t="s">
        <v>21</v>
      </c>
    </row>
    <row r="142" customFormat="false" ht="18" hidden="false" customHeight="true" outlineLevel="0" collapsed="false">
      <c r="A142" s="6" t="s">
        <v>116</v>
      </c>
      <c r="B142" s="6" t="s">
        <v>417</v>
      </c>
      <c r="C142" s="7" t="n">
        <v>10</v>
      </c>
      <c r="D142" s="6" t="s">
        <v>422</v>
      </c>
      <c r="E142" s="6" t="s">
        <v>52</v>
      </c>
      <c r="F142" s="6" t="s">
        <v>21</v>
      </c>
    </row>
    <row r="143" customFormat="false" ht="18" hidden="false" customHeight="true" outlineLevel="0" collapsed="false">
      <c r="A143" s="6" t="s">
        <v>130</v>
      </c>
      <c r="B143" s="6" t="s">
        <v>423</v>
      </c>
      <c r="C143" s="7" t="n">
        <v>1</v>
      </c>
      <c r="D143" s="6" t="s">
        <v>424</v>
      </c>
      <c r="E143" s="6" t="s">
        <v>230</v>
      </c>
      <c r="F143" s="6" t="s">
        <v>21</v>
      </c>
    </row>
    <row r="144" customFormat="false" ht="18" hidden="false" customHeight="true" outlineLevel="0" collapsed="false">
      <c r="A144" s="6" t="s">
        <v>130</v>
      </c>
      <c r="B144" s="6" t="s">
        <v>423</v>
      </c>
      <c r="C144" s="7" t="n">
        <v>3</v>
      </c>
      <c r="D144" s="6" t="s">
        <v>425</v>
      </c>
      <c r="E144" s="6" t="s">
        <v>52</v>
      </c>
      <c r="F144" s="6" t="s">
        <v>21</v>
      </c>
    </row>
    <row r="145" customFormat="false" ht="18" hidden="false" customHeight="true" outlineLevel="0" collapsed="false">
      <c r="A145" s="6" t="s">
        <v>130</v>
      </c>
      <c r="B145" s="6" t="s">
        <v>423</v>
      </c>
      <c r="C145" s="7" t="n">
        <v>4</v>
      </c>
      <c r="D145" s="6" t="s">
        <v>426</v>
      </c>
      <c r="E145" s="6" t="s">
        <v>427</v>
      </c>
      <c r="F145" s="6" t="s">
        <v>21</v>
      </c>
    </row>
    <row r="146" customFormat="false" ht="18" hidden="false" customHeight="true" outlineLevel="0" collapsed="false">
      <c r="A146" s="6" t="s">
        <v>130</v>
      </c>
      <c r="B146" s="6" t="s">
        <v>423</v>
      </c>
      <c r="C146" s="7" t="n">
        <v>5</v>
      </c>
      <c r="D146" s="6" t="s">
        <v>428</v>
      </c>
      <c r="E146" s="6" t="s">
        <v>52</v>
      </c>
      <c r="F146" s="6" t="s">
        <v>21</v>
      </c>
    </row>
    <row r="147" customFormat="false" ht="18" hidden="false" customHeight="true" outlineLevel="0" collapsed="false">
      <c r="A147" s="6" t="s">
        <v>130</v>
      </c>
      <c r="B147" s="6" t="s">
        <v>423</v>
      </c>
      <c r="C147" s="7" t="n">
        <v>6</v>
      </c>
      <c r="D147" s="6" t="s">
        <v>430</v>
      </c>
      <c r="E147" s="6" t="s">
        <v>102</v>
      </c>
      <c r="F147" s="6" t="s">
        <v>21</v>
      </c>
    </row>
    <row r="148" customFormat="false" ht="18" hidden="false" customHeight="true" outlineLevel="0" collapsed="false">
      <c r="A148" s="6" t="s">
        <v>130</v>
      </c>
      <c r="B148" s="6" t="s">
        <v>423</v>
      </c>
      <c r="C148" s="7" t="n">
        <v>7</v>
      </c>
      <c r="D148" s="6" t="s">
        <v>431</v>
      </c>
      <c r="E148" s="6" t="s">
        <v>427</v>
      </c>
      <c r="F148" s="6" t="s">
        <v>21</v>
      </c>
    </row>
    <row r="149" customFormat="false" ht="18" hidden="false" customHeight="true" outlineLevel="0" collapsed="false">
      <c r="A149" s="6" t="s">
        <v>130</v>
      </c>
      <c r="B149" s="6" t="s">
        <v>423</v>
      </c>
      <c r="C149" s="7" t="n">
        <v>8</v>
      </c>
      <c r="D149" s="6" t="s">
        <v>432</v>
      </c>
      <c r="E149" s="6" t="s">
        <v>266</v>
      </c>
      <c r="F149" s="6" t="s">
        <v>21</v>
      </c>
    </row>
    <row r="150" customFormat="false" ht="18" hidden="false" customHeight="true" outlineLevel="0" collapsed="false">
      <c r="A150" s="6" t="s">
        <v>130</v>
      </c>
      <c r="B150" s="6" t="s">
        <v>423</v>
      </c>
      <c r="C150" s="7" t="n">
        <v>9</v>
      </c>
      <c r="D150" s="6" t="s">
        <v>433</v>
      </c>
      <c r="E150" s="6" t="s">
        <v>52</v>
      </c>
      <c r="F150" s="6" t="s">
        <v>21</v>
      </c>
    </row>
    <row r="151" customFormat="false" ht="18" hidden="false" customHeight="true" outlineLevel="0" collapsed="false">
      <c r="A151" s="6" t="s">
        <v>130</v>
      </c>
      <c r="B151" s="6" t="s">
        <v>434</v>
      </c>
      <c r="C151" s="7" t="n">
        <v>1</v>
      </c>
      <c r="D151" s="6" t="s">
        <v>435</v>
      </c>
      <c r="E151" s="6" t="s">
        <v>38</v>
      </c>
      <c r="F151" s="6" t="s">
        <v>21</v>
      </c>
    </row>
    <row r="152" customFormat="false" ht="18" hidden="false" customHeight="true" outlineLevel="0" collapsed="false">
      <c r="A152" s="6" t="s">
        <v>130</v>
      </c>
      <c r="B152" s="6" t="s">
        <v>434</v>
      </c>
      <c r="C152" s="7" t="n">
        <v>2</v>
      </c>
      <c r="D152" s="6" t="s">
        <v>438</v>
      </c>
      <c r="E152" s="6" t="s">
        <v>38</v>
      </c>
      <c r="F152" s="6" t="s">
        <v>21</v>
      </c>
    </row>
    <row r="153" customFormat="false" ht="18" hidden="false" customHeight="true" outlineLevel="0" collapsed="false">
      <c r="A153" s="6" t="s">
        <v>130</v>
      </c>
      <c r="B153" s="6" t="s">
        <v>434</v>
      </c>
      <c r="C153" s="7" t="n">
        <v>4</v>
      </c>
      <c r="D153" s="6" t="s">
        <v>440</v>
      </c>
      <c r="E153" s="6" t="s">
        <v>102</v>
      </c>
      <c r="F153" s="6" t="s">
        <v>21</v>
      </c>
    </row>
    <row r="154" customFormat="false" ht="18" hidden="false" customHeight="true" outlineLevel="0" collapsed="false">
      <c r="A154" s="6" t="s">
        <v>130</v>
      </c>
      <c r="B154" s="6" t="s">
        <v>434</v>
      </c>
      <c r="C154" s="7" t="n">
        <v>5</v>
      </c>
      <c r="D154" s="6" t="s">
        <v>441</v>
      </c>
      <c r="E154" s="6" t="s">
        <v>38</v>
      </c>
      <c r="F154" s="6" t="s">
        <v>21</v>
      </c>
    </row>
    <row r="155" customFormat="false" ht="18" hidden="false" customHeight="true" outlineLevel="0" collapsed="false">
      <c r="A155" s="6" t="s">
        <v>130</v>
      </c>
      <c r="B155" s="6" t="s">
        <v>434</v>
      </c>
      <c r="C155" s="7" t="n">
        <v>6</v>
      </c>
      <c r="D155" s="6" t="s">
        <v>442</v>
      </c>
      <c r="E155" s="6" t="s">
        <v>102</v>
      </c>
      <c r="F155" s="6" t="s">
        <v>21</v>
      </c>
    </row>
    <row r="156" customFormat="false" ht="18" hidden="false" customHeight="true" outlineLevel="0" collapsed="false">
      <c r="A156" s="6" t="s">
        <v>130</v>
      </c>
      <c r="B156" s="6" t="s">
        <v>434</v>
      </c>
      <c r="C156" s="7" t="n">
        <v>8</v>
      </c>
      <c r="D156" s="6" t="s">
        <v>443</v>
      </c>
      <c r="E156" s="6" t="s">
        <v>38</v>
      </c>
      <c r="F156" s="6" t="s">
        <v>21</v>
      </c>
    </row>
    <row r="157" customFormat="false" ht="18" hidden="false" customHeight="true" outlineLevel="0" collapsed="false">
      <c r="A157" s="6" t="s">
        <v>130</v>
      </c>
      <c r="B157" s="6" t="s">
        <v>444</v>
      </c>
      <c r="C157" s="7" t="n">
        <v>1</v>
      </c>
      <c r="D157" s="6" t="s">
        <v>445</v>
      </c>
      <c r="E157" s="6" t="s">
        <v>102</v>
      </c>
      <c r="F157" s="6" t="s">
        <v>21</v>
      </c>
    </row>
    <row r="158" customFormat="false" ht="18" hidden="false" customHeight="true" outlineLevel="0" collapsed="false">
      <c r="A158" s="6" t="s">
        <v>130</v>
      </c>
      <c r="B158" s="6" t="s">
        <v>444</v>
      </c>
      <c r="C158" s="7" t="n">
        <v>3</v>
      </c>
      <c r="D158" s="6" t="s">
        <v>446</v>
      </c>
      <c r="E158" s="6" t="s">
        <v>102</v>
      </c>
      <c r="F158" s="6" t="s">
        <v>21</v>
      </c>
    </row>
    <row r="159" customFormat="false" ht="18" hidden="false" customHeight="true" outlineLevel="0" collapsed="false">
      <c r="A159" s="6" t="s">
        <v>130</v>
      </c>
      <c r="B159" s="6" t="s">
        <v>444</v>
      </c>
      <c r="C159" s="7" t="n">
        <v>4</v>
      </c>
      <c r="D159" s="6" t="s">
        <v>447</v>
      </c>
      <c r="E159" s="6" t="s">
        <v>102</v>
      </c>
      <c r="F159" s="6" t="s">
        <v>21</v>
      </c>
    </row>
    <row r="160" customFormat="false" ht="18" hidden="false" customHeight="true" outlineLevel="0" collapsed="false">
      <c r="A160" s="6" t="s">
        <v>130</v>
      </c>
      <c r="B160" s="6" t="s">
        <v>444</v>
      </c>
      <c r="C160" s="7" t="n">
        <v>6</v>
      </c>
      <c r="D160" s="6" t="s">
        <v>448</v>
      </c>
      <c r="E160" s="6" t="s">
        <v>85</v>
      </c>
      <c r="F160" s="6" t="s">
        <v>21</v>
      </c>
    </row>
    <row r="161" customFormat="false" ht="18" hidden="false" customHeight="true" outlineLevel="0" collapsed="false">
      <c r="A161" s="6" t="s">
        <v>144</v>
      </c>
      <c r="B161" s="6" t="s">
        <v>449</v>
      </c>
      <c r="C161" s="7" t="n">
        <v>1</v>
      </c>
      <c r="D161" s="6" t="s">
        <v>450</v>
      </c>
      <c r="E161" s="6" t="s">
        <v>230</v>
      </c>
      <c r="F161" s="6" t="s">
        <v>21</v>
      </c>
    </row>
    <row r="162" customFormat="false" ht="18" hidden="false" customHeight="true" outlineLevel="0" collapsed="false">
      <c r="A162" s="6" t="s">
        <v>144</v>
      </c>
      <c r="B162" s="6" t="s">
        <v>449</v>
      </c>
      <c r="C162" s="7" t="n">
        <v>2</v>
      </c>
      <c r="D162" s="6" t="s">
        <v>451</v>
      </c>
      <c r="E162" s="6" t="s">
        <v>207</v>
      </c>
      <c r="F162" s="6" t="s">
        <v>21</v>
      </c>
    </row>
    <row r="163" customFormat="false" ht="18" hidden="false" customHeight="true" outlineLevel="0" collapsed="false">
      <c r="A163" s="6" t="s">
        <v>144</v>
      </c>
      <c r="B163" s="6" t="s">
        <v>449</v>
      </c>
      <c r="C163" s="7" t="n">
        <v>3</v>
      </c>
      <c r="D163" s="6" t="s">
        <v>452</v>
      </c>
      <c r="E163" s="6" t="s">
        <v>52</v>
      </c>
      <c r="F163" s="6" t="s">
        <v>21</v>
      </c>
    </row>
    <row r="164" customFormat="false" ht="18" hidden="false" customHeight="true" outlineLevel="0" collapsed="false">
      <c r="A164" s="6" t="s">
        <v>144</v>
      </c>
      <c r="B164" s="6" t="s">
        <v>449</v>
      </c>
      <c r="C164" s="7" t="n">
        <v>4</v>
      </c>
      <c r="D164" s="6" t="s">
        <v>453</v>
      </c>
      <c r="E164" s="6" t="s">
        <v>196</v>
      </c>
      <c r="F164" s="6" t="s">
        <v>21</v>
      </c>
    </row>
    <row r="165" customFormat="false" ht="18" hidden="false" customHeight="true" outlineLevel="0" collapsed="false">
      <c r="A165" s="6" t="s">
        <v>144</v>
      </c>
      <c r="B165" s="6" t="s">
        <v>449</v>
      </c>
      <c r="C165" s="7" t="n">
        <v>5</v>
      </c>
      <c r="D165" s="6" t="s">
        <v>454</v>
      </c>
      <c r="E165" s="6" t="s">
        <v>230</v>
      </c>
      <c r="F165" s="6" t="s">
        <v>21</v>
      </c>
    </row>
    <row r="166" customFormat="false" ht="18" hidden="false" customHeight="true" outlineLevel="0" collapsed="false">
      <c r="A166" s="6" t="s">
        <v>144</v>
      </c>
      <c r="B166" s="6" t="s">
        <v>449</v>
      </c>
      <c r="C166" s="7" t="n">
        <v>6</v>
      </c>
      <c r="D166" s="6" t="s">
        <v>456</v>
      </c>
      <c r="E166" s="6" t="s">
        <v>102</v>
      </c>
      <c r="F166" s="6" t="s">
        <v>21</v>
      </c>
    </row>
    <row r="167" customFormat="false" ht="18" hidden="false" customHeight="true" outlineLevel="0" collapsed="false">
      <c r="A167" s="6" t="s">
        <v>144</v>
      </c>
      <c r="B167" s="6" t="s">
        <v>449</v>
      </c>
      <c r="C167" s="7" t="n">
        <v>7</v>
      </c>
      <c r="D167" s="6" t="s">
        <v>457</v>
      </c>
      <c r="E167" s="6" t="s">
        <v>427</v>
      </c>
      <c r="F167" s="6" t="s">
        <v>21</v>
      </c>
    </row>
    <row r="168" customFormat="false" ht="18" hidden="false" customHeight="true" outlineLevel="0" collapsed="false">
      <c r="A168" s="6" t="s">
        <v>144</v>
      </c>
      <c r="B168" s="6" t="s">
        <v>449</v>
      </c>
      <c r="C168" s="7" t="n">
        <v>8</v>
      </c>
      <c r="D168" s="6" t="s">
        <v>458</v>
      </c>
      <c r="E168" s="6" t="s">
        <v>116</v>
      </c>
      <c r="F168" s="6" t="s">
        <v>21</v>
      </c>
    </row>
    <row r="169" customFormat="false" ht="18" hidden="false" customHeight="true" outlineLevel="0" collapsed="false">
      <c r="A169" s="6" t="s">
        <v>144</v>
      </c>
      <c r="B169" s="6" t="s">
        <v>449</v>
      </c>
      <c r="C169" s="7" t="n">
        <v>9</v>
      </c>
      <c r="D169" s="6" t="s">
        <v>459</v>
      </c>
      <c r="E169" s="6" t="s">
        <v>52</v>
      </c>
      <c r="F169" s="6" t="s">
        <v>21</v>
      </c>
    </row>
    <row r="170" customFormat="false" ht="18" hidden="false" customHeight="true" outlineLevel="0" collapsed="false">
      <c r="A170" s="6" t="s">
        <v>144</v>
      </c>
      <c r="B170" s="6" t="s">
        <v>461</v>
      </c>
      <c r="C170" s="7" t="n">
        <v>1</v>
      </c>
      <c r="D170" s="6" t="s">
        <v>462</v>
      </c>
      <c r="E170" s="6" t="s">
        <v>102</v>
      </c>
      <c r="F170" s="6" t="s">
        <v>21</v>
      </c>
    </row>
    <row r="171" customFormat="false" ht="18" hidden="false" customHeight="true" outlineLevel="0" collapsed="false">
      <c r="A171" s="6" t="s">
        <v>144</v>
      </c>
      <c r="B171" s="6" t="s">
        <v>461</v>
      </c>
      <c r="C171" s="7" t="n">
        <v>2</v>
      </c>
      <c r="D171" s="6" t="s">
        <v>463</v>
      </c>
      <c r="E171" s="6" t="s">
        <v>102</v>
      </c>
      <c r="F171" s="6" t="s">
        <v>21</v>
      </c>
    </row>
    <row r="172" customFormat="false" ht="18" hidden="false" customHeight="true" outlineLevel="0" collapsed="false">
      <c r="A172" s="6" t="s">
        <v>144</v>
      </c>
      <c r="B172" s="6" t="s">
        <v>461</v>
      </c>
      <c r="C172" s="7" t="n">
        <v>3</v>
      </c>
      <c r="D172" s="6" t="s">
        <v>464</v>
      </c>
      <c r="E172" s="6" t="s">
        <v>52</v>
      </c>
      <c r="F172" s="6" t="s">
        <v>21</v>
      </c>
    </row>
    <row r="173" customFormat="false" ht="18" hidden="false" customHeight="true" outlineLevel="0" collapsed="false">
      <c r="A173" s="6" t="s">
        <v>144</v>
      </c>
      <c r="B173" s="6" t="s">
        <v>461</v>
      </c>
      <c r="C173" s="7" t="n">
        <v>4</v>
      </c>
      <c r="D173" s="6" t="s">
        <v>465</v>
      </c>
      <c r="E173" s="6" t="s">
        <v>102</v>
      </c>
      <c r="F173" s="6" t="s">
        <v>21</v>
      </c>
    </row>
    <row r="174" customFormat="false" ht="18" hidden="false" customHeight="true" outlineLevel="0" collapsed="false">
      <c r="A174" s="6" t="s">
        <v>144</v>
      </c>
      <c r="B174" s="6" t="s">
        <v>461</v>
      </c>
      <c r="C174" s="7" t="n">
        <v>5</v>
      </c>
      <c r="D174" s="6" t="s">
        <v>466</v>
      </c>
      <c r="E174" s="6" t="s">
        <v>226</v>
      </c>
      <c r="F174" s="6" t="s">
        <v>21</v>
      </c>
    </row>
    <row r="175" customFormat="false" ht="18" hidden="false" customHeight="true" outlineLevel="0" collapsed="false">
      <c r="A175" s="6" t="s">
        <v>144</v>
      </c>
      <c r="B175" s="6" t="s">
        <v>461</v>
      </c>
      <c r="C175" s="7" t="n">
        <v>6</v>
      </c>
      <c r="D175" s="6" t="s">
        <v>467</v>
      </c>
      <c r="E175" s="6" t="s">
        <v>85</v>
      </c>
      <c r="F175" s="6" t="s">
        <v>21</v>
      </c>
    </row>
    <row r="176" customFormat="false" ht="18" hidden="false" customHeight="true" outlineLevel="0" collapsed="false">
      <c r="A176" s="6" t="s">
        <v>144</v>
      </c>
      <c r="B176" s="6" t="s">
        <v>461</v>
      </c>
      <c r="C176" s="7" t="n">
        <v>8</v>
      </c>
      <c r="D176" s="6" t="s">
        <v>468</v>
      </c>
      <c r="E176" s="6" t="s">
        <v>116</v>
      </c>
      <c r="F176" s="6" t="s">
        <v>21</v>
      </c>
    </row>
    <row r="177" customFormat="false" ht="18" hidden="false" customHeight="true" outlineLevel="0" collapsed="false">
      <c r="A177" s="6" t="s">
        <v>144</v>
      </c>
      <c r="B177" s="6" t="s">
        <v>469</v>
      </c>
      <c r="C177" s="7" t="n">
        <v>5</v>
      </c>
      <c r="D177" s="6" t="s">
        <v>470</v>
      </c>
      <c r="E177" s="6" t="s">
        <v>427</v>
      </c>
      <c r="F177" s="6" t="s">
        <v>21</v>
      </c>
    </row>
    <row r="178" customFormat="false" ht="18" hidden="false" customHeight="true" outlineLevel="0" collapsed="false">
      <c r="A178" s="6" t="s">
        <v>144</v>
      </c>
      <c r="B178" s="6" t="s">
        <v>469</v>
      </c>
      <c r="C178" s="7" t="n">
        <v>6</v>
      </c>
      <c r="D178" s="6" t="s">
        <v>471</v>
      </c>
      <c r="E178" s="6" t="s">
        <v>230</v>
      </c>
      <c r="F178" s="6" t="s">
        <v>21</v>
      </c>
    </row>
    <row r="179" customFormat="false" ht="18" hidden="false" customHeight="true" outlineLevel="0" collapsed="false">
      <c r="A179" s="6" t="s">
        <v>144</v>
      </c>
      <c r="B179" s="6" t="s">
        <v>469</v>
      </c>
      <c r="C179" s="7" t="n">
        <v>7</v>
      </c>
      <c r="D179" s="6" t="s">
        <v>472</v>
      </c>
      <c r="E179" s="6" t="s">
        <v>102</v>
      </c>
      <c r="F179" s="6" t="s">
        <v>21</v>
      </c>
    </row>
    <row r="180" customFormat="false" ht="18" hidden="false" customHeight="true" outlineLevel="0" collapsed="false">
      <c r="A180" s="6" t="s">
        <v>144</v>
      </c>
      <c r="B180" s="6" t="s">
        <v>469</v>
      </c>
      <c r="C180" s="7" t="n">
        <v>8</v>
      </c>
      <c r="D180" s="6" t="s">
        <v>473</v>
      </c>
      <c r="E180" s="6" t="s">
        <v>52</v>
      </c>
      <c r="F180" s="6" t="s">
        <v>21</v>
      </c>
    </row>
    <row r="181" customFormat="false" ht="18" hidden="false" customHeight="true" outlineLevel="0" collapsed="false">
      <c r="A181" s="6" t="s">
        <v>144</v>
      </c>
      <c r="B181" s="6" t="s">
        <v>474</v>
      </c>
      <c r="C181" s="7" t="n">
        <v>4</v>
      </c>
      <c r="D181" s="6" t="s">
        <v>475</v>
      </c>
      <c r="E181" s="6" t="s">
        <v>85</v>
      </c>
      <c r="F181" s="6" t="s">
        <v>21</v>
      </c>
    </row>
    <row r="182" customFormat="false" ht="18" hidden="false" customHeight="true" outlineLevel="0" collapsed="false">
      <c r="A182" s="6" t="s">
        <v>144</v>
      </c>
      <c r="B182" s="6" t="s">
        <v>474</v>
      </c>
      <c r="C182" s="7" t="n">
        <v>6</v>
      </c>
      <c r="D182" s="6" t="s">
        <v>476</v>
      </c>
      <c r="E182" s="6" t="s">
        <v>52</v>
      </c>
      <c r="F182" s="6" t="s">
        <v>21</v>
      </c>
    </row>
    <row r="183" customFormat="false" ht="18" hidden="false" customHeight="true" outlineLevel="0" collapsed="false">
      <c r="A183" s="6" t="s">
        <v>144</v>
      </c>
      <c r="B183" s="6" t="s">
        <v>474</v>
      </c>
      <c r="C183" s="7" t="n">
        <v>7</v>
      </c>
      <c r="D183" s="6" t="s">
        <v>477</v>
      </c>
      <c r="E183" s="6" t="s">
        <v>52</v>
      </c>
      <c r="F183" s="6" t="s">
        <v>21</v>
      </c>
    </row>
    <row r="184" customFormat="false" ht="18" hidden="false" customHeight="true" outlineLevel="0" collapsed="false">
      <c r="A184" s="6" t="s">
        <v>144</v>
      </c>
      <c r="B184" s="6" t="s">
        <v>474</v>
      </c>
      <c r="C184" s="7" t="n">
        <v>7</v>
      </c>
      <c r="D184" s="6" t="s">
        <v>478</v>
      </c>
      <c r="E184" s="6" t="s">
        <v>38</v>
      </c>
      <c r="F184" s="6" t="s">
        <v>21</v>
      </c>
    </row>
    <row r="185" customFormat="false" ht="18" hidden="false" customHeight="true" outlineLevel="0" collapsed="false">
      <c r="A185" s="6" t="s">
        <v>144</v>
      </c>
      <c r="B185" s="6" t="s">
        <v>474</v>
      </c>
      <c r="C185" s="7" t="n">
        <v>8</v>
      </c>
      <c r="D185" s="6" t="s">
        <v>479</v>
      </c>
      <c r="E185" s="6" t="s">
        <v>52</v>
      </c>
      <c r="F185" s="6" t="s">
        <v>21</v>
      </c>
    </row>
    <row r="186" customFormat="false" ht="18" hidden="false" customHeight="true" outlineLevel="0" collapsed="false">
      <c r="A186" s="6" t="s">
        <v>144</v>
      </c>
      <c r="B186" s="6" t="s">
        <v>474</v>
      </c>
      <c r="C186" s="7" t="n">
        <v>10</v>
      </c>
      <c r="D186" s="6" t="s">
        <v>480</v>
      </c>
      <c r="E186" s="6" t="s">
        <v>52</v>
      </c>
      <c r="F186" s="6" t="s">
        <v>21</v>
      </c>
    </row>
    <row r="187" customFormat="false" ht="18" hidden="false" customHeight="true" outlineLevel="0" collapsed="false">
      <c r="A187" s="6" t="s">
        <v>159</v>
      </c>
      <c r="B187" s="6" t="s">
        <v>481</v>
      </c>
      <c r="C187" s="7" t="n">
        <v>1</v>
      </c>
      <c r="D187" s="6" t="s">
        <v>482</v>
      </c>
      <c r="E187" s="6" t="s">
        <v>324</v>
      </c>
      <c r="F187" s="6" t="s">
        <v>21</v>
      </c>
    </row>
    <row r="188" customFormat="false" ht="18" hidden="false" customHeight="true" outlineLevel="0" collapsed="false">
      <c r="A188" s="6" t="s">
        <v>159</v>
      </c>
      <c r="B188" s="6" t="s">
        <v>481</v>
      </c>
      <c r="C188" s="7" t="n">
        <v>2</v>
      </c>
      <c r="D188" s="6" t="s">
        <v>483</v>
      </c>
      <c r="E188" s="6" t="s">
        <v>70</v>
      </c>
      <c r="F188" s="6" t="s">
        <v>21</v>
      </c>
    </row>
    <row r="189" customFormat="false" ht="18" hidden="false" customHeight="true" outlineLevel="0" collapsed="false">
      <c r="A189" s="6" t="s">
        <v>159</v>
      </c>
      <c r="B189" s="6" t="s">
        <v>481</v>
      </c>
      <c r="C189" s="7" t="n">
        <v>3</v>
      </c>
      <c r="D189" s="6" t="s">
        <v>484</v>
      </c>
      <c r="E189" s="6" t="s">
        <v>85</v>
      </c>
      <c r="F189" s="6" t="s">
        <v>21</v>
      </c>
    </row>
    <row r="190" customFormat="false" ht="18" hidden="false" customHeight="true" outlineLevel="0" collapsed="false">
      <c r="A190" s="6" t="s">
        <v>159</v>
      </c>
      <c r="B190" s="6" t="s">
        <v>481</v>
      </c>
      <c r="C190" s="7" t="n">
        <v>4</v>
      </c>
      <c r="D190" s="6" t="s">
        <v>485</v>
      </c>
      <c r="E190" s="6" t="s">
        <v>70</v>
      </c>
      <c r="F190" s="6" t="s">
        <v>21</v>
      </c>
    </row>
    <row r="191" customFormat="false" ht="18" hidden="false" customHeight="true" outlineLevel="0" collapsed="false">
      <c r="A191" s="6" t="s">
        <v>159</v>
      </c>
      <c r="B191" s="6" t="s">
        <v>481</v>
      </c>
      <c r="C191" s="7" t="n">
        <v>5</v>
      </c>
      <c r="D191" s="6" t="s">
        <v>486</v>
      </c>
      <c r="E191" s="6" t="s">
        <v>102</v>
      </c>
      <c r="F191" s="6" t="s">
        <v>21</v>
      </c>
    </row>
    <row r="192" customFormat="false" ht="18" hidden="false" customHeight="true" outlineLevel="0" collapsed="false">
      <c r="A192" s="6" t="s">
        <v>159</v>
      </c>
      <c r="B192" s="6" t="s">
        <v>481</v>
      </c>
      <c r="C192" s="7" t="n">
        <v>6</v>
      </c>
      <c r="D192" s="6" t="s">
        <v>487</v>
      </c>
      <c r="E192" s="6" t="s">
        <v>203</v>
      </c>
      <c r="F192" s="6" t="s">
        <v>21</v>
      </c>
    </row>
    <row r="193" customFormat="false" ht="18" hidden="false" customHeight="true" outlineLevel="0" collapsed="false">
      <c r="A193" s="6" t="s">
        <v>159</v>
      </c>
      <c r="B193" s="6" t="s">
        <v>481</v>
      </c>
      <c r="C193" s="7" t="n">
        <v>7</v>
      </c>
      <c r="D193" s="6" t="s">
        <v>488</v>
      </c>
      <c r="E193" s="6" t="s">
        <v>52</v>
      </c>
      <c r="F193" s="6" t="s">
        <v>21</v>
      </c>
    </row>
    <row r="194" customFormat="false" ht="18" hidden="false" customHeight="true" outlineLevel="0" collapsed="false">
      <c r="A194" s="6" t="s">
        <v>159</v>
      </c>
      <c r="B194" s="6" t="s">
        <v>481</v>
      </c>
      <c r="C194" s="7" t="n">
        <v>8</v>
      </c>
      <c r="D194" s="6" t="s">
        <v>489</v>
      </c>
      <c r="E194" s="6" t="s">
        <v>213</v>
      </c>
      <c r="F194" s="6" t="s">
        <v>21</v>
      </c>
    </row>
    <row r="195" customFormat="false" ht="18" hidden="false" customHeight="true" outlineLevel="0" collapsed="false">
      <c r="A195" s="6" t="s">
        <v>159</v>
      </c>
      <c r="B195" s="6" t="s">
        <v>481</v>
      </c>
      <c r="C195" s="7" t="n">
        <v>9</v>
      </c>
      <c r="D195" s="6" t="s">
        <v>491</v>
      </c>
      <c r="E195" s="6" t="s">
        <v>70</v>
      </c>
      <c r="F195" s="6" t="s">
        <v>21</v>
      </c>
    </row>
    <row r="196" customFormat="false" ht="18" hidden="false" customHeight="true" outlineLevel="0" collapsed="false">
      <c r="A196" s="6" t="s">
        <v>159</v>
      </c>
      <c r="B196" s="6" t="s">
        <v>493</v>
      </c>
      <c r="C196" s="7" t="n">
        <v>1</v>
      </c>
      <c r="D196" s="6" t="s">
        <v>494</v>
      </c>
      <c r="E196" s="6" t="s">
        <v>85</v>
      </c>
      <c r="F196" s="6" t="s">
        <v>21</v>
      </c>
    </row>
    <row r="197" customFormat="false" ht="18" hidden="false" customHeight="true" outlineLevel="0" collapsed="false">
      <c r="A197" s="6" t="s">
        <v>159</v>
      </c>
      <c r="B197" s="6" t="s">
        <v>493</v>
      </c>
      <c r="C197" s="7" t="n">
        <v>3</v>
      </c>
      <c r="D197" s="6" t="s">
        <v>495</v>
      </c>
      <c r="E197" s="6" t="s">
        <v>85</v>
      </c>
      <c r="F197" s="6" t="s">
        <v>21</v>
      </c>
    </row>
    <row r="198" customFormat="false" ht="18" hidden="false" customHeight="true" outlineLevel="0" collapsed="false">
      <c r="A198" s="6" t="s">
        <v>159</v>
      </c>
      <c r="B198" s="6" t="s">
        <v>493</v>
      </c>
      <c r="C198" s="7" t="n">
        <v>4</v>
      </c>
      <c r="D198" s="6" t="s">
        <v>496</v>
      </c>
      <c r="E198" s="6" t="s">
        <v>85</v>
      </c>
      <c r="F198" s="6" t="s">
        <v>21</v>
      </c>
    </row>
    <row r="199" customFormat="false" ht="18" hidden="false" customHeight="true" outlineLevel="0" collapsed="false">
      <c r="A199" s="6" t="s">
        <v>159</v>
      </c>
      <c r="B199" s="6" t="s">
        <v>493</v>
      </c>
      <c r="C199" s="7" t="n">
        <v>5</v>
      </c>
      <c r="D199" s="6" t="s">
        <v>497</v>
      </c>
      <c r="E199" s="6" t="s">
        <v>102</v>
      </c>
      <c r="F199" s="6" t="s">
        <v>21</v>
      </c>
    </row>
    <row r="200" customFormat="false" ht="18" hidden="false" customHeight="true" outlineLevel="0" collapsed="false">
      <c r="A200" s="6" t="s">
        <v>159</v>
      </c>
      <c r="B200" s="6" t="s">
        <v>493</v>
      </c>
      <c r="C200" s="7" t="n">
        <v>6</v>
      </c>
      <c r="D200" s="6" t="s">
        <v>498</v>
      </c>
      <c r="E200" s="6" t="s">
        <v>85</v>
      </c>
      <c r="F200" s="6" t="s">
        <v>21</v>
      </c>
    </row>
    <row r="201" customFormat="false" ht="18" hidden="false" customHeight="true" outlineLevel="0" collapsed="false">
      <c r="A201" s="6" t="s">
        <v>159</v>
      </c>
      <c r="B201" s="6" t="s">
        <v>493</v>
      </c>
      <c r="C201" s="7" t="n">
        <v>7</v>
      </c>
      <c r="D201" s="6" t="s">
        <v>499</v>
      </c>
      <c r="E201" s="6" t="s">
        <v>85</v>
      </c>
      <c r="F201" s="6" t="s">
        <v>21</v>
      </c>
    </row>
    <row r="202" customFormat="false" ht="18" hidden="false" customHeight="true" outlineLevel="0" collapsed="false">
      <c r="A202" s="6" t="s">
        <v>159</v>
      </c>
      <c r="B202" s="6" t="s">
        <v>493</v>
      </c>
      <c r="C202" s="7" t="n">
        <v>8</v>
      </c>
      <c r="D202" s="6" t="s">
        <v>500</v>
      </c>
      <c r="E202" s="6" t="s">
        <v>85</v>
      </c>
      <c r="F202" s="6" t="s">
        <v>21</v>
      </c>
    </row>
    <row r="203" customFormat="false" ht="18" hidden="false" customHeight="true" outlineLevel="0" collapsed="false">
      <c r="A203" s="6" t="s">
        <v>159</v>
      </c>
      <c r="B203" s="6" t="s">
        <v>501</v>
      </c>
      <c r="C203" s="7" t="n">
        <v>1</v>
      </c>
      <c r="D203" s="6" t="s">
        <v>502</v>
      </c>
      <c r="E203" s="6" t="s">
        <v>130</v>
      </c>
      <c r="F203" s="6" t="s">
        <v>21</v>
      </c>
    </row>
    <row r="204" customFormat="false" ht="18" hidden="false" customHeight="true" outlineLevel="0" collapsed="false">
      <c r="A204" s="6" t="s">
        <v>159</v>
      </c>
      <c r="B204" s="6" t="s">
        <v>501</v>
      </c>
      <c r="C204" s="7" t="n">
        <v>3</v>
      </c>
      <c r="D204" s="6" t="s">
        <v>503</v>
      </c>
      <c r="E204" s="6" t="s">
        <v>38</v>
      </c>
      <c r="F204" s="6" t="s">
        <v>21</v>
      </c>
    </row>
    <row r="205" customFormat="false" ht="18" hidden="false" customHeight="true" outlineLevel="0" collapsed="false">
      <c r="A205" s="6" t="s">
        <v>159</v>
      </c>
      <c r="B205" s="6" t="s">
        <v>501</v>
      </c>
      <c r="C205" s="7" t="n">
        <v>4</v>
      </c>
      <c r="D205" s="6" t="s">
        <v>504</v>
      </c>
      <c r="E205" s="6" t="s">
        <v>52</v>
      </c>
      <c r="F205" s="6" t="s">
        <v>21</v>
      </c>
    </row>
    <row r="206" customFormat="false" ht="18" hidden="false" customHeight="true" outlineLevel="0" collapsed="false">
      <c r="A206" s="6" t="s">
        <v>159</v>
      </c>
      <c r="B206" s="6" t="s">
        <v>501</v>
      </c>
      <c r="C206" s="7" t="n">
        <v>5</v>
      </c>
      <c r="D206" s="6" t="s">
        <v>505</v>
      </c>
      <c r="E206" s="6" t="s">
        <v>52</v>
      </c>
      <c r="F206" s="6" t="s">
        <v>21</v>
      </c>
    </row>
    <row r="207" customFormat="false" ht="18" hidden="false" customHeight="true" outlineLevel="0" collapsed="false">
      <c r="A207" s="6" t="s">
        <v>159</v>
      </c>
      <c r="B207" s="6" t="s">
        <v>501</v>
      </c>
      <c r="C207" s="7" t="n">
        <v>6</v>
      </c>
      <c r="D207" s="6" t="s">
        <v>506</v>
      </c>
      <c r="E207" s="6" t="s">
        <v>85</v>
      </c>
      <c r="F207" s="6" t="s">
        <v>21</v>
      </c>
    </row>
    <row r="208" customFormat="false" ht="18" hidden="false" customHeight="true" outlineLevel="0" collapsed="false">
      <c r="A208" s="6" t="s">
        <v>159</v>
      </c>
      <c r="B208" s="6" t="s">
        <v>501</v>
      </c>
      <c r="C208" s="7" t="n">
        <v>7</v>
      </c>
      <c r="D208" s="6" t="s">
        <v>507</v>
      </c>
      <c r="E208" s="6" t="s">
        <v>52</v>
      </c>
      <c r="F208" s="6" t="s">
        <v>21</v>
      </c>
    </row>
    <row r="209" customFormat="false" ht="18" hidden="false" customHeight="true" outlineLevel="0" collapsed="false">
      <c r="A209" s="6" t="s">
        <v>159</v>
      </c>
      <c r="B209" s="6" t="s">
        <v>501</v>
      </c>
      <c r="C209" s="7" t="n">
        <v>9</v>
      </c>
      <c r="D209" s="6" t="s">
        <v>508</v>
      </c>
      <c r="E209" s="6" t="s">
        <v>52</v>
      </c>
      <c r="F209" s="6" t="s">
        <v>21</v>
      </c>
    </row>
    <row r="210" customFormat="false" ht="18" hidden="false" customHeight="true" outlineLevel="0" collapsed="false">
      <c r="A210" s="6" t="s">
        <v>159</v>
      </c>
      <c r="B210" s="6" t="s">
        <v>509</v>
      </c>
      <c r="C210" s="7" t="n">
        <v>1</v>
      </c>
      <c r="D210" s="6" t="s">
        <v>510</v>
      </c>
      <c r="E210" s="6" t="s">
        <v>102</v>
      </c>
      <c r="F210" s="6" t="s">
        <v>21</v>
      </c>
    </row>
    <row r="211" customFormat="false" ht="18" hidden="false" customHeight="true" outlineLevel="0" collapsed="false">
      <c r="A211" s="6" t="s">
        <v>159</v>
      </c>
      <c r="B211" s="6" t="s">
        <v>509</v>
      </c>
      <c r="C211" s="7" t="n">
        <v>2</v>
      </c>
      <c r="D211" s="6" t="s">
        <v>511</v>
      </c>
      <c r="E211" s="6" t="s">
        <v>85</v>
      </c>
      <c r="F211" s="6" t="s">
        <v>21</v>
      </c>
    </row>
    <row r="212" customFormat="false" ht="18" hidden="false" customHeight="true" outlineLevel="0" collapsed="false">
      <c r="A212" s="6" t="s">
        <v>159</v>
      </c>
      <c r="B212" s="6" t="s">
        <v>509</v>
      </c>
      <c r="C212" s="7" t="n">
        <v>2</v>
      </c>
      <c r="D212" s="6" t="s">
        <v>512</v>
      </c>
      <c r="E212" s="6" t="s">
        <v>102</v>
      </c>
      <c r="F212" s="6" t="s">
        <v>21</v>
      </c>
    </row>
    <row r="213" customFormat="false" ht="18" hidden="false" customHeight="true" outlineLevel="0" collapsed="false">
      <c r="A213" s="6" t="s">
        <v>159</v>
      </c>
      <c r="B213" s="6" t="s">
        <v>509</v>
      </c>
      <c r="C213" s="7" t="n">
        <v>3</v>
      </c>
      <c r="D213" s="6" t="s">
        <v>513</v>
      </c>
      <c r="E213" s="6" t="s">
        <v>102</v>
      </c>
      <c r="F213" s="6" t="s">
        <v>21</v>
      </c>
    </row>
    <row r="214" customFormat="false" ht="18" hidden="false" customHeight="true" outlineLevel="0" collapsed="false">
      <c r="A214" s="6" t="s">
        <v>159</v>
      </c>
      <c r="B214" s="6" t="s">
        <v>509</v>
      </c>
      <c r="C214" s="7" t="n">
        <v>5</v>
      </c>
      <c r="D214" s="6" t="s">
        <v>514</v>
      </c>
      <c r="E214" s="6" t="s">
        <v>324</v>
      </c>
      <c r="F214" s="6" t="s">
        <v>21</v>
      </c>
    </row>
    <row r="215" customFormat="false" ht="18" hidden="false" customHeight="true" outlineLevel="0" collapsed="false">
      <c r="A215" s="6" t="s">
        <v>159</v>
      </c>
      <c r="B215" s="6" t="s">
        <v>509</v>
      </c>
      <c r="C215" s="7" t="n">
        <v>7</v>
      </c>
      <c r="D215" s="6" t="s">
        <v>515</v>
      </c>
      <c r="E215" s="6" t="s">
        <v>70</v>
      </c>
      <c r="F215" s="6" t="s">
        <v>21</v>
      </c>
    </row>
  </sheetData>
  <autoFilter ref="A1:F215"/>
  <printOptions headings="false" gridLines="false" gridLinesSet="true" horizontalCentered="false" verticalCentered="false"/>
  <pageMargins left="0.25" right="0.25" top="0.4" bottom="0.4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&amp;CStar Cluster - provisional candidate matrix - no calibration&amp;RPage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68"/>
    <col collapsed="false" customWidth="true" hidden="false" outlineLevel="0" max="3" min="3" style="0" width="72"/>
  </cols>
  <sheetData>
    <row r="1" customFormat="false" ht="31.5" hidden="false" customHeight="true" outlineLevel="0" collapsed="false">
      <c r="A1" s="5" t="s">
        <v>729</v>
      </c>
      <c r="B1" s="5" t="s">
        <v>730</v>
      </c>
      <c r="C1" s="5" t="s">
        <v>731</v>
      </c>
    </row>
    <row r="2" customFormat="false" ht="45" hidden="false" customHeight="true" outlineLevel="0" collapsed="false">
      <c r="A2" s="6" t="s">
        <v>38</v>
      </c>
      <c r="B2" s="6" t="s">
        <v>732</v>
      </c>
      <c r="C2" s="6" t="s">
        <v>733</v>
      </c>
    </row>
    <row r="3" customFormat="false" ht="45" hidden="false" customHeight="true" outlineLevel="0" collapsed="false">
      <c r="A3" s="6" t="s">
        <v>734</v>
      </c>
      <c r="B3" s="6" t="s">
        <v>735</v>
      </c>
      <c r="C3" s="6" t="s">
        <v>736</v>
      </c>
    </row>
    <row r="4" customFormat="false" ht="30" hidden="false" customHeight="true" outlineLevel="0" collapsed="false">
      <c r="A4" s="6" t="s">
        <v>737</v>
      </c>
      <c r="B4" s="6" t="s">
        <v>738</v>
      </c>
      <c r="C4" s="6" t="s">
        <v>739</v>
      </c>
    </row>
    <row r="5" customFormat="false" ht="30" hidden="false" customHeight="true" outlineLevel="0" collapsed="false">
      <c r="A5" s="6" t="s">
        <v>740</v>
      </c>
      <c r="B5" s="6" t="s">
        <v>741</v>
      </c>
      <c r="C5" s="6" t="s">
        <v>742</v>
      </c>
    </row>
    <row r="6" customFormat="false" ht="30" hidden="false" customHeight="true" outlineLevel="0" collapsed="false">
      <c r="A6" s="6" t="s">
        <v>743</v>
      </c>
      <c r="B6" s="6" t="s">
        <v>744</v>
      </c>
      <c r="C6" s="6" t="s">
        <v>745</v>
      </c>
    </row>
    <row r="7" customFormat="false" ht="18" hidden="false" customHeight="true" outlineLevel="0" collapsed="false">
      <c r="A7" s="6" t="s">
        <v>746</v>
      </c>
      <c r="B7" s="6" t="s">
        <v>747</v>
      </c>
      <c r="C7" s="6" t="s">
        <v>748</v>
      </c>
    </row>
    <row r="8" customFormat="false" ht="45" hidden="false" customHeight="true" outlineLevel="0" collapsed="false">
      <c r="A8" s="6" t="s">
        <v>749</v>
      </c>
      <c r="B8" s="6" t="s">
        <v>750</v>
      </c>
      <c r="C8" s="6" t="s">
        <v>751</v>
      </c>
    </row>
    <row r="9" customFormat="false" ht="30" hidden="false" customHeight="true" outlineLevel="0" collapsed="false">
      <c r="A9" s="6" t="s">
        <v>752</v>
      </c>
      <c r="B9" s="9" t="s">
        <v>753</v>
      </c>
      <c r="C9" s="6" t="s">
        <v>754</v>
      </c>
    </row>
    <row r="10" customFormat="false" ht="30" hidden="false" customHeight="true" outlineLevel="0" collapsed="false">
      <c r="A10" s="6" t="s">
        <v>755</v>
      </c>
      <c r="B10" s="6" t="s">
        <v>756</v>
      </c>
      <c r="C10" s="6" t="s">
        <v>757</v>
      </c>
    </row>
  </sheetData>
  <autoFilter ref="A1:C10"/>
  <printOptions headings="false" gridLines="false" gridLinesSet="true" horizontalCentered="false" verticalCentered="false"/>
  <pageMargins left="0.25" right="0.25" top="0.4" bottom="0.4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&amp;CStar Cluster - provisional candidate matrix - no calibration&amp;RPage 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"/>
    <col collapsed="false" customWidth="true" hidden="false" outlineLevel="0" max="3" min="3" style="0" width="52"/>
    <col collapsed="false" customWidth="true" hidden="false" outlineLevel="0" max="4" min="4" style="0" width="70"/>
    <col collapsed="false" customWidth="true" hidden="false" outlineLevel="0" max="5" min="5" style="0" width="52"/>
    <col collapsed="false" customWidth="true" hidden="false" outlineLevel="0" max="6" min="6" style="0" width="13"/>
  </cols>
  <sheetData>
    <row r="1" customFormat="false" ht="28.35" hidden="false" customHeight="false" outlineLevel="0" collapsed="false">
      <c r="A1" s="5" t="s">
        <v>13</v>
      </c>
      <c r="B1" s="5" t="s">
        <v>14</v>
      </c>
      <c r="C1" s="5" t="s">
        <v>758</v>
      </c>
      <c r="D1" s="5" t="s">
        <v>759</v>
      </c>
      <c r="E1" s="5" t="s">
        <v>760</v>
      </c>
      <c r="F1" s="5" t="s">
        <v>761</v>
      </c>
    </row>
    <row r="2" customFormat="false" ht="60" hidden="false" customHeight="true" outlineLevel="0" collapsed="false">
      <c r="A2" s="12" t="s">
        <v>18</v>
      </c>
      <c r="B2" s="13" t="n">
        <v>1</v>
      </c>
      <c r="C2" s="12" t="s">
        <v>19</v>
      </c>
      <c r="D2" s="12" t="s">
        <v>762</v>
      </c>
      <c r="E2" s="12" t="s">
        <v>20</v>
      </c>
      <c r="F2" s="12" t="s">
        <v>218</v>
      </c>
    </row>
    <row r="3" customFormat="false" ht="30" hidden="false" customHeight="true" outlineLevel="0" collapsed="false">
      <c r="A3" s="12" t="s">
        <v>18</v>
      </c>
      <c r="B3" s="13" t="n">
        <v>2</v>
      </c>
      <c r="C3" s="12" t="s">
        <v>22</v>
      </c>
      <c r="D3" s="12" t="s">
        <v>762</v>
      </c>
      <c r="E3" s="12" t="s">
        <v>21</v>
      </c>
      <c r="F3" s="12" t="s">
        <v>218</v>
      </c>
    </row>
    <row r="4" customFormat="false" ht="30" hidden="false" customHeight="true" outlineLevel="0" collapsed="false">
      <c r="A4" s="12" t="s">
        <v>18</v>
      </c>
      <c r="B4" s="13" t="n">
        <v>3</v>
      </c>
      <c r="C4" s="12" t="s">
        <v>23</v>
      </c>
      <c r="D4" s="12" t="s">
        <v>763</v>
      </c>
      <c r="E4" s="12" t="s">
        <v>24</v>
      </c>
      <c r="F4" s="12" t="s">
        <v>218</v>
      </c>
    </row>
    <row r="5" customFormat="false" ht="45" hidden="false" customHeight="true" outlineLevel="0" collapsed="false">
      <c r="A5" s="12" t="s">
        <v>18</v>
      </c>
      <c r="B5" s="13" t="n">
        <v>4</v>
      </c>
      <c r="C5" s="12" t="s">
        <v>25</v>
      </c>
      <c r="D5" s="12" t="s">
        <v>764</v>
      </c>
      <c r="E5" s="12" t="s">
        <v>26</v>
      </c>
      <c r="F5" s="12" t="s">
        <v>218</v>
      </c>
    </row>
    <row r="6" customFormat="false" ht="30" hidden="false" customHeight="true" outlineLevel="0" collapsed="false">
      <c r="A6" s="12" t="s">
        <v>18</v>
      </c>
      <c r="B6" s="13" t="n">
        <v>5</v>
      </c>
      <c r="C6" s="12" t="s">
        <v>27</v>
      </c>
      <c r="D6" s="12" t="s">
        <v>765</v>
      </c>
      <c r="E6" s="12" t="s">
        <v>28</v>
      </c>
      <c r="F6" s="12" t="s">
        <v>218</v>
      </c>
    </row>
    <row r="7" customFormat="false" ht="45" hidden="false" customHeight="true" outlineLevel="0" collapsed="false">
      <c r="A7" s="12" t="s">
        <v>18</v>
      </c>
      <c r="B7" s="13" t="n">
        <v>6</v>
      </c>
      <c r="C7" s="12" t="s">
        <v>29</v>
      </c>
      <c r="D7" s="12" t="s">
        <v>766</v>
      </c>
      <c r="E7" s="12" t="s">
        <v>30</v>
      </c>
      <c r="F7" s="12" t="s">
        <v>218</v>
      </c>
    </row>
    <row r="8" customFormat="false" ht="30" hidden="false" customHeight="true" outlineLevel="0" collapsed="false">
      <c r="A8" s="12" t="s">
        <v>18</v>
      </c>
      <c r="B8" s="13" t="n">
        <v>7</v>
      </c>
      <c r="C8" s="12" t="s">
        <v>31</v>
      </c>
      <c r="D8" s="12" t="s">
        <v>767</v>
      </c>
      <c r="E8" s="12" t="s">
        <v>32</v>
      </c>
      <c r="F8" s="12" t="s">
        <v>218</v>
      </c>
    </row>
    <row r="9" customFormat="false" ht="30" hidden="false" customHeight="true" outlineLevel="0" collapsed="false">
      <c r="A9" s="12" t="s">
        <v>18</v>
      </c>
      <c r="B9" s="13" t="n">
        <v>8</v>
      </c>
      <c r="C9" s="12" t="s">
        <v>33</v>
      </c>
      <c r="D9" s="12" t="s">
        <v>768</v>
      </c>
      <c r="E9" s="12" t="s">
        <v>34</v>
      </c>
      <c r="F9" s="12" t="s">
        <v>218</v>
      </c>
    </row>
    <row r="10" customFormat="false" ht="30" hidden="false" customHeight="true" outlineLevel="0" collapsed="false">
      <c r="A10" s="12" t="s">
        <v>18</v>
      </c>
      <c r="B10" s="13" t="n">
        <v>9</v>
      </c>
      <c r="C10" s="12" t="s">
        <v>36</v>
      </c>
      <c r="D10" s="12" t="s">
        <v>769</v>
      </c>
      <c r="E10" s="12" t="s">
        <v>37</v>
      </c>
      <c r="F10" s="12" t="s">
        <v>218</v>
      </c>
    </row>
    <row r="11" customFormat="false" ht="30" hidden="false" customHeight="true" outlineLevel="0" collapsed="false">
      <c r="A11" s="12" t="s">
        <v>38</v>
      </c>
      <c r="B11" s="13" t="n">
        <v>1</v>
      </c>
      <c r="C11" s="12" t="s">
        <v>39</v>
      </c>
      <c r="D11" s="12" t="s">
        <v>770</v>
      </c>
      <c r="E11" s="12" t="s">
        <v>40</v>
      </c>
      <c r="F11" s="12" t="s">
        <v>218</v>
      </c>
    </row>
    <row r="12" customFormat="false" ht="30" hidden="false" customHeight="true" outlineLevel="0" collapsed="false">
      <c r="A12" s="12" t="s">
        <v>38</v>
      </c>
      <c r="B12" s="13" t="n">
        <v>2</v>
      </c>
      <c r="C12" s="12" t="s">
        <v>41</v>
      </c>
      <c r="D12" s="12" t="s">
        <v>771</v>
      </c>
      <c r="E12" s="12" t="s">
        <v>21</v>
      </c>
      <c r="F12" s="12" t="s">
        <v>218</v>
      </c>
    </row>
    <row r="13" customFormat="false" ht="18" hidden="false" customHeight="true" outlineLevel="0" collapsed="false">
      <c r="A13" s="12" t="s">
        <v>38</v>
      </c>
      <c r="B13" s="13" t="n">
        <v>3</v>
      </c>
      <c r="C13" s="12" t="s">
        <v>42</v>
      </c>
      <c r="D13" s="12" t="s">
        <v>772</v>
      </c>
      <c r="E13" s="12" t="s">
        <v>21</v>
      </c>
      <c r="F13" s="12" t="s">
        <v>218</v>
      </c>
    </row>
    <row r="14" customFormat="false" ht="30" hidden="false" customHeight="true" outlineLevel="0" collapsed="false">
      <c r="A14" s="12" t="s">
        <v>38</v>
      </c>
      <c r="B14" s="13" t="n">
        <v>4</v>
      </c>
      <c r="C14" s="12" t="s">
        <v>43</v>
      </c>
      <c r="D14" s="12" t="s">
        <v>773</v>
      </c>
      <c r="E14" s="12" t="s">
        <v>44</v>
      </c>
      <c r="F14" s="12" t="s">
        <v>218</v>
      </c>
    </row>
    <row r="15" customFormat="false" ht="30" hidden="false" customHeight="true" outlineLevel="0" collapsed="false">
      <c r="A15" s="12" t="s">
        <v>38</v>
      </c>
      <c r="B15" s="13" t="n">
        <v>5</v>
      </c>
      <c r="C15" s="12" t="s">
        <v>45</v>
      </c>
      <c r="D15" s="12" t="s">
        <v>774</v>
      </c>
      <c r="E15" s="12" t="s">
        <v>46</v>
      </c>
      <c r="F15" s="12" t="s">
        <v>218</v>
      </c>
    </row>
    <row r="16" customFormat="false" ht="18" hidden="false" customHeight="true" outlineLevel="0" collapsed="false">
      <c r="A16" s="12" t="s">
        <v>38</v>
      </c>
      <c r="B16" s="13" t="n">
        <v>6</v>
      </c>
      <c r="C16" s="12" t="s">
        <v>47</v>
      </c>
      <c r="D16" s="12" t="s">
        <v>775</v>
      </c>
      <c r="E16" s="12" t="s">
        <v>21</v>
      </c>
      <c r="F16" s="12" t="s">
        <v>218</v>
      </c>
    </row>
    <row r="17" customFormat="false" ht="30" hidden="false" customHeight="true" outlineLevel="0" collapsed="false">
      <c r="A17" s="12" t="s">
        <v>38</v>
      </c>
      <c r="B17" s="13" t="n">
        <v>7</v>
      </c>
      <c r="C17" s="12" t="s">
        <v>21</v>
      </c>
      <c r="D17" s="12" t="s">
        <v>776</v>
      </c>
      <c r="E17" s="12" t="s">
        <v>48</v>
      </c>
      <c r="F17" s="12" t="s">
        <v>195</v>
      </c>
    </row>
    <row r="18" customFormat="false" ht="30" hidden="false" customHeight="true" outlineLevel="0" collapsed="false">
      <c r="A18" s="12" t="s">
        <v>38</v>
      </c>
      <c r="B18" s="13" t="n">
        <v>8</v>
      </c>
      <c r="C18" s="12" t="s">
        <v>21</v>
      </c>
      <c r="D18" s="12" t="s">
        <v>776</v>
      </c>
      <c r="E18" s="12" t="s">
        <v>50</v>
      </c>
      <c r="F18" s="12" t="s">
        <v>195</v>
      </c>
    </row>
    <row r="19" customFormat="false" ht="18" hidden="false" customHeight="true" outlineLevel="0" collapsed="false">
      <c r="A19" s="12" t="s">
        <v>38</v>
      </c>
      <c r="B19" s="13" t="n">
        <v>9</v>
      </c>
      <c r="C19" s="12" t="s">
        <v>51</v>
      </c>
      <c r="D19" s="12" t="s">
        <v>777</v>
      </c>
      <c r="E19" s="12" t="s">
        <v>21</v>
      </c>
      <c r="F19" s="12" t="s">
        <v>218</v>
      </c>
    </row>
    <row r="20" customFormat="false" ht="60" hidden="false" customHeight="true" outlineLevel="0" collapsed="false">
      <c r="A20" s="12" t="s">
        <v>52</v>
      </c>
      <c r="B20" s="13" t="n">
        <v>1</v>
      </c>
      <c r="C20" s="12" t="s">
        <v>53</v>
      </c>
      <c r="D20" s="12" t="s">
        <v>778</v>
      </c>
      <c r="E20" s="12" t="s">
        <v>54</v>
      </c>
      <c r="F20" s="12" t="s">
        <v>218</v>
      </c>
    </row>
    <row r="21" customFormat="false" ht="30" hidden="false" customHeight="true" outlineLevel="0" collapsed="false">
      <c r="A21" s="12" t="s">
        <v>52</v>
      </c>
      <c r="B21" s="13" t="n">
        <v>2</v>
      </c>
      <c r="C21" s="12" t="s">
        <v>55</v>
      </c>
      <c r="D21" s="12" t="s">
        <v>779</v>
      </c>
      <c r="E21" s="12" t="s">
        <v>56</v>
      </c>
      <c r="F21" s="12" t="s">
        <v>218</v>
      </c>
    </row>
    <row r="22" customFormat="false" ht="30" hidden="false" customHeight="true" outlineLevel="0" collapsed="false">
      <c r="A22" s="12" t="s">
        <v>52</v>
      </c>
      <c r="B22" s="13" t="n">
        <v>3</v>
      </c>
      <c r="C22" s="12" t="s">
        <v>57</v>
      </c>
      <c r="D22" s="12" t="s">
        <v>780</v>
      </c>
      <c r="E22" s="12" t="s">
        <v>58</v>
      </c>
      <c r="F22" s="12" t="s">
        <v>218</v>
      </c>
    </row>
    <row r="23" customFormat="false" ht="45" hidden="false" customHeight="true" outlineLevel="0" collapsed="false">
      <c r="A23" s="12" t="s">
        <v>52</v>
      </c>
      <c r="B23" s="13" t="n">
        <v>4</v>
      </c>
      <c r="C23" s="12" t="s">
        <v>59</v>
      </c>
      <c r="D23" s="12" t="s">
        <v>781</v>
      </c>
      <c r="E23" s="12" t="s">
        <v>60</v>
      </c>
      <c r="F23" s="12" t="s">
        <v>218</v>
      </c>
    </row>
    <row r="24" customFormat="false" ht="60" hidden="false" customHeight="true" outlineLevel="0" collapsed="false">
      <c r="A24" s="12" t="s">
        <v>52</v>
      </c>
      <c r="B24" s="13" t="n">
        <v>5</v>
      </c>
      <c r="C24" s="12" t="s">
        <v>61</v>
      </c>
      <c r="D24" s="12" t="s">
        <v>782</v>
      </c>
      <c r="E24" s="12" t="s">
        <v>62</v>
      </c>
      <c r="F24" s="12" t="s">
        <v>218</v>
      </c>
    </row>
    <row r="25" customFormat="false" ht="45" hidden="false" customHeight="true" outlineLevel="0" collapsed="false">
      <c r="A25" s="12" t="s">
        <v>52</v>
      </c>
      <c r="B25" s="13" t="n">
        <v>6</v>
      </c>
      <c r="C25" s="12" t="s">
        <v>63</v>
      </c>
      <c r="D25" s="12" t="s">
        <v>783</v>
      </c>
      <c r="E25" s="12" t="s">
        <v>64</v>
      </c>
      <c r="F25" s="12" t="s">
        <v>218</v>
      </c>
    </row>
    <row r="26" customFormat="false" ht="30" hidden="false" customHeight="true" outlineLevel="0" collapsed="false">
      <c r="A26" s="12" t="s">
        <v>52</v>
      </c>
      <c r="B26" s="13" t="n">
        <v>7</v>
      </c>
      <c r="C26" s="12" t="s">
        <v>65</v>
      </c>
      <c r="D26" s="12" t="s">
        <v>784</v>
      </c>
      <c r="E26" s="12" t="s">
        <v>66</v>
      </c>
      <c r="F26" s="12" t="s">
        <v>218</v>
      </c>
    </row>
    <row r="27" customFormat="false" ht="30" hidden="false" customHeight="true" outlineLevel="0" collapsed="false">
      <c r="A27" s="12" t="s">
        <v>52</v>
      </c>
      <c r="B27" s="13" t="n">
        <v>8</v>
      </c>
      <c r="C27" s="12" t="s">
        <v>67</v>
      </c>
      <c r="D27" s="12" t="s">
        <v>785</v>
      </c>
      <c r="E27" s="12" t="s">
        <v>21</v>
      </c>
      <c r="F27" s="12" t="s">
        <v>218</v>
      </c>
    </row>
    <row r="28" customFormat="false" ht="18" hidden="false" customHeight="true" outlineLevel="0" collapsed="false">
      <c r="A28" s="12" t="s">
        <v>52</v>
      </c>
      <c r="B28" s="13" t="n">
        <v>9</v>
      </c>
      <c r="C28" s="12" t="s">
        <v>69</v>
      </c>
      <c r="D28" s="12" t="s">
        <v>786</v>
      </c>
      <c r="E28" s="12" t="s">
        <v>21</v>
      </c>
      <c r="F28" s="12" t="s">
        <v>218</v>
      </c>
    </row>
    <row r="29" customFormat="false" ht="45" hidden="false" customHeight="true" outlineLevel="0" collapsed="false">
      <c r="A29" s="12" t="s">
        <v>70</v>
      </c>
      <c r="B29" s="13" t="n">
        <v>1</v>
      </c>
      <c r="C29" s="12" t="s">
        <v>71</v>
      </c>
      <c r="D29" s="12" t="s">
        <v>787</v>
      </c>
      <c r="E29" s="12" t="s">
        <v>72</v>
      </c>
      <c r="F29" s="12" t="s">
        <v>218</v>
      </c>
    </row>
    <row r="30" customFormat="false" ht="30" hidden="false" customHeight="true" outlineLevel="0" collapsed="false">
      <c r="A30" s="12" t="s">
        <v>70</v>
      </c>
      <c r="B30" s="13" t="n">
        <v>2</v>
      </c>
      <c r="C30" s="12" t="s">
        <v>73</v>
      </c>
      <c r="D30" s="12" t="s">
        <v>788</v>
      </c>
      <c r="E30" s="12" t="s">
        <v>74</v>
      </c>
      <c r="F30" s="12" t="s">
        <v>218</v>
      </c>
    </row>
    <row r="31" customFormat="false" ht="45" hidden="false" customHeight="true" outlineLevel="0" collapsed="false">
      <c r="A31" s="12" t="s">
        <v>70</v>
      </c>
      <c r="B31" s="13" t="n">
        <v>3</v>
      </c>
      <c r="C31" s="12" t="s">
        <v>75</v>
      </c>
      <c r="D31" s="12" t="s">
        <v>789</v>
      </c>
      <c r="E31" s="12" t="s">
        <v>21</v>
      </c>
      <c r="F31" s="12" t="s">
        <v>218</v>
      </c>
    </row>
    <row r="32" customFormat="false" ht="45" hidden="false" customHeight="true" outlineLevel="0" collapsed="false">
      <c r="A32" s="12" t="s">
        <v>70</v>
      </c>
      <c r="B32" s="13" t="n">
        <v>4</v>
      </c>
      <c r="C32" s="12" t="s">
        <v>76</v>
      </c>
      <c r="D32" s="12" t="s">
        <v>790</v>
      </c>
      <c r="E32" s="12" t="s">
        <v>77</v>
      </c>
      <c r="F32" s="12" t="s">
        <v>218</v>
      </c>
    </row>
    <row r="33" customFormat="false" ht="30" hidden="false" customHeight="true" outlineLevel="0" collapsed="false">
      <c r="A33" s="12" t="s">
        <v>70</v>
      </c>
      <c r="B33" s="13" t="n">
        <v>5</v>
      </c>
      <c r="C33" s="12" t="s">
        <v>78</v>
      </c>
      <c r="D33" s="12" t="s">
        <v>791</v>
      </c>
      <c r="E33" s="12" t="s">
        <v>21</v>
      </c>
      <c r="F33" s="12" t="s">
        <v>218</v>
      </c>
    </row>
    <row r="34" customFormat="false" ht="30" hidden="false" customHeight="true" outlineLevel="0" collapsed="false">
      <c r="A34" s="12" t="s">
        <v>70</v>
      </c>
      <c r="B34" s="13" t="n">
        <v>6</v>
      </c>
      <c r="C34" s="12" t="s">
        <v>79</v>
      </c>
      <c r="D34" s="12" t="s">
        <v>792</v>
      </c>
      <c r="E34" s="12" t="s">
        <v>21</v>
      </c>
      <c r="F34" s="12" t="s">
        <v>218</v>
      </c>
    </row>
    <row r="35" customFormat="false" ht="30" hidden="false" customHeight="true" outlineLevel="0" collapsed="false">
      <c r="A35" s="12" t="s">
        <v>70</v>
      </c>
      <c r="B35" s="13" t="n">
        <v>7</v>
      </c>
      <c r="C35" s="12" t="s">
        <v>80</v>
      </c>
      <c r="D35" s="12" t="s">
        <v>793</v>
      </c>
      <c r="E35" s="12" t="s">
        <v>21</v>
      </c>
      <c r="F35" s="12" t="s">
        <v>218</v>
      </c>
    </row>
    <row r="36" customFormat="false" ht="30" hidden="false" customHeight="true" outlineLevel="0" collapsed="false">
      <c r="A36" s="12" t="s">
        <v>70</v>
      </c>
      <c r="B36" s="13" t="n">
        <v>8</v>
      </c>
      <c r="C36" s="12" t="s">
        <v>82</v>
      </c>
      <c r="D36" s="12" t="s">
        <v>794</v>
      </c>
      <c r="E36" s="12" t="s">
        <v>21</v>
      </c>
      <c r="F36" s="12" t="s">
        <v>218</v>
      </c>
    </row>
    <row r="37" customFormat="false" ht="30" hidden="false" customHeight="true" outlineLevel="0" collapsed="false">
      <c r="A37" s="12" t="s">
        <v>70</v>
      </c>
      <c r="B37" s="13" t="n">
        <v>9</v>
      </c>
      <c r="C37" s="12" t="s">
        <v>83</v>
      </c>
      <c r="D37" s="12" t="s">
        <v>795</v>
      </c>
      <c r="E37" s="12" t="s">
        <v>21</v>
      </c>
      <c r="F37" s="12" t="s">
        <v>218</v>
      </c>
    </row>
    <row r="38" customFormat="false" ht="60" hidden="false" customHeight="true" outlineLevel="0" collapsed="false">
      <c r="A38" s="12" t="s">
        <v>85</v>
      </c>
      <c r="B38" s="13" t="n">
        <v>1</v>
      </c>
      <c r="C38" s="12" t="s">
        <v>86</v>
      </c>
      <c r="D38" s="12" t="s">
        <v>796</v>
      </c>
      <c r="E38" s="12" t="s">
        <v>87</v>
      </c>
      <c r="F38" s="12" t="s">
        <v>218</v>
      </c>
    </row>
    <row r="39" customFormat="false" ht="60" hidden="false" customHeight="true" outlineLevel="0" collapsed="false">
      <c r="A39" s="12" t="s">
        <v>85</v>
      </c>
      <c r="B39" s="13" t="n">
        <v>2</v>
      </c>
      <c r="C39" s="12" t="s">
        <v>88</v>
      </c>
      <c r="D39" s="12" t="s">
        <v>797</v>
      </c>
      <c r="E39" s="12" t="s">
        <v>21</v>
      </c>
      <c r="F39" s="12" t="s">
        <v>218</v>
      </c>
    </row>
    <row r="40" customFormat="false" ht="45" hidden="false" customHeight="true" outlineLevel="0" collapsed="false">
      <c r="A40" s="12" t="s">
        <v>85</v>
      </c>
      <c r="B40" s="13" t="n">
        <v>3</v>
      </c>
      <c r="C40" s="12" t="s">
        <v>89</v>
      </c>
      <c r="D40" s="12" t="s">
        <v>798</v>
      </c>
      <c r="E40" s="12" t="s">
        <v>90</v>
      </c>
      <c r="F40" s="12" t="s">
        <v>218</v>
      </c>
    </row>
    <row r="41" customFormat="false" ht="60" hidden="false" customHeight="true" outlineLevel="0" collapsed="false">
      <c r="A41" s="12" t="s">
        <v>85</v>
      </c>
      <c r="B41" s="13" t="n">
        <v>4</v>
      </c>
      <c r="C41" s="12" t="s">
        <v>91</v>
      </c>
      <c r="D41" s="12" t="s">
        <v>799</v>
      </c>
      <c r="E41" s="12" t="s">
        <v>21</v>
      </c>
      <c r="F41" s="12" t="s">
        <v>218</v>
      </c>
    </row>
    <row r="42" customFormat="false" ht="60" hidden="false" customHeight="true" outlineLevel="0" collapsed="false">
      <c r="A42" s="12" t="s">
        <v>85</v>
      </c>
      <c r="B42" s="13" t="n">
        <v>5</v>
      </c>
      <c r="C42" s="12" t="s">
        <v>92</v>
      </c>
      <c r="D42" s="12" t="s">
        <v>800</v>
      </c>
      <c r="E42" s="12" t="s">
        <v>93</v>
      </c>
      <c r="F42" s="12" t="s">
        <v>218</v>
      </c>
    </row>
    <row r="43" customFormat="false" ht="45" hidden="false" customHeight="true" outlineLevel="0" collapsed="false">
      <c r="A43" s="12" t="s">
        <v>85</v>
      </c>
      <c r="B43" s="13" t="n">
        <v>6</v>
      </c>
      <c r="C43" s="12" t="s">
        <v>94</v>
      </c>
      <c r="D43" s="12" t="s">
        <v>801</v>
      </c>
      <c r="E43" s="12" t="s">
        <v>95</v>
      </c>
      <c r="F43" s="12" t="s">
        <v>218</v>
      </c>
    </row>
    <row r="44" customFormat="false" ht="45" hidden="false" customHeight="true" outlineLevel="0" collapsed="false">
      <c r="A44" s="12" t="s">
        <v>85</v>
      </c>
      <c r="B44" s="13" t="n">
        <v>7</v>
      </c>
      <c r="C44" s="12" t="s">
        <v>97</v>
      </c>
      <c r="D44" s="12" t="s">
        <v>802</v>
      </c>
      <c r="E44" s="12" t="s">
        <v>98</v>
      </c>
      <c r="F44" s="12" t="s">
        <v>218</v>
      </c>
    </row>
    <row r="45" customFormat="false" ht="45" hidden="false" customHeight="true" outlineLevel="0" collapsed="false">
      <c r="A45" s="12" t="s">
        <v>85</v>
      </c>
      <c r="B45" s="13" t="n">
        <v>8</v>
      </c>
      <c r="C45" s="12" t="s">
        <v>99</v>
      </c>
      <c r="D45" s="12" t="s">
        <v>803</v>
      </c>
      <c r="E45" s="12" t="s">
        <v>21</v>
      </c>
      <c r="F45" s="12" t="s">
        <v>218</v>
      </c>
    </row>
    <row r="46" customFormat="false" ht="60" hidden="false" customHeight="true" outlineLevel="0" collapsed="false">
      <c r="A46" s="12" t="s">
        <v>85</v>
      </c>
      <c r="B46" s="13" t="n">
        <v>9</v>
      </c>
      <c r="C46" s="12" t="s">
        <v>101</v>
      </c>
      <c r="D46" s="12" t="s">
        <v>804</v>
      </c>
      <c r="E46" s="12" t="s">
        <v>21</v>
      </c>
      <c r="F46" s="12" t="s">
        <v>218</v>
      </c>
    </row>
    <row r="47" customFormat="false" ht="30" hidden="false" customHeight="true" outlineLevel="0" collapsed="false">
      <c r="A47" s="12" t="s">
        <v>102</v>
      </c>
      <c r="B47" s="13" t="n">
        <v>1</v>
      </c>
      <c r="C47" s="12" t="s">
        <v>103</v>
      </c>
      <c r="D47" s="12" t="s">
        <v>805</v>
      </c>
      <c r="E47" s="12" t="s">
        <v>21</v>
      </c>
      <c r="F47" s="12" t="s">
        <v>218</v>
      </c>
    </row>
    <row r="48" customFormat="false" ht="30" hidden="false" customHeight="true" outlineLevel="0" collapsed="false">
      <c r="A48" s="12" t="s">
        <v>102</v>
      </c>
      <c r="B48" s="13" t="n">
        <v>2</v>
      </c>
      <c r="C48" s="12" t="s">
        <v>104</v>
      </c>
      <c r="D48" s="12" t="s">
        <v>806</v>
      </c>
      <c r="E48" s="12" t="s">
        <v>21</v>
      </c>
      <c r="F48" s="12" t="s">
        <v>218</v>
      </c>
    </row>
    <row r="49" customFormat="false" ht="30" hidden="false" customHeight="true" outlineLevel="0" collapsed="false">
      <c r="A49" s="12" t="s">
        <v>102</v>
      </c>
      <c r="B49" s="13" t="n">
        <v>3</v>
      </c>
      <c r="C49" s="12" t="s">
        <v>105</v>
      </c>
      <c r="D49" s="12" t="s">
        <v>807</v>
      </c>
      <c r="E49" s="12" t="s">
        <v>106</v>
      </c>
      <c r="F49" s="12" t="s">
        <v>218</v>
      </c>
    </row>
    <row r="50" customFormat="false" ht="30" hidden="false" customHeight="true" outlineLevel="0" collapsed="false">
      <c r="A50" s="12" t="s">
        <v>102</v>
      </c>
      <c r="B50" s="13" t="n">
        <v>4</v>
      </c>
      <c r="C50" s="12" t="s">
        <v>107</v>
      </c>
      <c r="D50" s="12" t="s">
        <v>808</v>
      </c>
      <c r="E50" s="12" t="s">
        <v>21</v>
      </c>
      <c r="F50" s="12" t="s">
        <v>218</v>
      </c>
    </row>
    <row r="51" customFormat="false" ht="30" hidden="false" customHeight="true" outlineLevel="0" collapsed="false">
      <c r="A51" s="12" t="s">
        <v>102</v>
      </c>
      <c r="B51" s="13" t="n">
        <v>5</v>
      </c>
      <c r="C51" s="12" t="s">
        <v>108</v>
      </c>
      <c r="D51" s="12" t="s">
        <v>809</v>
      </c>
      <c r="E51" s="12" t="s">
        <v>109</v>
      </c>
      <c r="F51" s="12" t="s">
        <v>218</v>
      </c>
    </row>
    <row r="52" customFormat="false" ht="30" hidden="false" customHeight="true" outlineLevel="0" collapsed="false">
      <c r="A52" s="12" t="s">
        <v>102</v>
      </c>
      <c r="B52" s="13" t="n">
        <v>6</v>
      </c>
      <c r="C52" s="12" t="s">
        <v>110</v>
      </c>
      <c r="D52" s="12" t="s">
        <v>810</v>
      </c>
      <c r="E52" s="12" t="s">
        <v>21</v>
      </c>
      <c r="F52" s="12" t="s">
        <v>218</v>
      </c>
    </row>
    <row r="53" customFormat="false" ht="30" hidden="false" customHeight="true" outlineLevel="0" collapsed="false">
      <c r="A53" s="12" t="s">
        <v>102</v>
      </c>
      <c r="B53" s="13" t="n">
        <v>7</v>
      </c>
      <c r="C53" s="12" t="s">
        <v>111</v>
      </c>
      <c r="D53" s="12" t="s">
        <v>811</v>
      </c>
      <c r="E53" s="12" t="s">
        <v>112</v>
      </c>
      <c r="F53" s="12" t="s">
        <v>218</v>
      </c>
    </row>
    <row r="54" customFormat="false" ht="30" hidden="false" customHeight="true" outlineLevel="0" collapsed="false">
      <c r="A54" s="12" t="s">
        <v>102</v>
      </c>
      <c r="B54" s="13" t="n">
        <v>8</v>
      </c>
      <c r="C54" s="12" t="s">
        <v>113</v>
      </c>
      <c r="D54" s="12" t="s">
        <v>812</v>
      </c>
      <c r="E54" s="12" t="s">
        <v>21</v>
      </c>
      <c r="F54" s="12" t="s">
        <v>218</v>
      </c>
    </row>
    <row r="55" customFormat="false" ht="30" hidden="false" customHeight="true" outlineLevel="0" collapsed="false">
      <c r="A55" s="12" t="s">
        <v>102</v>
      </c>
      <c r="B55" s="13" t="n">
        <v>9</v>
      </c>
      <c r="C55" s="12" t="s">
        <v>114</v>
      </c>
      <c r="D55" s="12" t="s">
        <v>813</v>
      </c>
      <c r="E55" s="12" t="s">
        <v>21</v>
      </c>
      <c r="F55" s="12" t="s">
        <v>218</v>
      </c>
    </row>
    <row r="56" customFormat="false" ht="30" hidden="false" customHeight="true" outlineLevel="0" collapsed="false">
      <c r="A56" s="12" t="s">
        <v>116</v>
      </c>
      <c r="B56" s="13" t="n">
        <v>1</v>
      </c>
      <c r="C56" s="12" t="s">
        <v>117</v>
      </c>
      <c r="D56" s="12" t="s">
        <v>814</v>
      </c>
      <c r="E56" s="12" t="s">
        <v>118</v>
      </c>
      <c r="F56" s="12" t="s">
        <v>218</v>
      </c>
    </row>
    <row r="57" customFormat="false" ht="30" hidden="false" customHeight="true" outlineLevel="0" collapsed="false">
      <c r="A57" s="12" t="s">
        <v>116</v>
      </c>
      <c r="B57" s="13" t="n">
        <v>2</v>
      </c>
      <c r="C57" s="12" t="s">
        <v>119</v>
      </c>
      <c r="D57" s="12" t="s">
        <v>815</v>
      </c>
      <c r="E57" s="12" t="s">
        <v>21</v>
      </c>
      <c r="F57" s="12" t="s">
        <v>218</v>
      </c>
    </row>
    <row r="58" customFormat="false" ht="30" hidden="false" customHeight="true" outlineLevel="0" collapsed="false">
      <c r="A58" s="12" t="s">
        <v>116</v>
      </c>
      <c r="B58" s="13" t="n">
        <v>3</v>
      </c>
      <c r="C58" s="12" t="s">
        <v>120</v>
      </c>
      <c r="D58" s="12" t="s">
        <v>815</v>
      </c>
      <c r="E58" s="12" t="s">
        <v>121</v>
      </c>
      <c r="F58" s="12" t="s">
        <v>218</v>
      </c>
    </row>
    <row r="59" customFormat="false" ht="30" hidden="false" customHeight="true" outlineLevel="0" collapsed="false">
      <c r="A59" s="12" t="s">
        <v>116</v>
      </c>
      <c r="B59" s="13" t="n">
        <v>4</v>
      </c>
      <c r="C59" s="12" t="s">
        <v>122</v>
      </c>
      <c r="D59" s="12" t="s">
        <v>816</v>
      </c>
      <c r="E59" s="12" t="s">
        <v>21</v>
      </c>
      <c r="F59" s="12" t="s">
        <v>218</v>
      </c>
    </row>
    <row r="60" customFormat="false" ht="30" hidden="false" customHeight="true" outlineLevel="0" collapsed="false">
      <c r="A60" s="12" t="s">
        <v>116</v>
      </c>
      <c r="B60" s="13" t="n">
        <v>5</v>
      </c>
      <c r="C60" s="12" t="s">
        <v>123</v>
      </c>
      <c r="D60" s="12" t="s">
        <v>817</v>
      </c>
      <c r="E60" s="12" t="s">
        <v>124</v>
      </c>
      <c r="F60" s="12" t="s">
        <v>218</v>
      </c>
    </row>
    <row r="61" customFormat="false" ht="30" hidden="false" customHeight="true" outlineLevel="0" collapsed="false">
      <c r="A61" s="12" t="s">
        <v>116</v>
      </c>
      <c r="B61" s="13" t="n">
        <v>6</v>
      </c>
      <c r="C61" s="12" t="s">
        <v>125</v>
      </c>
      <c r="D61" s="12" t="s">
        <v>818</v>
      </c>
      <c r="E61" s="12" t="s">
        <v>21</v>
      </c>
      <c r="F61" s="12" t="s">
        <v>218</v>
      </c>
    </row>
    <row r="62" customFormat="false" ht="30" hidden="false" customHeight="true" outlineLevel="0" collapsed="false">
      <c r="A62" s="12" t="s">
        <v>116</v>
      </c>
      <c r="B62" s="13" t="n">
        <v>7</v>
      </c>
      <c r="C62" s="12" t="s">
        <v>126</v>
      </c>
      <c r="D62" s="12" t="s">
        <v>819</v>
      </c>
      <c r="E62" s="12" t="s">
        <v>127</v>
      </c>
      <c r="F62" s="12" t="s">
        <v>218</v>
      </c>
    </row>
    <row r="63" customFormat="false" ht="30" hidden="false" customHeight="true" outlineLevel="0" collapsed="false">
      <c r="A63" s="12" t="s">
        <v>116</v>
      </c>
      <c r="B63" s="13" t="n">
        <v>8</v>
      </c>
      <c r="C63" s="12" t="s">
        <v>128</v>
      </c>
      <c r="D63" s="12" t="s">
        <v>820</v>
      </c>
      <c r="E63" s="12" t="s">
        <v>21</v>
      </c>
      <c r="F63" s="12" t="s">
        <v>218</v>
      </c>
    </row>
    <row r="64" customFormat="false" ht="30" hidden="false" customHeight="true" outlineLevel="0" collapsed="false">
      <c r="A64" s="12" t="s">
        <v>116</v>
      </c>
      <c r="B64" s="13" t="n">
        <v>9</v>
      </c>
      <c r="C64" s="12" t="s">
        <v>129</v>
      </c>
      <c r="D64" s="12" t="s">
        <v>821</v>
      </c>
      <c r="E64" s="12" t="s">
        <v>21</v>
      </c>
      <c r="F64" s="12" t="s">
        <v>218</v>
      </c>
    </row>
    <row r="65" customFormat="false" ht="30" hidden="false" customHeight="true" outlineLevel="0" collapsed="false">
      <c r="A65" s="12" t="s">
        <v>130</v>
      </c>
      <c r="B65" s="13" t="n">
        <v>1</v>
      </c>
      <c r="C65" s="12" t="s">
        <v>131</v>
      </c>
      <c r="D65" s="12" t="s">
        <v>822</v>
      </c>
      <c r="E65" s="12" t="s">
        <v>132</v>
      </c>
      <c r="F65" s="12" t="s">
        <v>218</v>
      </c>
    </row>
    <row r="66" customFormat="false" ht="30" hidden="false" customHeight="true" outlineLevel="0" collapsed="false">
      <c r="A66" s="12" t="s">
        <v>130</v>
      </c>
      <c r="B66" s="13" t="n">
        <v>2</v>
      </c>
      <c r="C66" s="12" t="s">
        <v>21</v>
      </c>
      <c r="D66" s="12" t="s">
        <v>823</v>
      </c>
      <c r="E66" s="12" t="s">
        <v>133</v>
      </c>
      <c r="F66" s="12" t="s">
        <v>195</v>
      </c>
    </row>
    <row r="67" customFormat="false" ht="45" hidden="false" customHeight="true" outlineLevel="0" collapsed="false">
      <c r="A67" s="12" t="s">
        <v>130</v>
      </c>
      <c r="B67" s="13" t="n">
        <v>3</v>
      </c>
      <c r="C67" s="12" t="s">
        <v>134</v>
      </c>
      <c r="D67" s="12" t="s">
        <v>824</v>
      </c>
      <c r="E67" s="12" t="s">
        <v>21</v>
      </c>
      <c r="F67" s="12" t="s">
        <v>218</v>
      </c>
    </row>
    <row r="68" customFormat="false" ht="45" hidden="false" customHeight="true" outlineLevel="0" collapsed="false">
      <c r="A68" s="12" t="s">
        <v>130</v>
      </c>
      <c r="B68" s="13" t="n">
        <v>4</v>
      </c>
      <c r="C68" s="12" t="s">
        <v>135</v>
      </c>
      <c r="D68" s="12" t="s">
        <v>825</v>
      </c>
      <c r="E68" s="12" t="s">
        <v>136</v>
      </c>
      <c r="F68" s="12" t="s">
        <v>218</v>
      </c>
    </row>
    <row r="69" customFormat="false" ht="45" hidden="false" customHeight="true" outlineLevel="0" collapsed="false">
      <c r="A69" s="12" t="s">
        <v>130</v>
      </c>
      <c r="B69" s="13" t="n">
        <v>5</v>
      </c>
      <c r="C69" s="12" t="s">
        <v>21</v>
      </c>
      <c r="D69" s="12" t="s">
        <v>825</v>
      </c>
      <c r="E69" s="12" t="s">
        <v>137</v>
      </c>
      <c r="F69" s="12" t="s">
        <v>195</v>
      </c>
    </row>
    <row r="70" customFormat="false" ht="45" hidden="false" customHeight="true" outlineLevel="0" collapsed="false">
      <c r="A70" s="12" t="s">
        <v>130</v>
      </c>
      <c r="B70" s="13" t="n">
        <v>6</v>
      </c>
      <c r="C70" s="12" t="s">
        <v>138</v>
      </c>
      <c r="D70" s="12" t="s">
        <v>826</v>
      </c>
      <c r="E70" s="12" t="s">
        <v>139</v>
      </c>
      <c r="F70" s="12" t="s">
        <v>218</v>
      </c>
    </row>
    <row r="71" customFormat="false" ht="30" hidden="false" customHeight="true" outlineLevel="0" collapsed="false">
      <c r="A71" s="12" t="s">
        <v>130</v>
      </c>
      <c r="B71" s="13" t="n">
        <v>7</v>
      </c>
      <c r="C71" s="12" t="s">
        <v>21</v>
      </c>
      <c r="D71" s="12" t="s">
        <v>826</v>
      </c>
      <c r="E71" s="12" t="s">
        <v>140</v>
      </c>
      <c r="F71" s="12" t="s">
        <v>195</v>
      </c>
    </row>
    <row r="72" customFormat="false" ht="30" hidden="false" customHeight="true" outlineLevel="0" collapsed="false">
      <c r="A72" s="12" t="s">
        <v>130</v>
      </c>
      <c r="B72" s="13" t="n">
        <v>8</v>
      </c>
      <c r="C72" s="12" t="s">
        <v>141</v>
      </c>
      <c r="D72" s="12" t="s">
        <v>827</v>
      </c>
      <c r="E72" s="12" t="s">
        <v>21</v>
      </c>
      <c r="F72" s="12" t="s">
        <v>218</v>
      </c>
    </row>
    <row r="73" customFormat="false" ht="30" hidden="false" customHeight="true" outlineLevel="0" collapsed="false">
      <c r="A73" s="12" t="s">
        <v>130</v>
      </c>
      <c r="B73" s="13" t="n">
        <v>9</v>
      </c>
      <c r="C73" s="12" t="s">
        <v>143</v>
      </c>
      <c r="D73" s="12" t="s">
        <v>828</v>
      </c>
      <c r="E73" s="12" t="s">
        <v>21</v>
      </c>
      <c r="F73" s="12" t="s">
        <v>218</v>
      </c>
    </row>
    <row r="74" customFormat="false" ht="45" hidden="false" customHeight="true" outlineLevel="0" collapsed="false">
      <c r="A74" s="12" t="s">
        <v>144</v>
      </c>
      <c r="B74" s="13" t="n">
        <v>1</v>
      </c>
      <c r="C74" s="12" t="s">
        <v>145</v>
      </c>
      <c r="D74" s="12" t="s">
        <v>829</v>
      </c>
      <c r="E74" s="12" t="s">
        <v>21</v>
      </c>
      <c r="F74" s="12" t="s">
        <v>218</v>
      </c>
    </row>
    <row r="75" customFormat="false" ht="45" hidden="false" customHeight="true" outlineLevel="0" collapsed="false">
      <c r="A75" s="12" t="s">
        <v>144</v>
      </c>
      <c r="B75" s="13" t="n">
        <v>2</v>
      </c>
      <c r="C75" s="12" t="s">
        <v>146</v>
      </c>
      <c r="D75" s="12" t="s">
        <v>830</v>
      </c>
      <c r="E75" s="12" t="s">
        <v>21</v>
      </c>
      <c r="F75" s="12" t="s">
        <v>218</v>
      </c>
    </row>
    <row r="76" customFormat="false" ht="45" hidden="false" customHeight="true" outlineLevel="0" collapsed="false">
      <c r="A76" s="12" t="s">
        <v>144</v>
      </c>
      <c r="B76" s="13" t="n">
        <v>3</v>
      </c>
      <c r="C76" s="12" t="s">
        <v>147</v>
      </c>
      <c r="D76" s="12" t="s">
        <v>831</v>
      </c>
      <c r="E76" s="12" t="s">
        <v>21</v>
      </c>
      <c r="F76" s="12" t="s">
        <v>218</v>
      </c>
    </row>
    <row r="77" customFormat="false" ht="45" hidden="false" customHeight="true" outlineLevel="0" collapsed="false">
      <c r="A77" s="12" t="s">
        <v>144</v>
      </c>
      <c r="B77" s="13" t="n">
        <v>4</v>
      </c>
      <c r="C77" s="12" t="s">
        <v>148</v>
      </c>
      <c r="D77" s="12" t="s">
        <v>832</v>
      </c>
      <c r="E77" s="12" t="s">
        <v>21</v>
      </c>
      <c r="F77" s="12" t="s">
        <v>218</v>
      </c>
    </row>
    <row r="78" customFormat="false" ht="45" hidden="false" customHeight="true" outlineLevel="0" collapsed="false">
      <c r="A78" s="12" t="s">
        <v>144</v>
      </c>
      <c r="B78" s="13" t="n">
        <v>5</v>
      </c>
      <c r="C78" s="12" t="s">
        <v>150</v>
      </c>
      <c r="D78" s="12" t="s">
        <v>833</v>
      </c>
      <c r="E78" s="12" t="s">
        <v>151</v>
      </c>
      <c r="F78" s="12" t="s">
        <v>218</v>
      </c>
    </row>
    <row r="79" customFormat="false" ht="45" hidden="false" customHeight="true" outlineLevel="0" collapsed="false">
      <c r="A79" s="12" t="s">
        <v>144</v>
      </c>
      <c r="B79" s="13" t="n">
        <v>6</v>
      </c>
      <c r="C79" s="12" t="s">
        <v>152</v>
      </c>
      <c r="D79" s="12" t="s">
        <v>834</v>
      </c>
      <c r="E79" s="12" t="s">
        <v>153</v>
      </c>
      <c r="F79" s="12" t="s">
        <v>218</v>
      </c>
    </row>
    <row r="80" customFormat="false" ht="45" hidden="false" customHeight="true" outlineLevel="0" collapsed="false">
      <c r="A80" s="12" t="s">
        <v>144</v>
      </c>
      <c r="B80" s="13" t="n">
        <v>7</v>
      </c>
      <c r="C80" s="12" t="s">
        <v>21</v>
      </c>
      <c r="D80" s="12" t="s">
        <v>834</v>
      </c>
      <c r="E80" s="12" t="s">
        <v>154</v>
      </c>
      <c r="F80" s="12" t="s">
        <v>195</v>
      </c>
    </row>
    <row r="81" customFormat="false" ht="30" hidden="false" customHeight="true" outlineLevel="0" collapsed="false">
      <c r="A81" s="12" t="s">
        <v>144</v>
      </c>
      <c r="B81" s="13" t="n">
        <v>8</v>
      </c>
      <c r="C81" s="12" t="s">
        <v>156</v>
      </c>
      <c r="D81" s="12" t="s">
        <v>835</v>
      </c>
      <c r="E81" s="12" t="s">
        <v>21</v>
      </c>
      <c r="F81" s="12" t="s">
        <v>218</v>
      </c>
    </row>
    <row r="82" customFormat="false" ht="45" hidden="false" customHeight="true" outlineLevel="0" collapsed="false">
      <c r="A82" s="12" t="s">
        <v>144</v>
      </c>
      <c r="B82" s="13" t="n">
        <v>9</v>
      </c>
      <c r="C82" s="12" t="s">
        <v>158</v>
      </c>
      <c r="D82" s="12" t="s">
        <v>836</v>
      </c>
      <c r="E82" s="12" t="s">
        <v>21</v>
      </c>
      <c r="F82" s="12" t="s">
        <v>218</v>
      </c>
    </row>
    <row r="83" customFormat="false" ht="72" hidden="false" customHeight="true" outlineLevel="0" collapsed="false">
      <c r="A83" s="12" t="s">
        <v>159</v>
      </c>
      <c r="B83" s="13" t="n">
        <v>1</v>
      </c>
      <c r="C83" s="12" t="s">
        <v>160</v>
      </c>
      <c r="D83" s="12" t="s">
        <v>837</v>
      </c>
      <c r="E83" s="12" t="s">
        <v>161</v>
      </c>
      <c r="F83" s="12" t="s">
        <v>218</v>
      </c>
    </row>
    <row r="84" customFormat="false" ht="45" hidden="false" customHeight="true" outlineLevel="0" collapsed="false">
      <c r="A84" s="12" t="s">
        <v>159</v>
      </c>
      <c r="B84" s="13" t="n">
        <v>2</v>
      </c>
      <c r="C84" s="12" t="s">
        <v>162</v>
      </c>
      <c r="D84" s="12" t="s">
        <v>838</v>
      </c>
      <c r="E84" s="12" t="s">
        <v>163</v>
      </c>
      <c r="F84" s="12" t="s">
        <v>218</v>
      </c>
    </row>
    <row r="85" customFormat="false" ht="72" hidden="false" customHeight="true" outlineLevel="0" collapsed="false">
      <c r="A85" s="12" t="s">
        <v>159</v>
      </c>
      <c r="B85" s="13" t="n">
        <v>3</v>
      </c>
      <c r="C85" s="12" t="s">
        <v>164</v>
      </c>
      <c r="D85" s="12" t="s">
        <v>839</v>
      </c>
      <c r="E85" s="12" t="s">
        <v>165</v>
      </c>
      <c r="F85" s="12" t="s">
        <v>218</v>
      </c>
    </row>
    <row r="86" customFormat="false" ht="45" hidden="false" customHeight="true" outlineLevel="0" collapsed="false">
      <c r="A86" s="12" t="s">
        <v>159</v>
      </c>
      <c r="B86" s="13" t="n">
        <v>4</v>
      </c>
      <c r="C86" s="12" t="s">
        <v>166</v>
      </c>
      <c r="D86" s="12" t="s">
        <v>840</v>
      </c>
      <c r="E86" s="12" t="s">
        <v>167</v>
      </c>
      <c r="F86" s="12" t="s">
        <v>218</v>
      </c>
    </row>
    <row r="87" customFormat="false" ht="45" hidden="false" customHeight="true" outlineLevel="0" collapsed="false">
      <c r="A87" s="12" t="s">
        <v>159</v>
      </c>
      <c r="B87" s="13" t="n">
        <v>5</v>
      </c>
      <c r="C87" s="12" t="s">
        <v>168</v>
      </c>
      <c r="D87" s="12" t="s">
        <v>841</v>
      </c>
      <c r="E87" s="12" t="s">
        <v>169</v>
      </c>
      <c r="F87" s="12" t="s">
        <v>218</v>
      </c>
    </row>
    <row r="88" customFormat="false" ht="45" hidden="false" customHeight="true" outlineLevel="0" collapsed="false">
      <c r="A88" s="12" t="s">
        <v>159</v>
      </c>
      <c r="B88" s="13" t="n">
        <v>6</v>
      </c>
      <c r="C88" s="12" t="s">
        <v>170</v>
      </c>
      <c r="D88" s="12" t="s">
        <v>842</v>
      </c>
      <c r="E88" s="12" t="s">
        <v>21</v>
      </c>
      <c r="F88" s="12" t="s">
        <v>218</v>
      </c>
    </row>
    <row r="89" customFormat="false" ht="72" hidden="false" customHeight="true" outlineLevel="0" collapsed="false">
      <c r="A89" s="12" t="s">
        <v>159</v>
      </c>
      <c r="B89" s="13" t="n">
        <v>7</v>
      </c>
      <c r="C89" s="12" t="s">
        <v>172</v>
      </c>
      <c r="D89" s="12" t="s">
        <v>843</v>
      </c>
      <c r="E89" s="12" t="s">
        <v>173</v>
      </c>
      <c r="F89" s="12" t="s">
        <v>218</v>
      </c>
    </row>
    <row r="90" customFormat="false" ht="45" hidden="false" customHeight="true" outlineLevel="0" collapsed="false">
      <c r="A90" s="12" t="s">
        <v>159</v>
      </c>
      <c r="B90" s="13" t="n">
        <v>8</v>
      </c>
      <c r="C90" s="12" t="s">
        <v>174</v>
      </c>
      <c r="D90" s="12" t="s">
        <v>844</v>
      </c>
      <c r="E90" s="12" t="s">
        <v>175</v>
      </c>
      <c r="F90" s="12" t="s">
        <v>218</v>
      </c>
    </row>
    <row r="91" customFormat="false" ht="45" hidden="false" customHeight="true" outlineLevel="0" collapsed="false">
      <c r="A91" s="12" t="s">
        <v>159</v>
      </c>
      <c r="B91" s="13" t="n">
        <v>9</v>
      </c>
      <c r="C91" s="12" t="s">
        <v>176</v>
      </c>
      <c r="D91" s="12" t="s">
        <v>845</v>
      </c>
      <c r="E91" s="12" t="s">
        <v>21</v>
      </c>
      <c r="F91" s="12" t="s">
        <v>218</v>
      </c>
    </row>
  </sheetData>
  <autoFilter ref="A1:F1"/>
  <printOptions headings="false" gridLines="false" gridLinesSet="true" horizontalCentered="false" verticalCentered="false"/>
  <pageMargins left="0.25" right="0.25" top="0.45" bottom="0.4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&amp;CStar Cluster - provisional candidate matrix - no calibration&amp;RPage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"/>
    <col collapsed="false" customWidth="true" hidden="false" outlineLevel="0" max="3" min="3" style="0" width="4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9" min="7" style="0" width="9"/>
    <col collapsed="false" customWidth="true" hidden="false" outlineLevel="0" max="11" min="10" style="0" width="13"/>
    <col collapsed="false" customWidth="true" hidden="false" outlineLevel="0" max="12" min="12" style="0" width="15"/>
    <col collapsed="false" customWidth="true" hidden="false" outlineLevel="0" max="13" min="13" style="0" width="16"/>
    <col collapsed="false" customWidth="true" hidden="false" outlineLevel="0" max="14" min="14" style="0" width="11"/>
    <col collapsed="false" customWidth="true" hidden="false" outlineLevel="0" max="15" min="15" style="0" width="52"/>
  </cols>
  <sheetData>
    <row r="1" customFormat="false" ht="41.75" hidden="false" customHeight="false" outlineLevel="0" collapsed="false">
      <c r="A1" s="5" t="s">
        <v>846</v>
      </c>
      <c r="B1" s="5" t="s">
        <v>14</v>
      </c>
      <c r="C1" s="5" t="s">
        <v>179</v>
      </c>
      <c r="D1" s="5" t="s">
        <v>847</v>
      </c>
      <c r="E1" s="5" t="s">
        <v>522</v>
      </c>
      <c r="F1" s="5" t="s">
        <v>848</v>
      </c>
      <c r="G1" s="5" t="s">
        <v>849</v>
      </c>
      <c r="H1" s="5" t="s">
        <v>850</v>
      </c>
      <c r="I1" s="5" t="s">
        <v>851</v>
      </c>
      <c r="J1" s="5" t="s">
        <v>852</v>
      </c>
      <c r="K1" s="5" t="s">
        <v>853</v>
      </c>
      <c r="L1" s="5" t="s">
        <v>854</v>
      </c>
      <c r="M1" s="5" t="s">
        <v>855</v>
      </c>
      <c r="N1" s="5" t="s">
        <v>856</v>
      </c>
      <c r="O1" s="5" t="s">
        <v>525</v>
      </c>
    </row>
    <row r="2" customFormat="false" ht="30" hidden="false" customHeight="true" outlineLevel="0" collapsed="false">
      <c r="A2" s="12" t="s">
        <v>18</v>
      </c>
      <c r="B2" s="13" t="n">
        <v>1</v>
      </c>
      <c r="C2" s="12" t="s">
        <v>190</v>
      </c>
      <c r="D2" s="12" t="s">
        <v>195</v>
      </c>
      <c r="E2" s="12" t="s">
        <v>21</v>
      </c>
      <c r="F2" s="7" t="n">
        <v>35</v>
      </c>
      <c r="G2" s="7" t="n">
        <v>12</v>
      </c>
      <c r="H2" s="12" t="s">
        <v>21</v>
      </c>
      <c r="I2" s="12" t="s">
        <v>21</v>
      </c>
      <c r="J2" s="12" t="s">
        <v>21</v>
      </c>
      <c r="K2" s="12" t="s">
        <v>21</v>
      </c>
      <c r="L2" s="12" t="s">
        <v>21</v>
      </c>
      <c r="M2" s="12" t="s">
        <v>21</v>
      </c>
      <c r="N2" s="12" t="s">
        <v>21</v>
      </c>
      <c r="O2" s="12" t="s">
        <v>857</v>
      </c>
    </row>
    <row r="3" customFormat="false" ht="18" hidden="false" customHeight="true" outlineLevel="0" collapsed="false">
      <c r="A3" s="12" t="s">
        <v>38</v>
      </c>
      <c r="B3" s="13" t="n">
        <v>1</v>
      </c>
      <c r="C3" s="12" t="s">
        <v>245</v>
      </c>
      <c r="D3" s="12" t="s">
        <v>195</v>
      </c>
      <c r="E3" s="7" t="n">
        <v>0</v>
      </c>
      <c r="F3" s="12" t="s">
        <v>21</v>
      </c>
      <c r="G3" s="12" t="s">
        <v>21</v>
      </c>
      <c r="H3" s="7" t="n">
        <v>0</v>
      </c>
      <c r="I3" s="7" t="n">
        <v>4</v>
      </c>
      <c r="J3" s="12" t="s">
        <v>21</v>
      </c>
      <c r="K3" s="12" t="s">
        <v>21</v>
      </c>
      <c r="L3" s="12" t="s">
        <v>21</v>
      </c>
      <c r="M3" s="12" t="s">
        <v>21</v>
      </c>
      <c r="N3" s="12" t="s">
        <v>21</v>
      </c>
      <c r="O3" s="12"/>
    </row>
    <row r="4" customFormat="false" ht="18" hidden="false" customHeight="true" outlineLevel="0" collapsed="false">
      <c r="A4" s="12" t="s">
        <v>858</v>
      </c>
      <c r="B4" s="13" t="n">
        <v>1</v>
      </c>
      <c r="C4" s="12" t="s">
        <v>407</v>
      </c>
      <c r="D4" s="12" t="s">
        <v>195</v>
      </c>
      <c r="E4" s="7" t="n">
        <v>3</v>
      </c>
      <c r="F4" s="12" t="s">
        <v>21</v>
      </c>
      <c r="G4" s="12" t="s">
        <v>21</v>
      </c>
      <c r="H4" s="12" t="s">
        <v>21</v>
      </c>
      <c r="I4" s="12" t="s">
        <v>21</v>
      </c>
      <c r="J4" s="7" t="n">
        <v>2</v>
      </c>
      <c r="K4" s="7" t="n">
        <v>1</v>
      </c>
      <c r="L4" s="7" t="n">
        <v>1</v>
      </c>
      <c r="M4" s="7" t="n">
        <v>2</v>
      </c>
      <c r="N4" s="7" t="n">
        <v>0</v>
      </c>
      <c r="O4" s="12"/>
    </row>
    <row r="5" customFormat="false" ht="30" hidden="false" customHeight="true" outlineLevel="0" collapsed="false">
      <c r="A5" s="12" t="s">
        <v>18</v>
      </c>
      <c r="B5" s="13" t="n">
        <v>2</v>
      </c>
      <c r="C5" s="12" t="s">
        <v>198</v>
      </c>
      <c r="D5" s="12" t="s">
        <v>195</v>
      </c>
      <c r="E5" s="12" t="s">
        <v>21</v>
      </c>
      <c r="F5" s="7" t="n">
        <v>35</v>
      </c>
      <c r="G5" s="7" t="n">
        <v>12</v>
      </c>
      <c r="H5" s="12" t="s">
        <v>21</v>
      </c>
      <c r="I5" s="12" t="s">
        <v>21</v>
      </c>
      <c r="J5" s="12" t="s">
        <v>21</v>
      </c>
      <c r="K5" s="12" t="s">
        <v>21</v>
      </c>
      <c r="L5" s="12" t="s">
        <v>21</v>
      </c>
      <c r="M5" s="12" t="s">
        <v>21</v>
      </c>
      <c r="N5" s="12" t="s">
        <v>21</v>
      </c>
      <c r="O5" s="12" t="s">
        <v>859</v>
      </c>
    </row>
    <row r="6" customFormat="false" ht="18" hidden="false" customHeight="true" outlineLevel="0" collapsed="false">
      <c r="A6" s="12" t="s">
        <v>38</v>
      </c>
      <c r="B6" s="13" t="n">
        <v>2</v>
      </c>
      <c r="C6" s="12" t="s">
        <v>246</v>
      </c>
      <c r="D6" s="12" t="s">
        <v>195</v>
      </c>
      <c r="E6" s="7" t="n">
        <v>0</v>
      </c>
      <c r="F6" s="12" t="s">
        <v>21</v>
      </c>
      <c r="G6" s="12" t="s">
        <v>21</v>
      </c>
      <c r="H6" s="7" t="n">
        <v>0</v>
      </c>
      <c r="I6" s="7" t="n">
        <v>5</v>
      </c>
      <c r="J6" s="12" t="s">
        <v>21</v>
      </c>
      <c r="K6" s="12" t="s">
        <v>21</v>
      </c>
      <c r="L6" s="12" t="s">
        <v>21</v>
      </c>
      <c r="M6" s="12" t="s">
        <v>21</v>
      </c>
      <c r="N6" s="12" t="s">
        <v>21</v>
      </c>
      <c r="O6" s="12"/>
    </row>
    <row r="7" customFormat="false" ht="18" hidden="false" customHeight="true" outlineLevel="0" collapsed="false">
      <c r="A7" s="12" t="s">
        <v>858</v>
      </c>
      <c r="B7" s="13" t="n">
        <v>2</v>
      </c>
      <c r="C7" s="12" t="s">
        <v>408</v>
      </c>
      <c r="D7" s="12" t="s">
        <v>195</v>
      </c>
      <c r="E7" s="7" t="n">
        <v>3</v>
      </c>
      <c r="F7" s="12" t="s">
        <v>21</v>
      </c>
      <c r="G7" s="12" t="s">
        <v>21</v>
      </c>
      <c r="H7" s="12" t="s">
        <v>21</v>
      </c>
      <c r="I7" s="12" t="s">
        <v>21</v>
      </c>
      <c r="J7" s="7" t="n">
        <v>3</v>
      </c>
      <c r="K7" s="7" t="n">
        <v>1</v>
      </c>
      <c r="L7" s="7" t="n">
        <v>1</v>
      </c>
      <c r="M7" s="7" t="n">
        <v>2</v>
      </c>
      <c r="N7" s="7" t="n">
        <v>0</v>
      </c>
      <c r="O7" s="12"/>
    </row>
    <row r="8" customFormat="false" ht="18" hidden="false" customHeight="true" outlineLevel="0" collapsed="false">
      <c r="A8" s="12" t="s">
        <v>18</v>
      </c>
      <c r="B8" s="13" t="n">
        <v>3</v>
      </c>
      <c r="C8" s="12" t="s">
        <v>201</v>
      </c>
      <c r="D8" s="12" t="s">
        <v>195</v>
      </c>
      <c r="E8" s="12" t="s">
        <v>21</v>
      </c>
      <c r="F8" s="7" t="n">
        <v>36</v>
      </c>
      <c r="G8" s="7" t="n">
        <v>12</v>
      </c>
      <c r="H8" s="12" t="s">
        <v>21</v>
      </c>
      <c r="I8" s="12" t="s">
        <v>21</v>
      </c>
      <c r="J8" s="12" t="s">
        <v>21</v>
      </c>
      <c r="K8" s="12" t="s">
        <v>21</v>
      </c>
      <c r="L8" s="12" t="s">
        <v>21</v>
      </c>
      <c r="M8" s="12" t="s">
        <v>21</v>
      </c>
      <c r="N8" s="12" t="s">
        <v>21</v>
      </c>
      <c r="O8" s="12" t="s">
        <v>860</v>
      </c>
    </row>
    <row r="9" customFormat="false" ht="18" hidden="false" customHeight="true" outlineLevel="0" collapsed="false">
      <c r="A9" s="12" t="s">
        <v>38</v>
      </c>
      <c r="B9" s="13" t="n">
        <v>3</v>
      </c>
      <c r="C9" s="12" t="s">
        <v>247</v>
      </c>
      <c r="D9" s="12" t="s">
        <v>195</v>
      </c>
      <c r="E9" s="7" t="n">
        <v>0</v>
      </c>
      <c r="F9" s="12" t="s">
        <v>21</v>
      </c>
      <c r="G9" s="12" t="s">
        <v>21</v>
      </c>
      <c r="H9" s="7" t="n">
        <v>1</v>
      </c>
      <c r="I9" s="7" t="n">
        <v>5</v>
      </c>
      <c r="J9" s="12" t="s">
        <v>21</v>
      </c>
      <c r="K9" s="12" t="s">
        <v>21</v>
      </c>
      <c r="L9" s="12" t="s">
        <v>21</v>
      </c>
      <c r="M9" s="12" t="s">
        <v>21</v>
      </c>
      <c r="N9" s="12" t="s">
        <v>21</v>
      </c>
      <c r="O9" s="12"/>
    </row>
    <row r="10" customFormat="false" ht="30" hidden="false" customHeight="true" outlineLevel="0" collapsed="false">
      <c r="A10" s="12" t="s">
        <v>858</v>
      </c>
      <c r="B10" s="13" t="n">
        <v>3</v>
      </c>
      <c r="C10" s="12" t="s">
        <v>409</v>
      </c>
      <c r="D10" s="12" t="s">
        <v>195</v>
      </c>
      <c r="E10" s="7" t="n">
        <v>3</v>
      </c>
      <c r="F10" s="12" t="s">
        <v>21</v>
      </c>
      <c r="G10" s="12" t="s">
        <v>21</v>
      </c>
      <c r="H10" s="12" t="s">
        <v>21</v>
      </c>
      <c r="I10" s="12" t="s">
        <v>21</v>
      </c>
      <c r="J10" s="7" t="n">
        <v>3</v>
      </c>
      <c r="K10" s="7" t="n">
        <v>1</v>
      </c>
      <c r="L10" s="7" t="n">
        <v>1</v>
      </c>
      <c r="M10" s="7" t="n">
        <v>2</v>
      </c>
      <c r="N10" s="7" t="n">
        <v>0</v>
      </c>
      <c r="O10" s="12" t="s">
        <v>861</v>
      </c>
    </row>
    <row r="11" customFormat="false" ht="30" hidden="false" customHeight="true" outlineLevel="0" collapsed="false">
      <c r="A11" s="12" t="s">
        <v>18</v>
      </c>
      <c r="B11" s="13" t="n">
        <v>4</v>
      </c>
      <c r="C11" s="12" t="s">
        <v>204</v>
      </c>
      <c r="D11" s="12" t="s">
        <v>195</v>
      </c>
      <c r="E11" s="12" t="s">
        <v>21</v>
      </c>
      <c r="F11" s="7" t="n">
        <v>37</v>
      </c>
      <c r="G11" s="7" t="n">
        <v>12</v>
      </c>
      <c r="H11" s="12" t="s">
        <v>21</v>
      </c>
      <c r="I11" s="12" t="s">
        <v>21</v>
      </c>
      <c r="J11" s="12" t="s">
        <v>21</v>
      </c>
      <c r="K11" s="12" t="s">
        <v>21</v>
      </c>
      <c r="L11" s="12" t="s">
        <v>21</v>
      </c>
      <c r="M11" s="12" t="s">
        <v>21</v>
      </c>
      <c r="N11" s="12" t="s">
        <v>21</v>
      </c>
      <c r="O11" s="12" t="s">
        <v>862</v>
      </c>
    </row>
    <row r="12" customFormat="false" ht="18" hidden="false" customHeight="true" outlineLevel="0" collapsed="false">
      <c r="A12" s="12" t="s">
        <v>38</v>
      </c>
      <c r="B12" s="13" t="n">
        <v>4</v>
      </c>
      <c r="C12" s="12" t="s">
        <v>248</v>
      </c>
      <c r="D12" s="12" t="s">
        <v>195</v>
      </c>
      <c r="E12" s="7" t="n">
        <v>0</v>
      </c>
      <c r="F12" s="12" t="s">
        <v>21</v>
      </c>
      <c r="G12" s="12" t="s">
        <v>21</v>
      </c>
      <c r="H12" s="7" t="n">
        <v>1</v>
      </c>
      <c r="I12" s="7" t="n">
        <v>6</v>
      </c>
      <c r="J12" s="12" t="s">
        <v>21</v>
      </c>
      <c r="K12" s="12" t="s">
        <v>21</v>
      </c>
      <c r="L12" s="12" t="s">
        <v>21</v>
      </c>
      <c r="M12" s="12" t="s">
        <v>21</v>
      </c>
      <c r="N12" s="12" t="s">
        <v>21</v>
      </c>
      <c r="O12" s="12"/>
    </row>
    <row r="13" customFormat="false" ht="30" hidden="false" customHeight="true" outlineLevel="0" collapsed="false">
      <c r="A13" s="12" t="s">
        <v>858</v>
      </c>
      <c r="B13" s="13" t="n">
        <v>4</v>
      </c>
      <c r="C13" s="12" t="s">
        <v>411</v>
      </c>
      <c r="D13" s="12" t="s">
        <v>195</v>
      </c>
      <c r="E13" s="7" t="n">
        <v>3</v>
      </c>
      <c r="F13" s="12" t="s">
        <v>21</v>
      </c>
      <c r="G13" s="12" t="s">
        <v>21</v>
      </c>
      <c r="H13" s="12" t="s">
        <v>21</v>
      </c>
      <c r="I13" s="12" t="s">
        <v>21</v>
      </c>
      <c r="J13" s="7" t="n">
        <v>4</v>
      </c>
      <c r="K13" s="7" t="n">
        <v>1</v>
      </c>
      <c r="L13" s="7" t="n">
        <v>1</v>
      </c>
      <c r="M13" s="7" t="n">
        <v>2</v>
      </c>
      <c r="N13" s="7" t="n">
        <v>0</v>
      </c>
      <c r="O13" s="14" t="s">
        <v>863</v>
      </c>
    </row>
    <row r="14" customFormat="false" ht="30" hidden="false" customHeight="true" outlineLevel="0" collapsed="false">
      <c r="A14" s="12" t="s">
        <v>18</v>
      </c>
      <c r="B14" s="13" t="n">
        <v>5</v>
      </c>
      <c r="C14" s="12" t="s">
        <v>206</v>
      </c>
      <c r="D14" s="12" t="s">
        <v>195</v>
      </c>
      <c r="E14" s="12" t="s">
        <v>21</v>
      </c>
      <c r="F14" s="7" t="n">
        <v>38</v>
      </c>
      <c r="G14" s="7" t="n">
        <v>12</v>
      </c>
      <c r="H14" s="12" t="s">
        <v>21</v>
      </c>
      <c r="I14" s="12" t="s">
        <v>21</v>
      </c>
      <c r="J14" s="12" t="s">
        <v>21</v>
      </c>
      <c r="K14" s="12" t="s">
        <v>21</v>
      </c>
      <c r="L14" s="12" t="s">
        <v>21</v>
      </c>
      <c r="M14" s="12" t="s">
        <v>21</v>
      </c>
      <c r="N14" s="12" t="s">
        <v>21</v>
      </c>
      <c r="O14" s="12" t="s">
        <v>864</v>
      </c>
    </row>
    <row r="15" customFormat="false" ht="18" hidden="false" customHeight="true" outlineLevel="0" collapsed="false">
      <c r="A15" s="12" t="s">
        <v>38</v>
      </c>
      <c r="B15" s="13" t="n">
        <v>5</v>
      </c>
      <c r="C15" s="12" t="s">
        <v>249</v>
      </c>
      <c r="D15" s="12" t="s">
        <v>195</v>
      </c>
      <c r="E15" s="7" t="n">
        <v>0</v>
      </c>
      <c r="F15" s="12" t="s">
        <v>21</v>
      </c>
      <c r="G15" s="12" t="s">
        <v>21</v>
      </c>
      <c r="H15" s="7" t="n">
        <v>2</v>
      </c>
      <c r="I15" s="7" t="n">
        <v>6</v>
      </c>
      <c r="J15" s="12" t="s">
        <v>21</v>
      </c>
      <c r="K15" s="12" t="s">
        <v>21</v>
      </c>
      <c r="L15" s="12" t="s">
        <v>21</v>
      </c>
      <c r="M15" s="12" t="s">
        <v>21</v>
      </c>
      <c r="N15" s="12" t="s">
        <v>21</v>
      </c>
      <c r="O15" s="12"/>
    </row>
    <row r="16" customFormat="false" ht="18" hidden="false" customHeight="true" outlineLevel="0" collapsed="false">
      <c r="A16" s="12" t="s">
        <v>858</v>
      </c>
      <c r="B16" s="13" t="n">
        <v>5</v>
      </c>
      <c r="C16" s="12" t="s">
        <v>412</v>
      </c>
      <c r="D16" s="12" t="s">
        <v>195</v>
      </c>
      <c r="E16" s="7" t="n">
        <v>3</v>
      </c>
      <c r="F16" s="12" t="s">
        <v>21</v>
      </c>
      <c r="G16" s="12" t="s">
        <v>21</v>
      </c>
      <c r="H16" s="12" t="s">
        <v>21</v>
      </c>
      <c r="I16" s="12" t="s">
        <v>21</v>
      </c>
      <c r="J16" s="7" t="n">
        <v>5</v>
      </c>
      <c r="K16" s="7" t="n">
        <v>1</v>
      </c>
      <c r="L16" s="7" t="n">
        <v>1</v>
      </c>
      <c r="M16" s="7" t="n">
        <v>3</v>
      </c>
      <c r="N16" s="7" t="n">
        <v>0</v>
      </c>
      <c r="O16" s="12"/>
    </row>
    <row r="17" customFormat="false" ht="30" hidden="false" customHeight="true" outlineLevel="0" collapsed="false">
      <c r="A17" s="12" t="s">
        <v>18</v>
      </c>
      <c r="B17" s="13" t="n">
        <v>6</v>
      </c>
      <c r="C17" s="12" t="s">
        <v>208</v>
      </c>
      <c r="D17" s="12" t="s">
        <v>195</v>
      </c>
      <c r="E17" s="12" t="s">
        <v>21</v>
      </c>
      <c r="F17" s="7" t="n">
        <v>39</v>
      </c>
      <c r="G17" s="7" t="n">
        <v>12</v>
      </c>
      <c r="H17" s="12" t="s">
        <v>21</v>
      </c>
      <c r="I17" s="12" t="s">
        <v>21</v>
      </c>
      <c r="J17" s="12" t="s">
        <v>21</v>
      </c>
      <c r="K17" s="12" t="s">
        <v>21</v>
      </c>
      <c r="L17" s="12" t="s">
        <v>21</v>
      </c>
      <c r="M17" s="12" t="s">
        <v>21</v>
      </c>
      <c r="N17" s="12" t="s">
        <v>21</v>
      </c>
      <c r="O17" s="12" t="s">
        <v>865</v>
      </c>
    </row>
    <row r="18" customFormat="false" ht="30" hidden="false" customHeight="true" outlineLevel="0" collapsed="false">
      <c r="A18" s="12" t="s">
        <v>38</v>
      </c>
      <c r="B18" s="13" t="n">
        <v>6</v>
      </c>
      <c r="C18" s="12" t="s">
        <v>250</v>
      </c>
      <c r="D18" s="12" t="s">
        <v>195</v>
      </c>
      <c r="E18" s="7" t="n">
        <v>0</v>
      </c>
      <c r="F18" s="12" t="s">
        <v>21</v>
      </c>
      <c r="G18" s="12" t="s">
        <v>21</v>
      </c>
      <c r="H18" s="7" t="n">
        <v>2</v>
      </c>
      <c r="I18" s="7" t="n">
        <v>7</v>
      </c>
      <c r="J18" s="12" t="s">
        <v>21</v>
      </c>
      <c r="K18" s="12" t="s">
        <v>21</v>
      </c>
      <c r="L18" s="12" t="s">
        <v>21</v>
      </c>
      <c r="M18" s="12" t="s">
        <v>21</v>
      </c>
      <c r="N18" s="12" t="s">
        <v>21</v>
      </c>
      <c r="O18" s="12" t="s">
        <v>866</v>
      </c>
    </row>
    <row r="19" customFormat="false" ht="30" hidden="false" customHeight="true" outlineLevel="0" collapsed="false">
      <c r="A19" s="12" t="s">
        <v>858</v>
      </c>
      <c r="B19" s="13" t="n">
        <v>6</v>
      </c>
      <c r="C19" s="12" t="s">
        <v>413</v>
      </c>
      <c r="D19" s="12" t="s">
        <v>195</v>
      </c>
      <c r="E19" s="7" t="n">
        <v>3</v>
      </c>
      <c r="F19" s="12" t="s">
        <v>21</v>
      </c>
      <c r="G19" s="12" t="s">
        <v>21</v>
      </c>
      <c r="H19" s="12" t="s">
        <v>21</v>
      </c>
      <c r="I19" s="12" t="s">
        <v>21</v>
      </c>
      <c r="J19" s="7" t="n">
        <v>5</v>
      </c>
      <c r="K19" s="7" t="n">
        <v>2</v>
      </c>
      <c r="L19" s="7" t="n">
        <v>1</v>
      </c>
      <c r="M19" s="7" t="n">
        <v>3</v>
      </c>
      <c r="N19" s="7" t="n">
        <v>0</v>
      </c>
      <c r="O19" s="12" t="s">
        <v>867</v>
      </c>
    </row>
    <row r="20" customFormat="false" ht="30" hidden="false" customHeight="true" outlineLevel="0" collapsed="false">
      <c r="A20" s="12" t="s">
        <v>18</v>
      </c>
      <c r="B20" s="13" t="n">
        <v>7</v>
      </c>
      <c r="C20" s="12" t="s">
        <v>210</v>
      </c>
      <c r="D20" s="12" t="s">
        <v>195</v>
      </c>
      <c r="E20" s="12" t="s">
        <v>21</v>
      </c>
      <c r="F20" s="7" t="n">
        <v>41</v>
      </c>
      <c r="G20" s="7" t="n">
        <v>12</v>
      </c>
      <c r="H20" s="12" t="s">
        <v>21</v>
      </c>
      <c r="I20" s="12" t="s">
        <v>21</v>
      </c>
      <c r="J20" s="12" t="s">
        <v>21</v>
      </c>
      <c r="K20" s="12" t="s">
        <v>21</v>
      </c>
      <c r="L20" s="12" t="s">
        <v>21</v>
      </c>
      <c r="M20" s="12" t="s">
        <v>21</v>
      </c>
      <c r="N20" s="12" t="s">
        <v>21</v>
      </c>
      <c r="O20" s="12" t="s">
        <v>868</v>
      </c>
    </row>
    <row r="21" customFormat="false" ht="30" hidden="false" customHeight="true" outlineLevel="0" collapsed="false">
      <c r="A21" s="12" t="s">
        <v>38</v>
      </c>
      <c r="B21" s="13" t="n">
        <v>7</v>
      </c>
      <c r="C21" s="12" t="s">
        <v>869</v>
      </c>
      <c r="D21" s="12" t="s">
        <v>870</v>
      </c>
      <c r="E21" s="7" t="n">
        <v>0</v>
      </c>
      <c r="F21" s="12" t="s">
        <v>21</v>
      </c>
      <c r="G21" s="12" t="s">
        <v>21</v>
      </c>
      <c r="H21" s="7" t="n">
        <v>2</v>
      </c>
      <c r="I21" s="7" t="n">
        <v>7</v>
      </c>
      <c r="J21" s="12" t="s">
        <v>21</v>
      </c>
      <c r="K21" s="12" t="s">
        <v>21</v>
      </c>
      <c r="L21" s="12" t="s">
        <v>21</v>
      </c>
      <c r="M21" s="12" t="s">
        <v>21</v>
      </c>
      <c r="N21" s="12" t="s">
        <v>21</v>
      </c>
      <c r="O21" s="12" t="s">
        <v>871</v>
      </c>
    </row>
    <row r="22" customFormat="false" ht="18" hidden="false" customHeight="true" outlineLevel="0" collapsed="false">
      <c r="A22" s="12" t="s">
        <v>858</v>
      </c>
      <c r="B22" s="13" t="n">
        <v>7</v>
      </c>
      <c r="C22" s="12" t="s">
        <v>414</v>
      </c>
      <c r="D22" s="12" t="s">
        <v>195</v>
      </c>
      <c r="E22" s="7" t="n">
        <v>2</v>
      </c>
      <c r="F22" s="12" t="s">
        <v>21</v>
      </c>
      <c r="G22" s="12" t="s">
        <v>21</v>
      </c>
      <c r="H22" s="12" t="s">
        <v>21</v>
      </c>
      <c r="I22" s="12" t="s">
        <v>21</v>
      </c>
      <c r="J22" s="7" t="n">
        <v>7</v>
      </c>
      <c r="K22" s="7" t="n">
        <v>2</v>
      </c>
      <c r="L22" s="7" t="n">
        <v>1</v>
      </c>
      <c r="M22" s="7" t="n">
        <v>3</v>
      </c>
      <c r="N22" s="7" t="n">
        <v>1</v>
      </c>
      <c r="O22" s="12"/>
    </row>
    <row r="23" customFormat="false" ht="30" hidden="false" customHeight="true" outlineLevel="0" collapsed="false">
      <c r="A23" s="12" t="s">
        <v>18</v>
      </c>
      <c r="B23" s="13" t="n">
        <v>8</v>
      </c>
      <c r="C23" s="12" t="s">
        <v>211</v>
      </c>
      <c r="D23" s="12" t="s">
        <v>195</v>
      </c>
      <c r="E23" s="12" t="s">
        <v>21</v>
      </c>
      <c r="F23" s="7" t="n">
        <v>43</v>
      </c>
      <c r="G23" s="7" t="n">
        <v>12</v>
      </c>
      <c r="H23" s="12" t="s">
        <v>21</v>
      </c>
      <c r="I23" s="12" t="s">
        <v>21</v>
      </c>
      <c r="J23" s="12" t="s">
        <v>21</v>
      </c>
      <c r="K23" s="12" t="s">
        <v>21</v>
      </c>
      <c r="L23" s="12" t="s">
        <v>21</v>
      </c>
      <c r="M23" s="12" t="s">
        <v>21</v>
      </c>
      <c r="N23" s="12" t="s">
        <v>21</v>
      </c>
      <c r="O23" s="12" t="s">
        <v>872</v>
      </c>
    </row>
    <row r="24" customFormat="false" ht="30" hidden="false" customHeight="true" outlineLevel="0" collapsed="false">
      <c r="A24" s="12" t="s">
        <v>38</v>
      </c>
      <c r="B24" s="13" t="n">
        <v>8</v>
      </c>
      <c r="C24" s="12" t="s">
        <v>869</v>
      </c>
      <c r="D24" s="12" t="s">
        <v>870</v>
      </c>
      <c r="E24" s="7" t="n">
        <v>0</v>
      </c>
      <c r="F24" s="12" t="s">
        <v>21</v>
      </c>
      <c r="G24" s="12" t="s">
        <v>21</v>
      </c>
      <c r="H24" s="7" t="n">
        <v>2</v>
      </c>
      <c r="I24" s="7" t="n">
        <v>7</v>
      </c>
      <c r="J24" s="12" t="s">
        <v>21</v>
      </c>
      <c r="K24" s="12" t="s">
        <v>21</v>
      </c>
      <c r="L24" s="12" t="s">
        <v>21</v>
      </c>
      <c r="M24" s="12" t="s">
        <v>21</v>
      </c>
      <c r="N24" s="12" t="s">
        <v>21</v>
      </c>
      <c r="O24" s="12" t="s">
        <v>873</v>
      </c>
    </row>
    <row r="25" customFormat="false" ht="18" hidden="false" customHeight="true" outlineLevel="0" collapsed="false">
      <c r="A25" s="12" t="s">
        <v>858</v>
      </c>
      <c r="B25" s="13" t="n">
        <v>8</v>
      </c>
      <c r="C25" s="12" t="s">
        <v>415</v>
      </c>
      <c r="D25" s="12" t="s">
        <v>195</v>
      </c>
      <c r="E25" s="7" t="n">
        <v>2</v>
      </c>
      <c r="F25" s="12" t="s">
        <v>21</v>
      </c>
      <c r="G25" s="12" t="s">
        <v>21</v>
      </c>
      <c r="H25" s="12" t="s">
        <v>21</v>
      </c>
      <c r="I25" s="12" t="s">
        <v>21</v>
      </c>
      <c r="J25" s="7" t="n">
        <v>9</v>
      </c>
      <c r="K25" s="7" t="n">
        <v>2</v>
      </c>
      <c r="L25" s="7" t="n">
        <v>2</v>
      </c>
      <c r="M25" s="7" t="n">
        <v>4</v>
      </c>
      <c r="N25" s="7" t="n">
        <v>1</v>
      </c>
      <c r="O25" s="12"/>
    </row>
    <row r="26" customFormat="false" ht="30" hidden="false" customHeight="true" outlineLevel="0" collapsed="false">
      <c r="A26" s="12" t="s">
        <v>18</v>
      </c>
      <c r="B26" s="13" t="n">
        <v>9</v>
      </c>
      <c r="C26" s="12" t="s">
        <v>214</v>
      </c>
      <c r="D26" s="12" t="s">
        <v>195</v>
      </c>
      <c r="E26" s="12" t="s">
        <v>21</v>
      </c>
      <c r="F26" s="7" t="n">
        <v>45</v>
      </c>
      <c r="G26" s="7" t="n">
        <v>12</v>
      </c>
      <c r="H26" s="12" t="s">
        <v>21</v>
      </c>
      <c r="I26" s="12" t="s">
        <v>21</v>
      </c>
      <c r="J26" s="12" t="s">
        <v>21</v>
      </c>
      <c r="K26" s="12" t="s">
        <v>21</v>
      </c>
      <c r="L26" s="12" t="s">
        <v>21</v>
      </c>
      <c r="M26" s="12" t="s">
        <v>21</v>
      </c>
      <c r="N26" s="12" t="s">
        <v>21</v>
      </c>
      <c r="O26" s="12" t="s">
        <v>874</v>
      </c>
    </row>
    <row r="27" customFormat="false" ht="30" hidden="false" customHeight="true" outlineLevel="0" collapsed="false">
      <c r="A27" s="12" t="s">
        <v>38</v>
      </c>
      <c r="B27" s="13" t="n">
        <v>9</v>
      </c>
      <c r="C27" s="12" t="s">
        <v>252</v>
      </c>
      <c r="D27" s="12" t="s">
        <v>195</v>
      </c>
      <c r="E27" s="7" t="n">
        <v>0</v>
      </c>
      <c r="F27" s="12" t="s">
        <v>21</v>
      </c>
      <c r="G27" s="12" t="s">
        <v>21</v>
      </c>
      <c r="H27" s="7" t="n">
        <v>3</v>
      </c>
      <c r="I27" s="7" t="n">
        <v>8</v>
      </c>
      <c r="J27" s="12" t="s">
        <v>21</v>
      </c>
      <c r="K27" s="12" t="s">
        <v>21</v>
      </c>
      <c r="L27" s="12" t="s">
        <v>21</v>
      </c>
      <c r="M27" s="12" t="s">
        <v>21</v>
      </c>
      <c r="N27" s="12" t="s">
        <v>21</v>
      </c>
      <c r="O27" s="12" t="s">
        <v>875</v>
      </c>
    </row>
    <row r="28" customFormat="false" ht="18" hidden="false" customHeight="true" outlineLevel="0" collapsed="false">
      <c r="A28" s="12" t="s">
        <v>858</v>
      </c>
      <c r="B28" s="13" t="n">
        <v>9</v>
      </c>
      <c r="C28" s="12" t="s">
        <v>416</v>
      </c>
      <c r="D28" s="12" t="s">
        <v>195</v>
      </c>
      <c r="E28" s="7" t="n">
        <v>2</v>
      </c>
      <c r="F28" s="12" t="s">
        <v>21</v>
      </c>
      <c r="G28" s="12" t="s">
        <v>21</v>
      </c>
      <c r="H28" s="12" t="s">
        <v>21</v>
      </c>
      <c r="I28" s="12" t="s">
        <v>21</v>
      </c>
      <c r="J28" s="7" t="n">
        <v>12</v>
      </c>
      <c r="K28" s="7" t="n">
        <v>3</v>
      </c>
      <c r="L28" s="7" t="n">
        <v>2</v>
      </c>
      <c r="M28" s="7" t="n">
        <v>4</v>
      </c>
      <c r="N28" s="7" t="n">
        <v>1</v>
      </c>
      <c r="O28" s="12"/>
    </row>
  </sheetData>
  <autoFilter ref="A1:O1"/>
  <printOptions headings="false" gridLines="false" gridLinesSet="true" horizontalCentered="false" verticalCentered="false"/>
  <pageMargins left="0.25" right="0.25" top="0.45" bottom="0.4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&amp;CStar Cluster - provisional candidate matrix - no calibration&amp;RPage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"/>
    <col collapsed="false" customWidth="true" hidden="false" outlineLevel="0" max="3" min="3" style="0" width="44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9" min="9" style="0" width="8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18"/>
    <col collapsed="false" customWidth="true" hidden="false" outlineLevel="0" max="15" min="15" style="0" width="54"/>
  </cols>
  <sheetData>
    <row r="1" customFormat="false" ht="28.35" hidden="false" customHeight="false" outlineLevel="0" collapsed="false">
      <c r="A1" s="5" t="s">
        <v>846</v>
      </c>
      <c r="B1" s="5" t="s">
        <v>14</v>
      </c>
      <c r="C1" s="5" t="s">
        <v>179</v>
      </c>
      <c r="D1" s="5" t="s">
        <v>847</v>
      </c>
      <c r="E1" s="5" t="s">
        <v>522</v>
      </c>
      <c r="F1" s="5" t="s">
        <v>876</v>
      </c>
      <c r="G1" s="5" t="s">
        <v>877</v>
      </c>
      <c r="H1" s="5" t="s">
        <v>878</v>
      </c>
      <c r="I1" s="5" t="s">
        <v>879</v>
      </c>
      <c r="J1" s="5" t="s">
        <v>880</v>
      </c>
      <c r="K1" s="5" t="s">
        <v>881</v>
      </c>
      <c r="L1" s="5" t="s">
        <v>882</v>
      </c>
      <c r="M1" s="5" t="s">
        <v>883</v>
      </c>
      <c r="N1" s="5" t="s">
        <v>884</v>
      </c>
      <c r="O1" s="5" t="s">
        <v>525</v>
      </c>
    </row>
    <row r="2" customFormat="false" ht="18" hidden="false" customHeight="true" outlineLevel="0" collapsed="false">
      <c r="A2" s="12" t="s">
        <v>885</v>
      </c>
      <c r="B2" s="13" t="n">
        <v>1</v>
      </c>
      <c r="C2" s="12" t="s">
        <v>269</v>
      </c>
      <c r="D2" s="12" t="s">
        <v>195</v>
      </c>
      <c r="E2" s="7" t="n">
        <v>6</v>
      </c>
      <c r="F2" s="7" t="n">
        <v>5</v>
      </c>
      <c r="G2" s="7" t="n">
        <v>3</v>
      </c>
      <c r="H2" s="7" t="n">
        <v>1</v>
      </c>
      <c r="I2" s="12" t="s">
        <v>21</v>
      </c>
      <c r="J2" s="12" t="s">
        <v>21</v>
      </c>
      <c r="K2" s="12" t="s">
        <v>21</v>
      </c>
      <c r="L2" s="12" t="s">
        <v>21</v>
      </c>
      <c r="M2" s="12" t="s">
        <v>21</v>
      </c>
      <c r="N2" s="12" t="s">
        <v>21</v>
      </c>
      <c r="O2" s="12" t="s">
        <v>886</v>
      </c>
    </row>
    <row r="3" customFormat="false" ht="18" hidden="false" customHeight="true" outlineLevel="0" collapsed="false">
      <c r="A3" s="12" t="s">
        <v>887</v>
      </c>
      <c r="B3" s="13" t="n">
        <v>1</v>
      </c>
      <c r="C3" s="12" t="s">
        <v>303</v>
      </c>
      <c r="D3" s="12" t="s">
        <v>195</v>
      </c>
      <c r="E3" s="7" t="n">
        <v>5</v>
      </c>
      <c r="F3" s="12" t="s">
        <v>21</v>
      </c>
      <c r="G3" s="12" t="s">
        <v>21</v>
      </c>
      <c r="H3" s="12" t="s">
        <v>21</v>
      </c>
      <c r="I3" s="7" t="n">
        <v>1</v>
      </c>
      <c r="J3" s="12" t="s">
        <v>21</v>
      </c>
      <c r="K3" s="7" t="n">
        <v>2</v>
      </c>
      <c r="L3" s="7" t="n">
        <v>1</v>
      </c>
      <c r="M3" s="7" t="n">
        <v>1</v>
      </c>
      <c r="N3" s="12" t="s">
        <v>21</v>
      </c>
      <c r="O3" s="12"/>
    </row>
    <row r="4" customFormat="false" ht="18" hidden="false" customHeight="true" outlineLevel="0" collapsed="false">
      <c r="A4" s="12" t="s">
        <v>888</v>
      </c>
      <c r="B4" s="13" t="n">
        <v>1</v>
      </c>
      <c r="C4" s="12" t="s">
        <v>318</v>
      </c>
      <c r="D4" s="12" t="s">
        <v>195</v>
      </c>
      <c r="E4" s="7" t="n">
        <v>5</v>
      </c>
      <c r="F4" s="12" t="s">
        <v>21</v>
      </c>
      <c r="G4" s="12" t="s">
        <v>21</v>
      </c>
      <c r="H4" s="12" t="s">
        <v>21</v>
      </c>
      <c r="I4" s="12" t="s">
        <v>21</v>
      </c>
      <c r="J4" s="7" t="n">
        <v>1</v>
      </c>
      <c r="K4" s="12" t="s">
        <v>21</v>
      </c>
      <c r="L4" s="12" t="s">
        <v>21</v>
      </c>
      <c r="M4" s="12" t="s">
        <v>21</v>
      </c>
      <c r="N4" s="12" t="s">
        <v>21</v>
      </c>
      <c r="O4" s="12"/>
    </row>
    <row r="5" customFormat="false" ht="45" hidden="false" customHeight="true" outlineLevel="0" collapsed="false">
      <c r="A5" s="12" t="s">
        <v>885</v>
      </c>
      <c r="B5" s="13" t="n">
        <v>2</v>
      </c>
      <c r="C5" s="12" t="s">
        <v>271</v>
      </c>
      <c r="D5" s="12" t="s">
        <v>195</v>
      </c>
      <c r="E5" s="7" t="n">
        <v>6</v>
      </c>
      <c r="F5" s="7" t="n">
        <v>7</v>
      </c>
      <c r="G5" s="7" t="n">
        <v>3</v>
      </c>
      <c r="H5" s="7" t="n">
        <v>0</v>
      </c>
      <c r="I5" s="12" t="s">
        <v>21</v>
      </c>
      <c r="J5" s="12" t="s">
        <v>21</v>
      </c>
      <c r="K5" s="12" t="s">
        <v>21</v>
      </c>
      <c r="L5" s="12" t="s">
        <v>21</v>
      </c>
      <c r="M5" s="12" t="s">
        <v>21</v>
      </c>
      <c r="N5" s="12" t="s">
        <v>21</v>
      </c>
      <c r="O5" s="12" t="s">
        <v>889</v>
      </c>
    </row>
    <row r="6" customFormat="false" ht="18" hidden="false" customHeight="true" outlineLevel="0" collapsed="false">
      <c r="A6" s="12" t="s">
        <v>887</v>
      </c>
      <c r="B6" s="13" t="n">
        <v>2</v>
      </c>
      <c r="C6" s="12" t="s">
        <v>304</v>
      </c>
      <c r="D6" s="12" t="s">
        <v>195</v>
      </c>
      <c r="E6" s="7" t="n">
        <v>5</v>
      </c>
      <c r="F6" s="12" t="s">
        <v>21</v>
      </c>
      <c r="G6" s="12" t="s">
        <v>21</v>
      </c>
      <c r="H6" s="12" t="s">
        <v>21</v>
      </c>
      <c r="I6" s="7" t="n">
        <v>2</v>
      </c>
      <c r="J6" s="12" t="s">
        <v>21</v>
      </c>
      <c r="K6" s="7" t="n">
        <v>2</v>
      </c>
      <c r="L6" s="7" t="n">
        <v>1</v>
      </c>
      <c r="M6" s="7" t="n">
        <v>1</v>
      </c>
      <c r="N6" s="12" t="s">
        <v>21</v>
      </c>
      <c r="O6" s="12"/>
    </row>
    <row r="7" customFormat="false" ht="18" hidden="false" customHeight="true" outlineLevel="0" collapsed="false">
      <c r="A7" s="12" t="s">
        <v>888</v>
      </c>
      <c r="B7" s="13" t="n">
        <v>2</v>
      </c>
      <c r="C7" s="12" t="s">
        <v>319</v>
      </c>
      <c r="D7" s="12" t="s">
        <v>195</v>
      </c>
      <c r="E7" s="7" t="n">
        <v>5</v>
      </c>
      <c r="F7" s="12" t="s">
        <v>21</v>
      </c>
      <c r="G7" s="12" t="s">
        <v>21</v>
      </c>
      <c r="H7" s="12" t="s">
        <v>21</v>
      </c>
      <c r="I7" s="12" t="s">
        <v>21</v>
      </c>
      <c r="J7" s="7" t="n">
        <v>2</v>
      </c>
      <c r="K7" s="12" t="s">
        <v>21</v>
      </c>
      <c r="L7" s="12" t="s">
        <v>21</v>
      </c>
      <c r="M7" s="12" t="s">
        <v>21</v>
      </c>
      <c r="N7" s="12" t="s">
        <v>21</v>
      </c>
      <c r="O7" s="12"/>
    </row>
    <row r="8" customFormat="false" ht="30" hidden="false" customHeight="true" outlineLevel="0" collapsed="false">
      <c r="A8" s="12" t="s">
        <v>885</v>
      </c>
      <c r="B8" s="13" t="n">
        <v>3</v>
      </c>
      <c r="C8" s="12" t="s">
        <v>272</v>
      </c>
      <c r="D8" s="12" t="s">
        <v>195</v>
      </c>
      <c r="E8" s="7" t="n">
        <v>5</v>
      </c>
      <c r="F8" s="7" t="n">
        <v>7</v>
      </c>
      <c r="G8" s="7" t="n">
        <v>4</v>
      </c>
      <c r="H8" s="7" t="n">
        <v>1</v>
      </c>
      <c r="I8" s="12" t="s">
        <v>21</v>
      </c>
      <c r="J8" s="12" t="s">
        <v>21</v>
      </c>
      <c r="K8" s="12" t="s">
        <v>21</v>
      </c>
      <c r="L8" s="12" t="s">
        <v>21</v>
      </c>
      <c r="M8" s="12" t="s">
        <v>21</v>
      </c>
      <c r="N8" s="12" t="s">
        <v>21</v>
      </c>
      <c r="O8" s="12" t="s">
        <v>890</v>
      </c>
    </row>
    <row r="9" customFormat="false" ht="18" hidden="false" customHeight="true" outlineLevel="0" collapsed="false">
      <c r="A9" s="12" t="s">
        <v>887</v>
      </c>
      <c r="B9" s="13" t="n">
        <v>3</v>
      </c>
      <c r="C9" s="12" t="s">
        <v>305</v>
      </c>
      <c r="D9" s="12" t="s">
        <v>195</v>
      </c>
      <c r="E9" s="7" t="n">
        <v>5</v>
      </c>
      <c r="F9" s="12" t="s">
        <v>21</v>
      </c>
      <c r="G9" s="12" t="s">
        <v>21</v>
      </c>
      <c r="H9" s="12" t="s">
        <v>21</v>
      </c>
      <c r="I9" s="7" t="n">
        <v>3</v>
      </c>
      <c r="J9" s="12" t="s">
        <v>21</v>
      </c>
      <c r="K9" s="7" t="n">
        <v>2</v>
      </c>
      <c r="L9" s="7" t="n">
        <v>1</v>
      </c>
      <c r="M9" s="7" t="n">
        <v>1</v>
      </c>
      <c r="N9" s="12" t="s">
        <v>891</v>
      </c>
      <c r="O9" s="12"/>
    </row>
    <row r="10" customFormat="false" ht="18" hidden="false" customHeight="true" outlineLevel="0" collapsed="false">
      <c r="A10" s="12" t="s">
        <v>888</v>
      </c>
      <c r="B10" s="13" t="n">
        <v>3</v>
      </c>
      <c r="C10" s="12" t="s">
        <v>320</v>
      </c>
      <c r="D10" s="12" t="s">
        <v>195</v>
      </c>
      <c r="E10" s="7" t="n">
        <v>5</v>
      </c>
      <c r="F10" s="12" t="s">
        <v>21</v>
      </c>
      <c r="G10" s="12" t="s">
        <v>21</v>
      </c>
      <c r="H10" s="12" t="s">
        <v>21</v>
      </c>
      <c r="I10" s="12" t="s">
        <v>21</v>
      </c>
      <c r="J10" s="7" t="n">
        <v>3</v>
      </c>
      <c r="K10" s="12" t="s">
        <v>21</v>
      </c>
      <c r="L10" s="12" t="s">
        <v>21</v>
      </c>
      <c r="M10" s="12" t="s">
        <v>21</v>
      </c>
      <c r="N10" s="12" t="s">
        <v>21</v>
      </c>
      <c r="O10" s="12"/>
    </row>
    <row r="11" customFormat="false" ht="18" hidden="false" customHeight="true" outlineLevel="0" collapsed="false">
      <c r="A11" s="12" t="s">
        <v>885</v>
      </c>
      <c r="B11" s="13" t="n">
        <v>4</v>
      </c>
      <c r="C11" s="12" t="s">
        <v>273</v>
      </c>
      <c r="D11" s="12" t="s">
        <v>195</v>
      </c>
      <c r="E11" s="7" t="n">
        <v>5</v>
      </c>
      <c r="F11" s="7" t="n">
        <v>9</v>
      </c>
      <c r="G11" s="7" t="n">
        <v>5</v>
      </c>
      <c r="H11" s="7" t="n">
        <v>1</v>
      </c>
      <c r="I11" s="12" t="s">
        <v>21</v>
      </c>
      <c r="J11" s="12" t="s">
        <v>21</v>
      </c>
      <c r="K11" s="12" t="s">
        <v>21</v>
      </c>
      <c r="L11" s="12" t="s">
        <v>21</v>
      </c>
      <c r="M11" s="12" t="s">
        <v>21</v>
      </c>
      <c r="N11" s="12" t="s">
        <v>21</v>
      </c>
      <c r="O11" s="12" t="s">
        <v>892</v>
      </c>
    </row>
    <row r="12" customFormat="false" ht="18" hidden="false" customHeight="true" outlineLevel="0" collapsed="false">
      <c r="A12" s="12" t="s">
        <v>887</v>
      </c>
      <c r="B12" s="13" t="n">
        <v>4</v>
      </c>
      <c r="C12" s="12" t="s">
        <v>306</v>
      </c>
      <c r="D12" s="12" t="s">
        <v>195</v>
      </c>
      <c r="E12" s="7" t="n">
        <v>5</v>
      </c>
      <c r="F12" s="12" t="s">
        <v>21</v>
      </c>
      <c r="G12" s="12" t="s">
        <v>21</v>
      </c>
      <c r="H12" s="12" t="s">
        <v>21</v>
      </c>
      <c r="I12" s="7" t="n">
        <v>4</v>
      </c>
      <c r="J12" s="12" t="s">
        <v>21</v>
      </c>
      <c r="K12" s="7" t="n">
        <v>2</v>
      </c>
      <c r="L12" s="7" t="n">
        <v>1</v>
      </c>
      <c r="M12" s="7" t="n">
        <v>1</v>
      </c>
      <c r="N12" s="12" t="s">
        <v>21</v>
      </c>
      <c r="O12" s="12"/>
    </row>
    <row r="13" customFormat="false" ht="18" hidden="false" customHeight="true" outlineLevel="0" collapsed="false">
      <c r="A13" s="12" t="s">
        <v>888</v>
      </c>
      <c r="B13" s="13" t="n">
        <v>4</v>
      </c>
      <c r="C13" s="12" t="s">
        <v>321</v>
      </c>
      <c r="D13" s="12" t="s">
        <v>195</v>
      </c>
      <c r="E13" s="7" t="n">
        <v>5</v>
      </c>
      <c r="F13" s="12" t="s">
        <v>21</v>
      </c>
      <c r="G13" s="12" t="s">
        <v>21</v>
      </c>
      <c r="H13" s="12" t="s">
        <v>21</v>
      </c>
      <c r="I13" s="12" t="s">
        <v>21</v>
      </c>
      <c r="J13" s="7" t="n">
        <v>4</v>
      </c>
      <c r="K13" s="12" t="s">
        <v>21</v>
      </c>
      <c r="L13" s="12" t="s">
        <v>21</v>
      </c>
      <c r="M13" s="12" t="s">
        <v>21</v>
      </c>
      <c r="N13" s="12" t="s">
        <v>21</v>
      </c>
      <c r="O13" s="12"/>
    </row>
    <row r="14" customFormat="false" ht="45" hidden="false" customHeight="true" outlineLevel="0" collapsed="false">
      <c r="A14" s="12" t="s">
        <v>885</v>
      </c>
      <c r="B14" s="13" t="n">
        <v>5</v>
      </c>
      <c r="C14" s="12" t="s">
        <v>274</v>
      </c>
      <c r="D14" s="12" t="s">
        <v>195</v>
      </c>
      <c r="E14" s="7" t="n">
        <v>5</v>
      </c>
      <c r="F14" s="7" t="n">
        <v>12</v>
      </c>
      <c r="G14" s="7" t="n">
        <v>4</v>
      </c>
      <c r="H14" s="7" t="n">
        <v>0</v>
      </c>
      <c r="I14" s="12" t="s">
        <v>21</v>
      </c>
      <c r="J14" s="12" t="s">
        <v>21</v>
      </c>
      <c r="K14" s="12" t="s">
        <v>21</v>
      </c>
      <c r="L14" s="12" t="s">
        <v>21</v>
      </c>
      <c r="M14" s="12" t="s">
        <v>21</v>
      </c>
      <c r="N14" s="12" t="s">
        <v>21</v>
      </c>
      <c r="O14" s="12" t="s">
        <v>893</v>
      </c>
    </row>
    <row r="15" customFormat="false" ht="30" hidden="false" customHeight="true" outlineLevel="0" collapsed="false">
      <c r="A15" s="12" t="s">
        <v>887</v>
      </c>
      <c r="B15" s="13" t="n">
        <v>5</v>
      </c>
      <c r="C15" s="12" t="s">
        <v>307</v>
      </c>
      <c r="D15" s="12" t="s">
        <v>195</v>
      </c>
      <c r="E15" s="7" t="n">
        <v>5</v>
      </c>
      <c r="F15" s="12" t="s">
        <v>21</v>
      </c>
      <c r="G15" s="12" t="s">
        <v>21</v>
      </c>
      <c r="H15" s="12" t="s">
        <v>21</v>
      </c>
      <c r="I15" s="7" t="n">
        <v>6</v>
      </c>
      <c r="J15" s="12" t="s">
        <v>21</v>
      </c>
      <c r="K15" s="7" t="n">
        <v>2</v>
      </c>
      <c r="L15" s="7" t="n">
        <v>1</v>
      </c>
      <c r="M15" s="7" t="n">
        <v>1</v>
      </c>
      <c r="N15" s="12" t="s">
        <v>894</v>
      </c>
      <c r="O15" s="12" t="s">
        <v>895</v>
      </c>
    </row>
    <row r="16" customFormat="false" ht="30" hidden="false" customHeight="true" outlineLevel="0" collapsed="false">
      <c r="A16" s="12" t="s">
        <v>888</v>
      </c>
      <c r="B16" s="13" t="n">
        <v>5</v>
      </c>
      <c r="C16" s="12" t="s">
        <v>322</v>
      </c>
      <c r="D16" s="12" t="s">
        <v>195</v>
      </c>
      <c r="E16" s="7" t="n">
        <v>5</v>
      </c>
      <c r="F16" s="12" t="s">
        <v>21</v>
      </c>
      <c r="G16" s="12" t="s">
        <v>21</v>
      </c>
      <c r="H16" s="12" t="s">
        <v>21</v>
      </c>
      <c r="I16" s="12" t="s">
        <v>21</v>
      </c>
      <c r="J16" s="7" t="n">
        <v>4</v>
      </c>
      <c r="K16" s="12" t="s">
        <v>21</v>
      </c>
      <c r="L16" s="12" t="s">
        <v>21</v>
      </c>
      <c r="M16" s="12" t="s">
        <v>21</v>
      </c>
      <c r="N16" s="12" t="s">
        <v>21</v>
      </c>
      <c r="O16" s="12" t="s">
        <v>896</v>
      </c>
    </row>
    <row r="17" customFormat="false" ht="30" hidden="false" customHeight="true" outlineLevel="0" collapsed="false">
      <c r="A17" s="12" t="s">
        <v>885</v>
      </c>
      <c r="B17" s="13" t="n">
        <v>6</v>
      </c>
      <c r="C17" s="12" t="s">
        <v>277</v>
      </c>
      <c r="D17" s="12" t="s">
        <v>195</v>
      </c>
      <c r="E17" s="7" t="n">
        <v>4</v>
      </c>
      <c r="F17" s="7" t="n">
        <v>12</v>
      </c>
      <c r="G17" s="7" t="n">
        <v>7</v>
      </c>
      <c r="H17" s="7" t="n">
        <v>1</v>
      </c>
      <c r="I17" s="12" t="s">
        <v>21</v>
      </c>
      <c r="J17" s="12" t="s">
        <v>21</v>
      </c>
      <c r="K17" s="12" t="s">
        <v>21</v>
      </c>
      <c r="L17" s="12" t="s">
        <v>21</v>
      </c>
      <c r="M17" s="12" t="s">
        <v>21</v>
      </c>
      <c r="N17" s="12" t="s">
        <v>21</v>
      </c>
      <c r="O17" s="12" t="s">
        <v>897</v>
      </c>
    </row>
    <row r="18" customFormat="false" ht="30" hidden="false" customHeight="true" outlineLevel="0" collapsed="false">
      <c r="A18" s="12" t="s">
        <v>887</v>
      </c>
      <c r="B18" s="13" t="n">
        <v>6</v>
      </c>
      <c r="C18" s="12" t="s">
        <v>308</v>
      </c>
      <c r="D18" s="12" t="s">
        <v>195</v>
      </c>
      <c r="E18" s="7" t="n">
        <v>5</v>
      </c>
      <c r="F18" s="12" t="s">
        <v>21</v>
      </c>
      <c r="G18" s="12" t="s">
        <v>21</v>
      </c>
      <c r="H18" s="12" t="s">
        <v>21</v>
      </c>
      <c r="I18" s="7" t="n">
        <v>6</v>
      </c>
      <c r="J18" s="12" t="s">
        <v>21</v>
      </c>
      <c r="K18" s="7" t="n">
        <v>2</v>
      </c>
      <c r="L18" s="7" t="n">
        <v>1</v>
      </c>
      <c r="M18" s="7" t="n">
        <v>1</v>
      </c>
      <c r="N18" s="12" t="s">
        <v>894</v>
      </c>
      <c r="O18" s="12" t="s">
        <v>898</v>
      </c>
    </row>
    <row r="19" customFormat="false" ht="18" hidden="false" customHeight="true" outlineLevel="0" collapsed="false">
      <c r="A19" s="12" t="s">
        <v>888</v>
      </c>
      <c r="B19" s="13" t="n">
        <v>6</v>
      </c>
      <c r="C19" s="12" t="s">
        <v>323</v>
      </c>
      <c r="D19" s="12" t="s">
        <v>195</v>
      </c>
      <c r="E19" s="7" t="n">
        <v>5</v>
      </c>
      <c r="F19" s="12" t="s">
        <v>21</v>
      </c>
      <c r="G19" s="12" t="s">
        <v>21</v>
      </c>
      <c r="H19" s="12" t="s">
        <v>21</v>
      </c>
      <c r="I19" s="12" t="s">
        <v>21</v>
      </c>
      <c r="J19" s="7" t="n">
        <v>6</v>
      </c>
      <c r="K19" s="12" t="s">
        <v>21</v>
      </c>
      <c r="L19" s="12" t="s">
        <v>21</v>
      </c>
      <c r="M19" s="12" t="s">
        <v>21</v>
      </c>
      <c r="N19" s="12" t="s">
        <v>21</v>
      </c>
      <c r="O19" s="12"/>
    </row>
    <row r="20" customFormat="false" ht="18" hidden="false" customHeight="true" outlineLevel="0" collapsed="false">
      <c r="A20" s="12" t="s">
        <v>885</v>
      </c>
      <c r="B20" s="13" t="n">
        <v>7</v>
      </c>
      <c r="C20" s="12" t="s">
        <v>278</v>
      </c>
      <c r="D20" s="12" t="s">
        <v>195</v>
      </c>
      <c r="E20" s="7" t="n">
        <v>4</v>
      </c>
      <c r="F20" s="7" t="n">
        <v>15</v>
      </c>
      <c r="G20" s="7" t="n">
        <v>8</v>
      </c>
      <c r="H20" s="7" t="n">
        <v>1</v>
      </c>
      <c r="I20" s="12" t="s">
        <v>21</v>
      </c>
      <c r="J20" s="12" t="s">
        <v>21</v>
      </c>
      <c r="K20" s="12" t="s">
        <v>21</v>
      </c>
      <c r="L20" s="12" t="s">
        <v>21</v>
      </c>
      <c r="M20" s="12" t="s">
        <v>21</v>
      </c>
      <c r="N20" s="12" t="s">
        <v>21</v>
      </c>
      <c r="O20" s="12" t="s">
        <v>899</v>
      </c>
    </row>
    <row r="21" customFormat="false" ht="18" hidden="false" customHeight="true" outlineLevel="0" collapsed="false">
      <c r="A21" s="12" t="s">
        <v>887</v>
      </c>
      <c r="B21" s="13" t="n">
        <v>7</v>
      </c>
      <c r="C21" s="12" t="s">
        <v>309</v>
      </c>
      <c r="D21" s="12" t="s">
        <v>195</v>
      </c>
      <c r="E21" s="7" t="n">
        <v>4</v>
      </c>
      <c r="F21" s="12" t="s">
        <v>21</v>
      </c>
      <c r="G21" s="12" t="s">
        <v>21</v>
      </c>
      <c r="H21" s="12" t="s">
        <v>21</v>
      </c>
      <c r="I21" s="7" t="n">
        <v>7</v>
      </c>
      <c r="J21" s="12" t="s">
        <v>21</v>
      </c>
      <c r="K21" s="7" t="n">
        <v>2</v>
      </c>
      <c r="L21" s="7" t="n">
        <v>1</v>
      </c>
      <c r="M21" s="7" t="n">
        <v>1</v>
      </c>
      <c r="N21" s="12" t="s">
        <v>21</v>
      </c>
      <c r="O21" s="12"/>
    </row>
    <row r="22" customFormat="false" ht="18" hidden="false" customHeight="true" outlineLevel="0" collapsed="false">
      <c r="A22" s="12" t="s">
        <v>888</v>
      </c>
      <c r="B22" s="13" t="n">
        <v>7</v>
      </c>
      <c r="C22" s="12" t="s">
        <v>325</v>
      </c>
      <c r="D22" s="12" t="s">
        <v>195</v>
      </c>
      <c r="E22" s="7" t="n">
        <v>5</v>
      </c>
      <c r="F22" s="12" t="s">
        <v>21</v>
      </c>
      <c r="G22" s="12" t="s">
        <v>21</v>
      </c>
      <c r="H22" s="12" t="s">
        <v>21</v>
      </c>
      <c r="I22" s="12" t="s">
        <v>21</v>
      </c>
      <c r="J22" s="7" t="n">
        <v>7</v>
      </c>
      <c r="K22" s="12" t="s">
        <v>21</v>
      </c>
      <c r="L22" s="12" t="s">
        <v>21</v>
      </c>
      <c r="M22" s="12" t="s">
        <v>21</v>
      </c>
      <c r="N22" s="12" t="s">
        <v>21</v>
      </c>
      <c r="O22" s="12"/>
    </row>
    <row r="23" customFormat="false" ht="30" hidden="false" customHeight="true" outlineLevel="0" collapsed="false">
      <c r="A23" s="12" t="s">
        <v>885</v>
      </c>
      <c r="B23" s="13" t="n">
        <v>8</v>
      </c>
      <c r="C23" s="12" t="s">
        <v>279</v>
      </c>
      <c r="D23" s="12" t="s">
        <v>195</v>
      </c>
      <c r="E23" s="7" t="n">
        <v>4</v>
      </c>
      <c r="F23" s="7" t="n">
        <v>17</v>
      </c>
      <c r="G23" s="7" t="n">
        <v>6</v>
      </c>
      <c r="H23" s="7" t="n">
        <v>0</v>
      </c>
      <c r="I23" s="12" t="s">
        <v>21</v>
      </c>
      <c r="J23" s="12" t="s">
        <v>21</v>
      </c>
      <c r="K23" s="12" t="s">
        <v>21</v>
      </c>
      <c r="L23" s="12" t="s">
        <v>21</v>
      </c>
      <c r="M23" s="12" t="s">
        <v>21</v>
      </c>
      <c r="N23" s="12" t="s">
        <v>21</v>
      </c>
      <c r="O23" s="12" t="s">
        <v>900</v>
      </c>
    </row>
    <row r="24" customFormat="false" ht="30" hidden="false" customHeight="true" outlineLevel="0" collapsed="false">
      <c r="A24" s="12" t="s">
        <v>887</v>
      </c>
      <c r="B24" s="13" t="n">
        <v>8</v>
      </c>
      <c r="C24" s="12" t="s">
        <v>310</v>
      </c>
      <c r="D24" s="12" t="s">
        <v>195</v>
      </c>
      <c r="E24" s="7" t="n">
        <v>4</v>
      </c>
      <c r="F24" s="12" t="s">
        <v>21</v>
      </c>
      <c r="G24" s="12" t="s">
        <v>21</v>
      </c>
      <c r="H24" s="12" t="s">
        <v>21</v>
      </c>
      <c r="I24" s="7" t="n">
        <v>9</v>
      </c>
      <c r="J24" s="12" t="s">
        <v>21</v>
      </c>
      <c r="K24" s="7" t="n">
        <v>2</v>
      </c>
      <c r="L24" s="7" t="n">
        <v>1</v>
      </c>
      <c r="M24" s="7" t="n">
        <v>1</v>
      </c>
      <c r="N24" s="12" t="s">
        <v>21</v>
      </c>
      <c r="O24" s="12" t="s">
        <v>901</v>
      </c>
    </row>
    <row r="25" customFormat="false" ht="18" hidden="false" customHeight="true" outlineLevel="0" collapsed="false">
      <c r="A25" s="12" t="s">
        <v>888</v>
      </c>
      <c r="B25" s="13" t="n">
        <v>8</v>
      </c>
      <c r="C25" s="12" t="s">
        <v>326</v>
      </c>
      <c r="D25" s="12" t="s">
        <v>195</v>
      </c>
      <c r="E25" s="7" t="n">
        <v>4</v>
      </c>
      <c r="F25" s="12" t="s">
        <v>21</v>
      </c>
      <c r="G25" s="12" t="s">
        <v>21</v>
      </c>
      <c r="H25" s="12" t="s">
        <v>21</v>
      </c>
      <c r="I25" s="12" t="s">
        <v>21</v>
      </c>
      <c r="J25" s="7" t="n">
        <v>9</v>
      </c>
      <c r="K25" s="12" t="s">
        <v>21</v>
      </c>
      <c r="L25" s="12" t="s">
        <v>21</v>
      </c>
      <c r="M25" s="12" t="s">
        <v>21</v>
      </c>
      <c r="N25" s="12" t="s">
        <v>21</v>
      </c>
      <c r="O25" s="12"/>
    </row>
    <row r="26" customFormat="false" ht="45" hidden="false" customHeight="true" outlineLevel="0" collapsed="false">
      <c r="A26" s="12" t="s">
        <v>885</v>
      </c>
      <c r="B26" s="13" t="n">
        <v>9</v>
      </c>
      <c r="C26" s="12" t="s">
        <v>281</v>
      </c>
      <c r="D26" s="12" t="s">
        <v>195</v>
      </c>
      <c r="E26" s="7" t="n">
        <v>3</v>
      </c>
      <c r="F26" s="7" t="n">
        <v>20</v>
      </c>
      <c r="G26" s="7" t="n">
        <v>12</v>
      </c>
      <c r="H26" s="7" t="n">
        <v>2</v>
      </c>
      <c r="I26" s="12" t="s">
        <v>21</v>
      </c>
      <c r="J26" s="12" t="s">
        <v>21</v>
      </c>
      <c r="K26" s="12" t="s">
        <v>21</v>
      </c>
      <c r="L26" s="12" t="s">
        <v>21</v>
      </c>
      <c r="M26" s="12" t="s">
        <v>21</v>
      </c>
      <c r="N26" s="12" t="s">
        <v>21</v>
      </c>
      <c r="O26" s="12" t="s">
        <v>902</v>
      </c>
    </row>
    <row r="27" customFormat="false" ht="30" hidden="false" customHeight="true" outlineLevel="0" collapsed="false">
      <c r="A27" s="12" t="s">
        <v>887</v>
      </c>
      <c r="B27" s="13" t="n">
        <v>9</v>
      </c>
      <c r="C27" s="12" t="s">
        <v>312</v>
      </c>
      <c r="D27" s="12" t="s">
        <v>195</v>
      </c>
      <c r="E27" s="7" t="n">
        <v>4</v>
      </c>
      <c r="F27" s="12" t="s">
        <v>21</v>
      </c>
      <c r="G27" s="12" t="s">
        <v>21</v>
      </c>
      <c r="H27" s="12" t="s">
        <v>21</v>
      </c>
      <c r="I27" s="7" t="n">
        <v>10</v>
      </c>
      <c r="J27" s="12" t="s">
        <v>21</v>
      </c>
      <c r="K27" s="7" t="n">
        <v>2</v>
      </c>
      <c r="L27" s="7" t="n">
        <v>1</v>
      </c>
      <c r="M27" s="7" t="n">
        <v>1</v>
      </c>
      <c r="N27" s="12" t="s">
        <v>21</v>
      </c>
      <c r="O27" s="12" t="s">
        <v>903</v>
      </c>
    </row>
    <row r="28" customFormat="false" ht="30" hidden="false" customHeight="true" outlineLevel="0" collapsed="false">
      <c r="A28" s="12" t="s">
        <v>888</v>
      </c>
      <c r="B28" s="13" t="n">
        <v>9</v>
      </c>
      <c r="C28" s="12" t="s">
        <v>328</v>
      </c>
      <c r="D28" s="12" t="s">
        <v>195</v>
      </c>
      <c r="E28" s="7" t="n">
        <v>4</v>
      </c>
      <c r="F28" s="12" t="s">
        <v>21</v>
      </c>
      <c r="G28" s="12" t="s">
        <v>21</v>
      </c>
      <c r="H28" s="12" t="s">
        <v>21</v>
      </c>
      <c r="I28" s="12" t="s">
        <v>21</v>
      </c>
      <c r="J28" s="7" t="n">
        <v>12</v>
      </c>
      <c r="K28" s="12" t="s">
        <v>21</v>
      </c>
      <c r="L28" s="12" t="s">
        <v>21</v>
      </c>
      <c r="M28" s="12" t="s">
        <v>21</v>
      </c>
      <c r="N28" s="12" t="s">
        <v>21</v>
      </c>
      <c r="O28" s="12" t="s">
        <v>904</v>
      </c>
    </row>
  </sheetData>
  <autoFilter ref="A1:O1"/>
  <printOptions headings="false" gridLines="false" gridLinesSet="true" horizontalCentered="false" verticalCentered="false"/>
  <pageMargins left="0.25" right="0.25" top="0.45" bottom="0.4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&amp;CStar Cluster - provisional candidate matrix - no calibration&amp;RPage &amp;P of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"/>
    <col collapsed="false" customWidth="true" hidden="false" outlineLevel="0" max="3" min="3" style="0" width="44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14"/>
    <col collapsed="false" customWidth="true" hidden="false" outlineLevel="0" max="11" min="11" style="0" width="8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10"/>
    <col collapsed="false" customWidth="true" hidden="false" outlineLevel="0" max="16" min="16" style="0" width="52"/>
  </cols>
  <sheetData>
    <row r="1" customFormat="false" ht="28.35" hidden="false" customHeight="false" outlineLevel="0" collapsed="false">
      <c r="A1" s="5" t="s">
        <v>846</v>
      </c>
      <c r="B1" s="5" t="s">
        <v>14</v>
      </c>
      <c r="C1" s="5" t="s">
        <v>179</v>
      </c>
      <c r="D1" s="5" t="s">
        <v>522</v>
      </c>
      <c r="E1" s="5" t="s">
        <v>905</v>
      </c>
      <c r="F1" s="5" t="s">
        <v>906</v>
      </c>
      <c r="G1" s="5" t="s">
        <v>907</v>
      </c>
      <c r="H1" s="5" t="s">
        <v>908</v>
      </c>
      <c r="I1" s="5" t="s">
        <v>909</v>
      </c>
      <c r="J1" s="5" t="s">
        <v>910</v>
      </c>
      <c r="K1" s="5" t="s">
        <v>911</v>
      </c>
      <c r="L1" s="5" t="s">
        <v>912</v>
      </c>
      <c r="M1" s="5" t="s">
        <v>913</v>
      </c>
      <c r="N1" s="5" t="s">
        <v>914</v>
      </c>
      <c r="O1" s="5" t="s">
        <v>915</v>
      </c>
      <c r="P1" s="5" t="s">
        <v>916</v>
      </c>
    </row>
    <row r="2" customFormat="false" ht="18" hidden="false" customHeight="true" outlineLevel="0" collapsed="false">
      <c r="A2" s="12" t="s">
        <v>917</v>
      </c>
      <c r="B2" s="13" t="n">
        <v>1</v>
      </c>
      <c r="C2" s="12" t="s">
        <v>388</v>
      </c>
      <c r="D2" s="7" t="n">
        <v>3</v>
      </c>
      <c r="E2" s="12" t="s">
        <v>21</v>
      </c>
      <c r="F2" s="12" t="s">
        <v>21</v>
      </c>
      <c r="G2" s="12" t="s">
        <v>21</v>
      </c>
      <c r="H2" s="12" t="s">
        <v>21</v>
      </c>
      <c r="I2" s="12" t="s">
        <v>21</v>
      </c>
      <c r="J2" s="12" t="s">
        <v>21</v>
      </c>
      <c r="K2" s="12" t="s">
        <v>21</v>
      </c>
      <c r="L2" s="7" t="n">
        <v>10</v>
      </c>
      <c r="M2" s="7" t="n">
        <v>5</v>
      </c>
      <c r="N2" s="7" t="n">
        <v>-25</v>
      </c>
      <c r="O2" s="7" t="n">
        <v>0</v>
      </c>
      <c r="P2" s="12"/>
    </row>
    <row r="3" customFormat="false" ht="30" hidden="false" customHeight="true" outlineLevel="0" collapsed="false">
      <c r="A3" s="12" t="s">
        <v>918</v>
      </c>
      <c r="B3" s="13" t="n">
        <v>1</v>
      </c>
      <c r="C3" s="12" t="s">
        <v>344</v>
      </c>
      <c r="D3" s="7" t="n">
        <v>3</v>
      </c>
      <c r="E3" s="12" t="s">
        <v>919</v>
      </c>
      <c r="F3" s="12" t="s">
        <v>21</v>
      </c>
      <c r="G3" s="12" t="s">
        <v>920</v>
      </c>
      <c r="H3" s="12" t="s">
        <v>921</v>
      </c>
      <c r="I3" s="7" t="n">
        <v>1</v>
      </c>
      <c r="J3" s="12" t="s">
        <v>21</v>
      </c>
      <c r="K3" s="12" t="s">
        <v>21</v>
      </c>
      <c r="L3" s="12" t="s">
        <v>21</v>
      </c>
      <c r="M3" s="12" t="s">
        <v>21</v>
      </c>
      <c r="N3" s="12" t="s">
        <v>21</v>
      </c>
      <c r="O3" s="12" t="s">
        <v>21</v>
      </c>
      <c r="P3" s="12" t="s">
        <v>922</v>
      </c>
    </row>
    <row r="4" customFormat="false" ht="18" hidden="false" customHeight="true" outlineLevel="0" collapsed="false">
      <c r="A4" s="12" t="s">
        <v>923</v>
      </c>
      <c r="B4" s="13" t="n">
        <v>1</v>
      </c>
      <c r="C4" s="12" t="s">
        <v>358</v>
      </c>
      <c r="D4" s="7" t="n">
        <v>1</v>
      </c>
      <c r="E4" s="7" t="n">
        <v>1</v>
      </c>
      <c r="F4" s="7" t="n">
        <v>1</v>
      </c>
      <c r="G4" s="12" t="s">
        <v>21</v>
      </c>
      <c r="H4" s="12" t="s">
        <v>21</v>
      </c>
      <c r="I4" s="12" t="s">
        <v>21</v>
      </c>
      <c r="J4" s="12" t="s">
        <v>21</v>
      </c>
      <c r="K4" s="12" t="s">
        <v>21</v>
      </c>
      <c r="L4" s="12" t="s">
        <v>21</v>
      </c>
      <c r="M4" s="12" t="s">
        <v>21</v>
      </c>
      <c r="N4" s="12" t="s">
        <v>21</v>
      </c>
      <c r="O4" s="12" t="s">
        <v>21</v>
      </c>
      <c r="P4" s="12"/>
    </row>
    <row r="5" customFormat="false" ht="18" hidden="false" customHeight="true" outlineLevel="0" collapsed="false">
      <c r="A5" s="12" t="s">
        <v>924</v>
      </c>
      <c r="B5" s="13" t="n">
        <v>1</v>
      </c>
      <c r="C5" s="12" t="s">
        <v>370</v>
      </c>
      <c r="D5" s="7" t="n">
        <v>1</v>
      </c>
      <c r="E5" s="7" t="n">
        <v>1</v>
      </c>
      <c r="F5" s="7" t="n">
        <v>1</v>
      </c>
      <c r="G5" s="12" t="s">
        <v>21</v>
      </c>
      <c r="H5" s="12" t="s">
        <v>21</v>
      </c>
      <c r="I5" s="12" t="s">
        <v>21</v>
      </c>
      <c r="J5" s="12" t="s">
        <v>21</v>
      </c>
      <c r="K5" s="12" t="s">
        <v>21</v>
      </c>
      <c r="L5" s="12" t="s">
        <v>21</v>
      </c>
      <c r="M5" s="12" t="s">
        <v>21</v>
      </c>
      <c r="N5" s="12" t="s">
        <v>21</v>
      </c>
      <c r="O5" s="12" t="s">
        <v>21</v>
      </c>
      <c r="P5" s="12"/>
    </row>
    <row r="6" customFormat="false" ht="18" hidden="false" customHeight="true" outlineLevel="0" collapsed="false">
      <c r="A6" s="12" t="s">
        <v>917</v>
      </c>
      <c r="B6" s="13" t="n">
        <v>2</v>
      </c>
      <c r="C6" s="12" t="s">
        <v>389</v>
      </c>
      <c r="D6" s="7" t="n">
        <v>3</v>
      </c>
      <c r="E6" s="12" t="s">
        <v>21</v>
      </c>
      <c r="F6" s="12" t="s">
        <v>21</v>
      </c>
      <c r="G6" s="12" t="s">
        <v>21</v>
      </c>
      <c r="H6" s="12" t="s">
        <v>21</v>
      </c>
      <c r="I6" s="12" t="s">
        <v>21</v>
      </c>
      <c r="J6" s="12" t="s">
        <v>21</v>
      </c>
      <c r="K6" s="12" t="s">
        <v>21</v>
      </c>
      <c r="L6" s="7" t="n">
        <v>12</v>
      </c>
      <c r="M6" s="7" t="n">
        <v>6</v>
      </c>
      <c r="N6" s="7" t="n">
        <v>-25</v>
      </c>
      <c r="O6" s="7" t="n">
        <v>0</v>
      </c>
      <c r="P6" s="12"/>
    </row>
    <row r="7" customFormat="false" ht="18" hidden="false" customHeight="true" outlineLevel="0" collapsed="false">
      <c r="A7" s="12" t="s">
        <v>918</v>
      </c>
      <c r="B7" s="13" t="n">
        <v>2</v>
      </c>
      <c r="C7" s="12" t="s">
        <v>345</v>
      </c>
      <c r="D7" s="7" t="n">
        <v>3</v>
      </c>
      <c r="E7" s="12" t="s">
        <v>925</v>
      </c>
      <c r="F7" s="12" t="s">
        <v>21</v>
      </c>
      <c r="G7" s="12" t="s">
        <v>920</v>
      </c>
      <c r="H7" s="12" t="s">
        <v>921</v>
      </c>
      <c r="I7" s="7" t="n">
        <v>1</v>
      </c>
      <c r="J7" s="12" t="s">
        <v>21</v>
      </c>
      <c r="K7" s="12" t="s">
        <v>21</v>
      </c>
      <c r="L7" s="12" t="s">
        <v>21</v>
      </c>
      <c r="M7" s="12" t="s">
        <v>21</v>
      </c>
      <c r="N7" s="12" t="s">
        <v>21</v>
      </c>
      <c r="O7" s="12" t="s">
        <v>21</v>
      </c>
      <c r="P7" s="12"/>
    </row>
    <row r="8" customFormat="false" ht="18" hidden="false" customHeight="true" outlineLevel="0" collapsed="false">
      <c r="A8" s="12" t="s">
        <v>923</v>
      </c>
      <c r="B8" s="13" t="n">
        <v>2</v>
      </c>
      <c r="C8" s="12" t="s">
        <v>359</v>
      </c>
      <c r="D8" s="7" t="n">
        <v>1</v>
      </c>
      <c r="E8" s="7" t="n">
        <v>2</v>
      </c>
      <c r="F8" s="7" t="n">
        <v>2</v>
      </c>
      <c r="G8" s="12" t="s">
        <v>21</v>
      </c>
      <c r="H8" s="12" t="s">
        <v>21</v>
      </c>
      <c r="I8" s="12" t="s">
        <v>21</v>
      </c>
      <c r="J8" s="12" t="s">
        <v>21</v>
      </c>
      <c r="K8" s="12" t="s">
        <v>21</v>
      </c>
      <c r="L8" s="12" t="s">
        <v>21</v>
      </c>
      <c r="M8" s="12" t="s">
        <v>21</v>
      </c>
      <c r="N8" s="12" t="s">
        <v>21</v>
      </c>
      <c r="O8" s="12" t="s">
        <v>21</v>
      </c>
      <c r="P8" s="12" t="s">
        <v>926</v>
      </c>
    </row>
    <row r="9" customFormat="false" ht="18" hidden="false" customHeight="true" outlineLevel="0" collapsed="false">
      <c r="A9" s="12" t="s">
        <v>924</v>
      </c>
      <c r="B9" s="13" t="n">
        <v>2</v>
      </c>
      <c r="C9" s="12" t="s">
        <v>371</v>
      </c>
      <c r="D9" s="7" t="n">
        <v>1</v>
      </c>
      <c r="E9" s="7" t="n">
        <v>2</v>
      </c>
      <c r="F9" s="7" t="n">
        <v>2</v>
      </c>
      <c r="G9" s="12" t="s">
        <v>21</v>
      </c>
      <c r="H9" s="12" t="s">
        <v>21</v>
      </c>
      <c r="I9" s="12" t="s">
        <v>21</v>
      </c>
      <c r="J9" s="12" t="s">
        <v>21</v>
      </c>
      <c r="K9" s="12" t="s">
        <v>21</v>
      </c>
      <c r="L9" s="12" t="s">
        <v>21</v>
      </c>
      <c r="M9" s="12" t="s">
        <v>21</v>
      </c>
      <c r="N9" s="12" t="s">
        <v>21</v>
      </c>
      <c r="O9" s="12" t="s">
        <v>21</v>
      </c>
      <c r="P9" s="12" t="s">
        <v>926</v>
      </c>
    </row>
    <row r="10" customFormat="false" ht="18" hidden="false" customHeight="true" outlineLevel="0" collapsed="false">
      <c r="A10" s="12" t="s">
        <v>917</v>
      </c>
      <c r="B10" s="13" t="n">
        <v>3</v>
      </c>
      <c r="C10" s="12" t="s">
        <v>390</v>
      </c>
      <c r="D10" s="7" t="n">
        <v>3</v>
      </c>
      <c r="E10" s="12" t="s">
        <v>21</v>
      </c>
      <c r="F10" s="12" t="s">
        <v>21</v>
      </c>
      <c r="G10" s="12" t="s">
        <v>21</v>
      </c>
      <c r="H10" s="12" t="s">
        <v>21</v>
      </c>
      <c r="I10" s="12" t="s">
        <v>21</v>
      </c>
      <c r="J10" s="12" t="s">
        <v>21</v>
      </c>
      <c r="K10" s="12" t="s">
        <v>21</v>
      </c>
      <c r="L10" s="7" t="n">
        <v>12</v>
      </c>
      <c r="M10" s="7" t="n">
        <v>6</v>
      </c>
      <c r="N10" s="7" t="n">
        <v>-25</v>
      </c>
      <c r="O10" s="7" t="n">
        <v>5</v>
      </c>
      <c r="P10" s="12"/>
    </row>
    <row r="11" customFormat="false" ht="30" hidden="false" customHeight="true" outlineLevel="0" collapsed="false">
      <c r="A11" s="12" t="s">
        <v>918</v>
      </c>
      <c r="B11" s="13" t="n">
        <v>3</v>
      </c>
      <c r="C11" s="12" t="s">
        <v>346</v>
      </c>
      <c r="D11" s="7" t="n">
        <v>3</v>
      </c>
      <c r="E11" s="12" t="s">
        <v>925</v>
      </c>
      <c r="F11" s="12" t="s">
        <v>21</v>
      </c>
      <c r="G11" s="12" t="s">
        <v>920</v>
      </c>
      <c r="H11" s="12" t="s">
        <v>921</v>
      </c>
      <c r="I11" s="7" t="n">
        <v>1</v>
      </c>
      <c r="J11" s="12" t="s">
        <v>927</v>
      </c>
      <c r="K11" s="7" t="n">
        <v>2</v>
      </c>
      <c r="L11" s="12" t="s">
        <v>21</v>
      </c>
      <c r="M11" s="12" t="s">
        <v>21</v>
      </c>
      <c r="N11" s="12" t="s">
        <v>21</v>
      </c>
      <c r="O11" s="12" t="s">
        <v>21</v>
      </c>
      <c r="P11" s="12" t="s">
        <v>928</v>
      </c>
    </row>
    <row r="12" customFormat="false" ht="18" hidden="false" customHeight="true" outlineLevel="0" collapsed="false">
      <c r="A12" s="12" t="s">
        <v>923</v>
      </c>
      <c r="B12" s="13" t="n">
        <v>3</v>
      </c>
      <c r="C12" s="12" t="s">
        <v>360</v>
      </c>
      <c r="D12" s="7" t="n">
        <v>1</v>
      </c>
      <c r="E12" s="7" t="n">
        <v>2</v>
      </c>
      <c r="F12" s="7" t="n">
        <v>1</v>
      </c>
      <c r="G12" s="12" t="s">
        <v>21</v>
      </c>
      <c r="H12" s="12" t="s">
        <v>21</v>
      </c>
      <c r="I12" s="12" t="s">
        <v>21</v>
      </c>
      <c r="J12" s="12" t="s">
        <v>21</v>
      </c>
      <c r="K12" s="12" t="s">
        <v>21</v>
      </c>
      <c r="L12" s="12" t="s">
        <v>21</v>
      </c>
      <c r="M12" s="12" t="s">
        <v>21</v>
      </c>
      <c r="N12" s="12" t="s">
        <v>21</v>
      </c>
      <c r="O12" s="12" t="s">
        <v>21</v>
      </c>
      <c r="P12" s="12" t="s">
        <v>929</v>
      </c>
    </row>
    <row r="13" customFormat="false" ht="18" hidden="false" customHeight="true" outlineLevel="0" collapsed="false">
      <c r="A13" s="12" t="s">
        <v>924</v>
      </c>
      <c r="B13" s="13" t="n">
        <v>3</v>
      </c>
      <c r="C13" s="12" t="s">
        <v>372</v>
      </c>
      <c r="D13" s="7" t="n">
        <v>1</v>
      </c>
      <c r="E13" s="7" t="n">
        <v>2</v>
      </c>
      <c r="F13" s="7" t="n">
        <v>1</v>
      </c>
      <c r="G13" s="12" t="s">
        <v>21</v>
      </c>
      <c r="H13" s="12" t="s">
        <v>21</v>
      </c>
      <c r="I13" s="12" t="s">
        <v>21</v>
      </c>
      <c r="J13" s="12" t="s">
        <v>21</v>
      </c>
      <c r="K13" s="12" t="s">
        <v>21</v>
      </c>
      <c r="L13" s="12" t="s">
        <v>21</v>
      </c>
      <c r="M13" s="12" t="s">
        <v>21</v>
      </c>
      <c r="N13" s="12" t="s">
        <v>21</v>
      </c>
      <c r="O13" s="12" t="s">
        <v>21</v>
      </c>
      <c r="P13" s="12" t="s">
        <v>929</v>
      </c>
    </row>
    <row r="14" customFormat="false" ht="18" hidden="false" customHeight="true" outlineLevel="0" collapsed="false">
      <c r="A14" s="12" t="s">
        <v>917</v>
      </c>
      <c r="B14" s="13" t="n">
        <v>4</v>
      </c>
      <c r="C14" s="12" t="s">
        <v>391</v>
      </c>
      <c r="D14" s="7" t="n">
        <v>3</v>
      </c>
      <c r="E14" s="12" t="s">
        <v>21</v>
      </c>
      <c r="F14" s="12" t="s">
        <v>21</v>
      </c>
      <c r="G14" s="12" t="s">
        <v>21</v>
      </c>
      <c r="H14" s="12" t="s">
        <v>21</v>
      </c>
      <c r="I14" s="12" t="s">
        <v>21</v>
      </c>
      <c r="J14" s="12" t="s">
        <v>21</v>
      </c>
      <c r="K14" s="12" t="s">
        <v>21</v>
      </c>
      <c r="L14" s="7" t="n">
        <v>15</v>
      </c>
      <c r="M14" s="7" t="n">
        <v>8</v>
      </c>
      <c r="N14" s="7" t="n">
        <v>-25</v>
      </c>
      <c r="O14" s="7" t="n">
        <v>5</v>
      </c>
      <c r="P14" s="12"/>
    </row>
    <row r="15" customFormat="false" ht="18" hidden="false" customHeight="true" outlineLevel="0" collapsed="false">
      <c r="A15" s="12" t="s">
        <v>918</v>
      </c>
      <c r="B15" s="13" t="n">
        <v>4</v>
      </c>
      <c r="C15" s="12" t="s">
        <v>349</v>
      </c>
      <c r="D15" s="7" t="n">
        <v>3</v>
      </c>
      <c r="E15" s="12" t="s">
        <v>930</v>
      </c>
      <c r="F15" s="12" t="s">
        <v>21</v>
      </c>
      <c r="G15" s="12" t="s">
        <v>931</v>
      </c>
      <c r="H15" s="12" t="s">
        <v>927</v>
      </c>
      <c r="I15" s="7" t="n">
        <v>1</v>
      </c>
      <c r="J15" s="12" t="s">
        <v>932</v>
      </c>
      <c r="K15" s="7" t="n">
        <v>2</v>
      </c>
      <c r="L15" s="12" t="s">
        <v>21</v>
      </c>
      <c r="M15" s="12" t="s">
        <v>21</v>
      </c>
      <c r="N15" s="12" t="s">
        <v>21</v>
      </c>
      <c r="O15" s="12" t="s">
        <v>21</v>
      </c>
      <c r="P15" s="12"/>
    </row>
    <row r="16" customFormat="false" ht="18" hidden="false" customHeight="true" outlineLevel="0" collapsed="false">
      <c r="A16" s="12" t="s">
        <v>923</v>
      </c>
      <c r="B16" s="13" t="n">
        <v>4</v>
      </c>
      <c r="C16" s="12" t="s">
        <v>361</v>
      </c>
      <c r="D16" s="7" t="n">
        <v>1</v>
      </c>
      <c r="E16" s="7" t="n">
        <v>2</v>
      </c>
      <c r="F16" s="7" t="n">
        <v>1</v>
      </c>
      <c r="G16" s="12" t="s">
        <v>21</v>
      </c>
      <c r="H16" s="12" t="s">
        <v>21</v>
      </c>
      <c r="I16" s="12" t="s">
        <v>21</v>
      </c>
      <c r="J16" s="12" t="s">
        <v>21</v>
      </c>
      <c r="K16" s="12" t="s">
        <v>21</v>
      </c>
      <c r="L16" s="12" t="s">
        <v>21</v>
      </c>
      <c r="M16" s="12" t="s">
        <v>21</v>
      </c>
      <c r="N16" s="12" t="s">
        <v>21</v>
      </c>
      <c r="O16" s="12" t="s">
        <v>21</v>
      </c>
      <c r="P16" s="12" t="s">
        <v>933</v>
      </c>
    </row>
    <row r="17" customFormat="false" ht="18" hidden="false" customHeight="true" outlineLevel="0" collapsed="false">
      <c r="A17" s="12" t="s">
        <v>924</v>
      </c>
      <c r="B17" s="13" t="n">
        <v>4</v>
      </c>
      <c r="C17" s="12" t="s">
        <v>373</v>
      </c>
      <c r="D17" s="7" t="n">
        <v>1</v>
      </c>
      <c r="E17" s="7" t="n">
        <v>2</v>
      </c>
      <c r="F17" s="7" t="n">
        <v>1</v>
      </c>
      <c r="G17" s="12" t="s">
        <v>21</v>
      </c>
      <c r="H17" s="12" t="s">
        <v>21</v>
      </c>
      <c r="I17" s="12" t="s">
        <v>21</v>
      </c>
      <c r="J17" s="12" t="s">
        <v>21</v>
      </c>
      <c r="K17" s="12" t="s">
        <v>21</v>
      </c>
      <c r="L17" s="12" t="s">
        <v>21</v>
      </c>
      <c r="M17" s="12" t="s">
        <v>21</v>
      </c>
      <c r="N17" s="12" t="s">
        <v>21</v>
      </c>
      <c r="O17" s="12" t="s">
        <v>21</v>
      </c>
      <c r="P17" s="12" t="s">
        <v>934</v>
      </c>
    </row>
    <row r="18" customFormat="false" ht="18" hidden="false" customHeight="true" outlineLevel="0" collapsed="false">
      <c r="A18" s="12" t="s">
        <v>917</v>
      </c>
      <c r="B18" s="13" t="n">
        <v>5</v>
      </c>
      <c r="C18" s="12" t="s">
        <v>392</v>
      </c>
      <c r="D18" s="7" t="n">
        <v>3</v>
      </c>
      <c r="E18" s="12" t="s">
        <v>21</v>
      </c>
      <c r="F18" s="12" t="s">
        <v>21</v>
      </c>
      <c r="G18" s="12" t="s">
        <v>21</v>
      </c>
      <c r="H18" s="12" t="s">
        <v>21</v>
      </c>
      <c r="I18" s="12" t="s">
        <v>21</v>
      </c>
      <c r="J18" s="12" t="s">
        <v>21</v>
      </c>
      <c r="K18" s="12" t="s">
        <v>21</v>
      </c>
      <c r="L18" s="7" t="n">
        <v>15</v>
      </c>
      <c r="M18" s="7" t="n">
        <v>8</v>
      </c>
      <c r="N18" s="7" t="n">
        <v>-20</v>
      </c>
      <c r="O18" s="7" t="n">
        <v>5</v>
      </c>
      <c r="P18" s="12"/>
    </row>
    <row r="19" customFormat="false" ht="30" hidden="false" customHeight="true" outlineLevel="0" collapsed="false">
      <c r="A19" s="12" t="s">
        <v>918</v>
      </c>
      <c r="B19" s="13" t="n">
        <v>5</v>
      </c>
      <c r="C19" s="12" t="s">
        <v>350</v>
      </c>
      <c r="D19" s="7" t="n">
        <v>3</v>
      </c>
      <c r="E19" s="12" t="s">
        <v>930</v>
      </c>
      <c r="F19" s="12" t="s">
        <v>21</v>
      </c>
      <c r="G19" s="12" t="s">
        <v>931</v>
      </c>
      <c r="H19" s="12" t="s">
        <v>927</v>
      </c>
      <c r="I19" s="7" t="n">
        <v>1</v>
      </c>
      <c r="J19" s="12" t="s">
        <v>932</v>
      </c>
      <c r="K19" s="7" t="n">
        <v>2</v>
      </c>
      <c r="L19" s="12" t="s">
        <v>21</v>
      </c>
      <c r="M19" s="12" t="s">
        <v>21</v>
      </c>
      <c r="N19" s="12" t="s">
        <v>21</v>
      </c>
      <c r="O19" s="12" t="s">
        <v>21</v>
      </c>
      <c r="P19" s="14" t="s">
        <v>935</v>
      </c>
    </row>
    <row r="20" customFormat="false" ht="18" hidden="false" customHeight="true" outlineLevel="0" collapsed="false">
      <c r="A20" s="12" t="s">
        <v>923</v>
      </c>
      <c r="B20" s="13" t="n">
        <v>5</v>
      </c>
      <c r="C20" s="12" t="s">
        <v>362</v>
      </c>
      <c r="D20" s="7" t="n">
        <v>1</v>
      </c>
      <c r="E20" s="7" t="n">
        <v>3</v>
      </c>
      <c r="F20" s="7" t="n">
        <v>2</v>
      </c>
      <c r="G20" s="12" t="s">
        <v>21</v>
      </c>
      <c r="H20" s="12" t="s">
        <v>21</v>
      </c>
      <c r="I20" s="12" t="s">
        <v>21</v>
      </c>
      <c r="J20" s="12" t="s">
        <v>21</v>
      </c>
      <c r="K20" s="12" t="s">
        <v>21</v>
      </c>
      <c r="L20" s="12" t="s">
        <v>21</v>
      </c>
      <c r="M20" s="12" t="s">
        <v>21</v>
      </c>
      <c r="N20" s="12" t="s">
        <v>21</v>
      </c>
      <c r="O20" s="12" t="s">
        <v>21</v>
      </c>
      <c r="P20" s="12"/>
    </row>
    <row r="21" customFormat="false" ht="18" hidden="false" customHeight="true" outlineLevel="0" collapsed="false">
      <c r="A21" s="12" t="s">
        <v>924</v>
      </c>
      <c r="B21" s="13" t="n">
        <v>5</v>
      </c>
      <c r="C21" s="12" t="s">
        <v>374</v>
      </c>
      <c r="D21" s="7" t="n">
        <v>1</v>
      </c>
      <c r="E21" s="7" t="n">
        <v>3</v>
      </c>
      <c r="F21" s="7" t="n">
        <v>2</v>
      </c>
      <c r="G21" s="12" t="s">
        <v>21</v>
      </c>
      <c r="H21" s="12" t="s">
        <v>21</v>
      </c>
      <c r="I21" s="12" t="s">
        <v>21</v>
      </c>
      <c r="J21" s="12" t="s">
        <v>21</v>
      </c>
      <c r="K21" s="12" t="s">
        <v>21</v>
      </c>
      <c r="L21" s="12" t="s">
        <v>21</v>
      </c>
      <c r="M21" s="12" t="s">
        <v>21</v>
      </c>
      <c r="N21" s="12" t="s">
        <v>21</v>
      </c>
      <c r="O21" s="12" t="s">
        <v>21</v>
      </c>
      <c r="P21" s="12"/>
    </row>
    <row r="22" customFormat="false" ht="18" hidden="false" customHeight="true" outlineLevel="0" collapsed="false">
      <c r="A22" s="12" t="s">
        <v>917</v>
      </c>
      <c r="B22" s="13" t="n">
        <v>6</v>
      </c>
      <c r="C22" s="12" t="s">
        <v>393</v>
      </c>
      <c r="D22" s="7" t="n">
        <v>2</v>
      </c>
      <c r="E22" s="12" t="s">
        <v>21</v>
      </c>
      <c r="F22" s="12" t="s">
        <v>21</v>
      </c>
      <c r="G22" s="12" t="s">
        <v>21</v>
      </c>
      <c r="H22" s="12" t="s">
        <v>21</v>
      </c>
      <c r="I22" s="12" t="s">
        <v>21</v>
      </c>
      <c r="J22" s="12" t="s">
        <v>21</v>
      </c>
      <c r="K22" s="12" t="s">
        <v>21</v>
      </c>
      <c r="L22" s="7" t="n">
        <v>15</v>
      </c>
      <c r="M22" s="7" t="n">
        <v>10</v>
      </c>
      <c r="N22" s="7" t="n">
        <v>-20</v>
      </c>
      <c r="O22" s="7" t="n">
        <v>10</v>
      </c>
      <c r="P22" s="12"/>
    </row>
    <row r="23" customFormat="false" ht="18" hidden="false" customHeight="true" outlineLevel="0" collapsed="false">
      <c r="A23" s="12" t="s">
        <v>918</v>
      </c>
      <c r="B23" s="13" t="n">
        <v>6</v>
      </c>
      <c r="C23" s="12" t="s">
        <v>351</v>
      </c>
      <c r="D23" s="7" t="n">
        <v>3</v>
      </c>
      <c r="E23" s="12" t="s">
        <v>936</v>
      </c>
      <c r="F23" s="12" t="s">
        <v>21</v>
      </c>
      <c r="G23" s="12" t="s">
        <v>937</v>
      </c>
      <c r="H23" s="12" t="s">
        <v>932</v>
      </c>
      <c r="I23" s="7" t="n">
        <v>1</v>
      </c>
      <c r="J23" s="12" t="s">
        <v>938</v>
      </c>
      <c r="K23" s="7" t="n">
        <v>2</v>
      </c>
      <c r="L23" s="12" t="s">
        <v>21</v>
      </c>
      <c r="M23" s="12" t="s">
        <v>21</v>
      </c>
      <c r="N23" s="12" t="s">
        <v>21</v>
      </c>
      <c r="O23" s="12" t="s">
        <v>21</v>
      </c>
      <c r="P23" s="12"/>
    </row>
    <row r="24" customFormat="false" ht="18" hidden="false" customHeight="true" outlineLevel="0" collapsed="false">
      <c r="A24" s="12" t="s">
        <v>923</v>
      </c>
      <c r="B24" s="13" t="n">
        <v>6</v>
      </c>
      <c r="C24" s="12" t="s">
        <v>363</v>
      </c>
      <c r="D24" s="7" t="n">
        <v>1</v>
      </c>
      <c r="E24" s="7" t="n">
        <v>3</v>
      </c>
      <c r="F24" s="7" t="n">
        <v>2</v>
      </c>
      <c r="G24" s="12" t="s">
        <v>21</v>
      </c>
      <c r="H24" s="12" t="s">
        <v>21</v>
      </c>
      <c r="I24" s="12" t="s">
        <v>21</v>
      </c>
      <c r="J24" s="12" t="s">
        <v>21</v>
      </c>
      <c r="K24" s="12" t="s">
        <v>21</v>
      </c>
      <c r="L24" s="12" t="s">
        <v>21</v>
      </c>
      <c r="M24" s="12" t="s">
        <v>21</v>
      </c>
      <c r="N24" s="12" t="s">
        <v>21</v>
      </c>
      <c r="O24" s="12" t="s">
        <v>21</v>
      </c>
      <c r="P24" s="12" t="s">
        <v>939</v>
      </c>
    </row>
    <row r="25" customFormat="false" ht="18" hidden="false" customHeight="true" outlineLevel="0" collapsed="false">
      <c r="A25" s="12" t="s">
        <v>924</v>
      </c>
      <c r="B25" s="13" t="n">
        <v>6</v>
      </c>
      <c r="C25" s="12" t="s">
        <v>375</v>
      </c>
      <c r="D25" s="7" t="n">
        <v>1</v>
      </c>
      <c r="E25" s="7" t="n">
        <v>3</v>
      </c>
      <c r="F25" s="7" t="n">
        <v>2</v>
      </c>
      <c r="G25" s="12" t="s">
        <v>21</v>
      </c>
      <c r="H25" s="12" t="s">
        <v>21</v>
      </c>
      <c r="I25" s="12" t="s">
        <v>21</v>
      </c>
      <c r="J25" s="12" t="s">
        <v>21</v>
      </c>
      <c r="K25" s="12" t="s">
        <v>21</v>
      </c>
      <c r="L25" s="12" t="s">
        <v>21</v>
      </c>
      <c r="M25" s="12" t="s">
        <v>21</v>
      </c>
      <c r="N25" s="12" t="s">
        <v>21</v>
      </c>
      <c r="O25" s="12" t="s">
        <v>21</v>
      </c>
      <c r="P25" s="12" t="s">
        <v>939</v>
      </c>
    </row>
    <row r="26" customFormat="false" ht="18" hidden="false" customHeight="true" outlineLevel="0" collapsed="false">
      <c r="A26" s="12" t="s">
        <v>917</v>
      </c>
      <c r="B26" s="13" t="n">
        <v>7</v>
      </c>
      <c r="C26" s="12" t="s">
        <v>394</v>
      </c>
      <c r="D26" s="7" t="n">
        <v>2</v>
      </c>
      <c r="E26" s="12" t="s">
        <v>21</v>
      </c>
      <c r="F26" s="12" t="s">
        <v>21</v>
      </c>
      <c r="G26" s="12" t="s">
        <v>21</v>
      </c>
      <c r="H26" s="12" t="s">
        <v>21</v>
      </c>
      <c r="I26" s="12" t="s">
        <v>21</v>
      </c>
      <c r="J26" s="12" t="s">
        <v>21</v>
      </c>
      <c r="K26" s="12" t="s">
        <v>21</v>
      </c>
      <c r="L26" s="7" t="n">
        <v>18</v>
      </c>
      <c r="M26" s="7" t="n">
        <v>12</v>
      </c>
      <c r="N26" s="7" t="n">
        <v>-20</v>
      </c>
      <c r="O26" s="7" t="n">
        <v>10</v>
      </c>
      <c r="P26" s="12"/>
    </row>
    <row r="27" customFormat="false" ht="18" hidden="false" customHeight="true" outlineLevel="0" collapsed="false">
      <c r="A27" s="12" t="s">
        <v>918</v>
      </c>
      <c r="B27" s="13" t="n">
        <v>7</v>
      </c>
      <c r="C27" s="12" t="s">
        <v>352</v>
      </c>
      <c r="D27" s="7" t="n">
        <v>2</v>
      </c>
      <c r="E27" s="12" t="s">
        <v>936</v>
      </c>
      <c r="F27" s="12" t="s">
        <v>21</v>
      </c>
      <c r="G27" s="12" t="s">
        <v>940</v>
      </c>
      <c r="H27" s="12" t="s">
        <v>941</v>
      </c>
      <c r="I27" s="7" t="n">
        <v>1</v>
      </c>
      <c r="J27" s="12" t="s">
        <v>942</v>
      </c>
      <c r="K27" s="7" t="n">
        <v>2</v>
      </c>
      <c r="L27" s="12" t="s">
        <v>21</v>
      </c>
      <c r="M27" s="12" t="s">
        <v>21</v>
      </c>
      <c r="N27" s="12" t="s">
        <v>21</v>
      </c>
      <c r="O27" s="12" t="s">
        <v>21</v>
      </c>
      <c r="P27" s="12"/>
    </row>
    <row r="28" customFormat="false" ht="18" hidden="false" customHeight="true" outlineLevel="0" collapsed="false">
      <c r="A28" s="12" t="s">
        <v>923</v>
      </c>
      <c r="B28" s="13" t="n">
        <v>7</v>
      </c>
      <c r="C28" s="12" t="s">
        <v>364</v>
      </c>
      <c r="D28" s="7" t="n">
        <v>1</v>
      </c>
      <c r="E28" s="7" t="n">
        <v>3</v>
      </c>
      <c r="F28" s="7" t="n">
        <v>1</v>
      </c>
      <c r="G28" s="12" t="s">
        <v>21</v>
      </c>
      <c r="H28" s="12" t="s">
        <v>21</v>
      </c>
      <c r="I28" s="12" t="s">
        <v>21</v>
      </c>
      <c r="J28" s="12" t="s">
        <v>21</v>
      </c>
      <c r="K28" s="12" t="s">
        <v>21</v>
      </c>
      <c r="L28" s="12" t="s">
        <v>21</v>
      </c>
      <c r="M28" s="12" t="s">
        <v>21</v>
      </c>
      <c r="N28" s="12" t="s">
        <v>21</v>
      </c>
      <c r="O28" s="12" t="s">
        <v>21</v>
      </c>
      <c r="P28" s="12" t="s">
        <v>943</v>
      </c>
    </row>
    <row r="29" customFormat="false" ht="18" hidden="false" customHeight="true" outlineLevel="0" collapsed="false">
      <c r="A29" s="12" t="s">
        <v>924</v>
      </c>
      <c r="B29" s="13" t="n">
        <v>7</v>
      </c>
      <c r="C29" s="12" t="s">
        <v>376</v>
      </c>
      <c r="D29" s="7" t="n">
        <v>1</v>
      </c>
      <c r="E29" s="7" t="n">
        <v>3</v>
      </c>
      <c r="F29" s="7" t="n">
        <v>1</v>
      </c>
      <c r="G29" s="12" t="s">
        <v>21</v>
      </c>
      <c r="H29" s="12" t="s">
        <v>21</v>
      </c>
      <c r="I29" s="12" t="s">
        <v>21</v>
      </c>
      <c r="J29" s="12" t="s">
        <v>21</v>
      </c>
      <c r="K29" s="12" t="s">
        <v>21</v>
      </c>
      <c r="L29" s="12" t="s">
        <v>21</v>
      </c>
      <c r="M29" s="12" t="s">
        <v>21</v>
      </c>
      <c r="N29" s="12" t="s">
        <v>21</v>
      </c>
      <c r="O29" s="12" t="s">
        <v>21</v>
      </c>
      <c r="P29" s="12" t="s">
        <v>943</v>
      </c>
    </row>
    <row r="30" customFormat="false" ht="18" hidden="false" customHeight="true" outlineLevel="0" collapsed="false">
      <c r="A30" s="12" t="s">
        <v>917</v>
      </c>
      <c r="B30" s="13" t="n">
        <v>8</v>
      </c>
      <c r="C30" s="12" t="s">
        <v>395</v>
      </c>
      <c r="D30" s="7" t="n">
        <v>2</v>
      </c>
      <c r="E30" s="12" t="s">
        <v>21</v>
      </c>
      <c r="F30" s="12" t="s">
        <v>21</v>
      </c>
      <c r="G30" s="12" t="s">
        <v>21</v>
      </c>
      <c r="H30" s="12" t="s">
        <v>21</v>
      </c>
      <c r="I30" s="12" t="s">
        <v>21</v>
      </c>
      <c r="J30" s="12" t="s">
        <v>21</v>
      </c>
      <c r="K30" s="12" t="s">
        <v>21</v>
      </c>
      <c r="L30" s="7" t="n">
        <v>20</v>
      </c>
      <c r="M30" s="7" t="n">
        <v>15</v>
      </c>
      <c r="N30" s="7" t="n">
        <v>-15</v>
      </c>
      <c r="O30" s="7" t="n">
        <v>10</v>
      </c>
      <c r="P30" s="12"/>
    </row>
    <row r="31" customFormat="false" ht="18" hidden="false" customHeight="true" outlineLevel="0" collapsed="false">
      <c r="A31" s="12" t="s">
        <v>918</v>
      </c>
      <c r="B31" s="13" t="n">
        <v>8</v>
      </c>
      <c r="C31" s="12" t="s">
        <v>354</v>
      </c>
      <c r="D31" s="7" t="n">
        <v>2</v>
      </c>
      <c r="E31" s="12" t="s">
        <v>944</v>
      </c>
      <c r="F31" s="12" t="s">
        <v>21</v>
      </c>
      <c r="G31" s="12" t="s">
        <v>945</v>
      </c>
      <c r="H31" s="12" t="s">
        <v>946</v>
      </c>
      <c r="I31" s="7" t="n">
        <v>1</v>
      </c>
      <c r="J31" s="12" t="s">
        <v>947</v>
      </c>
      <c r="K31" s="7" t="n">
        <v>2</v>
      </c>
      <c r="L31" s="12" t="s">
        <v>21</v>
      </c>
      <c r="M31" s="12" t="s">
        <v>21</v>
      </c>
      <c r="N31" s="12" t="s">
        <v>21</v>
      </c>
      <c r="O31" s="12" t="s">
        <v>21</v>
      </c>
      <c r="P31" s="12"/>
    </row>
    <row r="32" customFormat="false" ht="18" hidden="false" customHeight="true" outlineLevel="0" collapsed="false">
      <c r="A32" s="12" t="s">
        <v>923</v>
      </c>
      <c r="B32" s="13" t="n">
        <v>8</v>
      </c>
      <c r="C32" s="12" t="s">
        <v>366</v>
      </c>
      <c r="D32" s="7" t="n">
        <v>1</v>
      </c>
      <c r="E32" s="7" t="n">
        <v>4</v>
      </c>
      <c r="F32" s="7" t="n">
        <v>2</v>
      </c>
      <c r="G32" s="12" t="s">
        <v>21</v>
      </c>
      <c r="H32" s="12" t="s">
        <v>21</v>
      </c>
      <c r="I32" s="12" t="s">
        <v>21</v>
      </c>
      <c r="J32" s="12" t="s">
        <v>21</v>
      </c>
      <c r="K32" s="12" t="s">
        <v>21</v>
      </c>
      <c r="L32" s="12" t="s">
        <v>21</v>
      </c>
      <c r="M32" s="12" t="s">
        <v>21</v>
      </c>
      <c r="N32" s="12" t="s">
        <v>21</v>
      </c>
      <c r="O32" s="12" t="s">
        <v>21</v>
      </c>
      <c r="P32" s="12"/>
    </row>
    <row r="33" customFormat="false" ht="18" hidden="false" customHeight="true" outlineLevel="0" collapsed="false">
      <c r="A33" s="12" t="s">
        <v>924</v>
      </c>
      <c r="B33" s="13" t="n">
        <v>8</v>
      </c>
      <c r="C33" s="12" t="s">
        <v>377</v>
      </c>
      <c r="D33" s="7" t="n">
        <v>1</v>
      </c>
      <c r="E33" s="7" t="n">
        <v>4</v>
      </c>
      <c r="F33" s="7" t="n">
        <v>2</v>
      </c>
      <c r="G33" s="12" t="s">
        <v>21</v>
      </c>
      <c r="H33" s="12" t="s">
        <v>21</v>
      </c>
      <c r="I33" s="12" t="s">
        <v>21</v>
      </c>
      <c r="J33" s="12" t="s">
        <v>21</v>
      </c>
      <c r="K33" s="12" t="s">
        <v>21</v>
      </c>
      <c r="L33" s="12" t="s">
        <v>21</v>
      </c>
      <c r="M33" s="12" t="s">
        <v>21</v>
      </c>
      <c r="N33" s="12" t="s">
        <v>21</v>
      </c>
      <c r="O33" s="12" t="s">
        <v>21</v>
      </c>
      <c r="P33" s="12"/>
    </row>
    <row r="34" customFormat="false" ht="30" hidden="false" customHeight="true" outlineLevel="0" collapsed="false">
      <c r="A34" s="12" t="s">
        <v>917</v>
      </c>
      <c r="B34" s="13" t="n">
        <v>9</v>
      </c>
      <c r="C34" s="12" t="s">
        <v>396</v>
      </c>
      <c r="D34" s="7" t="n">
        <v>2</v>
      </c>
      <c r="E34" s="12" t="s">
        <v>21</v>
      </c>
      <c r="F34" s="12" t="s">
        <v>21</v>
      </c>
      <c r="G34" s="12" t="s">
        <v>21</v>
      </c>
      <c r="H34" s="12" t="s">
        <v>21</v>
      </c>
      <c r="I34" s="12" t="s">
        <v>21</v>
      </c>
      <c r="J34" s="12" t="s">
        <v>21</v>
      </c>
      <c r="K34" s="12" t="s">
        <v>21</v>
      </c>
      <c r="L34" s="7" t="n">
        <v>20</v>
      </c>
      <c r="M34" s="7" t="n">
        <v>18</v>
      </c>
      <c r="N34" s="7" t="n">
        <v>-10</v>
      </c>
      <c r="O34" s="7" t="n">
        <v>10</v>
      </c>
      <c r="P34" s="12" t="s">
        <v>948</v>
      </c>
    </row>
    <row r="35" customFormat="false" ht="30" hidden="false" customHeight="true" outlineLevel="0" collapsed="false">
      <c r="A35" s="12" t="s">
        <v>918</v>
      </c>
      <c r="B35" s="13" t="n">
        <v>9</v>
      </c>
      <c r="C35" s="12" t="s">
        <v>355</v>
      </c>
      <c r="D35" s="7" t="n">
        <v>2</v>
      </c>
      <c r="E35" s="12" t="s">
        <v>949</v>
      </c>
      <c r="F35" s="12" t="s">
        <v>21</v>
      </c>
      <c r="G35" s="12" t="s">
        <v>950</v>
      </c>
      <c r="H35" s="12" t="s">
        <v>951</v>
      </c>
      <c r="I35" s="7" t="n">
        <v>1</v>
      </c>
      <c r="J35" s="12" t="s">
        <v>952</v>
      </c>
      <c r="K35" s="7" t="n">
        <v>2</v>
      </c>
      <c r="L35" s="12" t="s">
        <v>21</v>
      </c>
      <c r="M35" s="12" t="s">
        <v>21</v>
      </c>
      <c r="N35" s="12" t="s">
        <v>21</v>
      </c>
      <c r="O35" s="12" t="s">
        <v>21</v>
      </c>
      <c r="P35" s="12" t="s">
        <v>953</v>
      </c>
    </row>
    <row r="36" customFormat="false" ht="30" hidden="false" customHeight="true" outlineLevel="0" collapsed="false">
      <c r="A36" s="12" t="s">
        <v>923</v>
      </c>
      <c r="B36" s="13" t="n">
        <v>9</v>
      </c>
      <c r="C36" s="12" t="s">
        <v>367</v>
      </c>
      <c r="D36" s="7" t="n">
        <v>1</v>
      </c>
      <c r="E36" s="7" t="n">
        <v>4</v>
      </c>
      <c r="F36" s="7" t="n">
        <v>1</v>
      </c>
      <c r="G36" s="12" t="s">
        <v>21</v>
      </c>
      <c r="H36" s="12" t="s">
        <v>21</v>
      </c>
      <c r="I36" s="12" t="s">
        <v>21</v>
      </c>
      <c r="J36" s="12" t="s">
        <v>21</v>
      </c>
      <c r="K36" s="12" t="s">
        <v>21</v>
      </c>
      <c r="L36" s="12" t="s">
        <v>21</v>
      </c>
      <c r="M36" s="12" t="s">
        <v>21</v>
      </c>
      <c r="N36" s="12" t="s">
        <v>21</v>
      </c>
      <c r="O36" s="12" t="s">
        <v>21</v>
      </c>
      <c r="P36" s="12" t="s">
        <v>954</v>
      </c>
    </row>
    <row r="37" customFormat="false" ht="30" hidden="false" customHeight="true" outlineLevel="0" collapsed="false">
      <c r="A37" s="12" t="s">
        <v>924</v>
      </c>
      <c r="B37" s="13" t="n">
        <v>9</v>
      </c>
      <c r="C37" s="12" t="s">
        <v>378</v>
      </c>
      <c r="D37" s="7" t="n">
        <v>1</v>
      </c>
      <c r="E37" s="7" t="n">
        <v>4</v>
      </c>
      <c r="F37" s="7" t="n">
        <v>1</v>
      </c>
      <c r="G37" s="12" t="s">
        <v>21</v>
      </c>
      <c r="H37" s="12" t="s">
        <v>21</v>
      </c>
      <c r="I37" s="12" t="s">
        <v>21</v>
      </c>
      <c r="J37" s="12" t="s">
        <v>21</v>
      </c>
      <c r="K37" s="12" t="s">
        <v>21</v>
      </c>
      <c r="L37" s="12" t="s">
        <v>21</v>
      </c>
      <c r="M37" s="12" t="s">
        <v>21</v>
      </c>
      <c r="N37" s="12" t="s">
        <v>21</v>
      </c>
      <c r="O37" s="12" t="s">
        <v>21</v>
      </c>
      <c r="P37" s="12" t="s">
        <v>954</v>
      </c>
    </row>
  </sheetData>
  <autoFilter ref="A1:P1"/>
  <printOptions headings="false" gridLines="false" gridLinesSet="true" horizontalCentered="false" verticalCentered="false"/>
  <pageMargins left="0.25" right="0.25" top="0.45" bottom="0.4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&amp;CStar Cluster - provisional candidate matrix - no calibration&amp;RPage &amp;P of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24"/>
    <col collapsed="false" customWidth="true" hidden="false" outlineLevel="0" max="10" min="8" style="0" width="8"/>
    <col collapsed="false" customWidth="true" hidden="false" outlineLevel="0" max="11" min="11" style="0" width="18"/>
    <col collapsed="false" customWidth="true" hidden="false" outlineLevel="0" max="12" min="12" style="0" width="10"/>
    <col collapsed="false" customWidth="true" hidden="false" outlineLevel="0" max="13" min="13" style="0" width="15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6" min="16" style="0" width="13"/>
    <col collapsed="false" customWidth="true" hidden="false" outlineLevel="0" max="17" min="17" style="0" width="56"/>
  </cols>
  <sheetData>
    <row r="1" customFormat="false" ht="28.35" hidden="false" customHeight="false" outlineLevel="0" collapsed="false">
      <c r="A1" s="5" t="s">
        <v>846</v>
      </c>
      <c r="B1" s="5" t="s">
        <v>14</v>
      </c>
      <c r="C1" s="5" t="s">
        <v>179</v>
      </c>
      <c r="D1" s="5" t="s">
        <v>847</v>
      </c>
      <c r="E1" s="5" t="s">
        <v>522</v>
      </c>
      <c r="F1" s="5" t="s">
        <v>955</v>
      </c>
      <c r="G1" s="5" t="s">
        <v>956</v>
      </c>
      <c r="H1" s="5" t="s">
        <v>957</v>
      </c>
      <c r="I1" s="5" t="s">
        <v>958</v>
      </c>
      <c r="J1" s="5" t="s">
        <v>959</v>
      </c>
      <c r="K1" s="5" t="s">
        <v>960</v>
      </c>
      <c r="L1" s="5" t="s">
        <v>961</v>
      </c>
      <c r="M1" s="5" t="s">
        <v>962</v>
      </c>
      <c r="N1" s="5" t="s">
        <v>963</v>
      </c>
      <c r="O1" s="5" t="s">
        <v>964</v>
      </c>
      <c r="P1" s="5" t="s">
        <v>965</v>
      </c>
      <c r="Q1" s="5" t="s">
        <v>916</v>
      </c>
    </row>
    <row r="2" customFormat="false" ht="18" hidden="false" customHeight="true" outlineLevel="0" collapsed="false">
      <c r="A2" s="12" t="s">
        <v>966</v>
      </c>
      <c r="B2" s="13" t="n">
        <v>1</v>
      </c>
      <c r="C2" s="12" t="s">
        <v>424</v>
      </c>
      <c r="D2" s="12" t="s">
        <v>195</v>
      </c>
      <c r="E2" s="7" t="n">
        <v>6</v>
      </c>
      <c r="F2" s="7" t="n">
        <v>20</v>
      </c>
      <c r="G2" s="7" t="n">
        <v>4</v>
      </c>
      <c r="H2" s="7" t="n">
        <v>1</v>
      </c>
      <c r="I2" s="7" t="n">
        <v>0</v>
      </c>
      <c r="J2" s="7" t="n">
        <v>4</v>
      </c>
      <c r="K2" s="7" t="n">
        <v>1</v>
      </c>
      <c r="L2" s="7" t="n">
        <v>100</v>
      </c>
      <c r="M2" s="12" t="s">
        <v>21</v>
      </c>
      <c r="N2" s="12" t="s">
        <v>21</v>
      </c>
      <c r="O2" s="12" t="s">
        <v>21</v>
      </c>
      <c r="P2" s="12" t="s">
        <v>21</v>
      </c>
      <c r="Q2" s="12"/>
    </row>
    <row r="3" customFormat="false" ht="18" hidden="false" customHeight="true" outlineLevel="0" collapsed="false">
      <c r="A3" s="12" t="s">
        <v>967</v>
      </c>
      <c r="B3" s="13" t="n">
        <v>1</v>
      </c>
      <c r="C3" s="12" t="s">
        <v>445</v>
      </c>
      <c r="D3" s="12" t="s">
        <v>195</v>
      </c>
      <c r="E3" s="7" t="n">
        <v>2</v>
      </c>
      <c r="F3" s="7" t="n">
        <v>10</v>
      </c>
      <c r="G3" s="12" t="s">
        <v>21</v>
      </c>
      <c r="H3" s="12" t="s">
        <v>21</v>
      </c>
      <c r="I3" s="12" t="s">
        <v>21</v>
      </c>
      <c r="J3" s="12" t="s">
        <v>21</v>
      </c>
      <c r="K3" s="7" t="n">
        <v>1</v>
      </c>
      <c r="L3" s="7" t="n">
        <v>50</v>
      </c>
      <c r="M3" s="7" t="n">
        <v>1</v>
      </c>
      <c r="N3" s="12" t="s">
        <v>21</v>
      </c>
      <c r="O3" s="12" t="s">
        <v>21</v>
      </c>
      <c r="P3" s="7" t="n">
        <v>0</v>
      </c>
      <c r="Q3" s="12"/>
    </row>
    <row r="4" customFormat="false" ht="18" hidden="false" customHeight="true" outlineLevel="0" collapsed="false">
      <c r="A4" s="12" t="s">
        <v>968</v>
      </c>
      <c r="B4" s="13" t="n">
        <v>1</v>
      </c>
      <c r="C4" s="12" t="s">
        <v>450</v>
      </c>
      <c r="D4" s="12" t="s">
        <v>195</v>
      </c>
      <c r="E4" s="7" t="n">
        <v>6</v>
      </c>
      <c r="F4" s="7" t="n">
        <v>25</v>
      </c>
      <c r="G4" s="12" t="s">
        <v>969</v>
      </c>
      <c r="H4" s="7" t="n">
        <v>1</v>
      </c>
      <c r="I4" s="7" t="n">
        <v>1</v>
      </c>
      <c r="J4" s="7" t="n">
        <v>5</v>
      </c>
      <c r="K4" s="12" t="s">
        <v>970</v>
      </c>
      <c r="L4" s="12" t="s">
        <v>21</v>
      </c>
      <c r="M4" s="12" t="s">
        <v>21</v>
      </c>
      <c r="N4" s="12" t="s">
        <v>21</v>
      </c>
      <c r="O4" s="12" t="s">
        <v>21</v>
      </c>
      <c r="P4" s="12" t="s">
        <v>21</v>
      </c>
      <c r="Q4" s="12"/>
    </row>
    <row r="5" customFormat="false" ht="18" hidden="false" customHeight="true" outlineLevel="0" collapsed="false">
      <c r="A5" s="12" t="s">
        <v>971</v>
      </c>
      <c r="B5" s="13" t="n">
        <v>1</v>
      </c>
      <c r="C5" s="12" t="s">
        <v>462</v>
      </c>
      <c r="D5" s="12" t="s">
        <v>195</v>
      </c>
      <c r="E5" s="7" t="n">
        <v>2</v>
      </c>
      <c r="F5" s="7" t="n">
        <v>12</v>
      </c>
      <c r="G5" s="12" t="s">
        <v>21</v>
      </c>
      <c r="H5" s="12" t="s">
        <v>21</v>
      </c>
      <c r="I5" s="12" t="s">
        <v>21</v>
      </c>
      <c r="J5" s="12" t="s">
        <v>21</v>
      </c>
      <c r="K5" s="7" t="n">
        <v>2</v>
      </c>
      <c r="L5" s="12" t="s">
        <v>21</v>
      </c>
      <c r="M5" s="7" t="n">
        <v>1</v>
      </c>
      <c r="N5" s="12" t="s">
        <v>21</v>
      </c>
      <c r="O5" s="12" t="s">
        <v>21</v>
      </c>
      <c r="P5" s="7" t="n">
        <v>0</v>
      </c>
      <c r="Q5" s="12"/>
    </row>
    <row r="6" customFormat="false" ht="18" hidden="false" customHeight="true" outlineLevel="0" collapsed="false">
      <c r="A6" s="12" t="s">
        <v>972</v>
      </c>
      <c r="B6" s="13" t="n">
        <v>1</v>
      </c>
      <c r="C6" s="12" t="s">
        <v>482</v>
      </c>
      <c r="D6" s="12" t="s">
        <v>195</v>
      </c>
      <c r="E6" s="7" t="n">
        <v>6</v>
      </c>
      <c r="F6" s="7" t="n">
        <v>55</v>
      </c>
      <c r="G6" s="7" t="n">
        <v>5</v>
      </c>
      <c r="H6" s="7" t="n">
        <v>1</v>
      </c>
      <c r="I6" s="7" t="n">
        <v>2</v>
      </c>
      <c r="J6" s="7" t="n">
        <v>6</v>
      </c>
      <c r="K6" s="7" t="n">
        <v>0</v>
      </c>
      <c r="L6" s="7" t="n">
        <v>25</v>
      </c>
      <c r="M6" s="12" t="s">
        <v>21</v>
      </c>
      <c r="N6" s="7" t="n">
        <v>2</v>
      </c>
      <c r="O6" s="7" t="n">
        <v>55</v>
      </c>
      <c r="P6" s="12" t="s">
        <v>21</v>
      </c>
      <c r="Q6" s="12"/>
    </row>
    <row r="7" customFormat="false" ht="18" hidden="false" customHeight="true" outlineLevel="0" collapsed="false">
      <c r="A7" s="12" t="s">
        <v>973</v>
      </c>
      <c r="B7" s="13" t="n">
        <v>1</v>
      </c>
      <c r="C7" s="12" t="s">
        <v>510</v>
      </c>
      <c r="D7" s="12" t="s">
        <v>195</v>
      </c>
      <c r="E7" s="7" t="n">
        <v>2</v>
      </c>
      <c r="F7" s="7" t="n">
        <v>15</v>
      </c>
      <c r="G7" s="12" t="s">
        <v>21</v>
      </c>
      <c r="H7" s="12" t="s">
        <v>21</v>
      </c>
      <c r="I7" s="12" t="s">
        <v>21</v>
      </c>
      <c r="J7" s="12" t="s">
        <v>21</v>
      </c>
      <c r="K7" s="7" t="n">
        <v>1</v>
      </c>
      <c r="L7" s="7" t="n">
        <v>25</v>
      </c>
      <c r="M7" s="7" t="n">
        <v>1</v>
      </c>
      <c r="N7" s="12" t="s">
        <v>21</v>
      </c>
      <c r="O7" s="12" t="s">
        <v>21</v>
      </c>
      <c r="P7" s="7" t="n">
        <v>0</v>
      </c>
      <c r="Q7" s="12"/>
    </row>
    <row r="8" customFormat="false" ht="45" hidden="false" customHeight="true" outlineLevel="0" collapsed="false">
      <c r="A8" s="12" t="s">
        <v>966</v>
      </c>
      <c r="B8" s="13" t="n">
        <v>2</v>
      </c>
      <c r="C8" s="12" t="s">
        <v>974</v>
      </c>
      <c r="D8" s="12" t="s">
        <v>870</v>
      </c>
      <c r="E8" s="7" t="n">
        <v>6</v>
      </c>
      <c r="F8" s="7" t="n">
        <v>20</v>
      </c>
      <c r="G8" s="7" t="n">
        <v>4</v>
      </c>
      <c r="H8" s="7" t="n">
        <v>1</v>
      </c>
      <c r="I8" s="7" t="n">
        <v>1</v>
      </c>
      <c r="J8" s="7" t="n">
        <v>4</v>
      </c>
      <c r="K8" s="7" t="n">
        <v>1</v>
      </c>
      <c r="L8" s="7" t="n">
        <v>100</v>
      </c>
      <c r="M8" s="12" t="s">
        <v>21</v>
      </c>
      <c r="N8" s="12" t="s">
        <v>21</v>
      </c>
      <c r="O8" s="12" t="s">
        <v>21</v>
      </c>
      <c r="P8" s="12" t="s">
        <v>21</v>
      </c>
      <c r="Q8" s="12" t="s">
        <v>975</v>
      </c>
    </row>
    <row r="9" customFormat="false" ht="45" hidden="false" customHeight="true" outlineLevel="0" collapsed="false">
      <c r="A9" s="12" t="s">
        <v>967</v>
      </c>
      <c r="B9" s="13" t="n">
        <v>2</v>
      </c>
      <c r="C9" s="12" t="s">
        <v>976</v>
      </c>
      <c r="D9" s="12" t="s">
        <v>870</v>
      </c>
      <c r="E9" s="7" t="n">
        <v>2</v>
      </c>
      <c r="F9" s="7" t="n">
        <v>10</v>
      </c>
      <c r="G9" s="12" t="s">
        <v>21</v>
      </c>
      <c r="H9" s="12" t="s">
        <v>21</v>
      </c>
      <c r="I9" s="12" t="s">
        <v>21</v>
      </c>
      <c r="J9" s="12" t="s">
        <v>21</v>
      </c>
      <c r="K9" s="7" t="n">
        <v>1</v>
      </c>
      <c r="L9" s="7" t="n">
        <v>50</v>
      </c>
      <c r="M9" s="7" t="n">
        <v>1</v>
      </c>
      <c r="N9" s="12" t="s">
        <v>21</v>
      </c>
      <c r="O9" s="12" t="s">
        <v>21</v>
      </c>
      <c r="P9" s="7" t="n">
        <v>0</v>
      </c>
      <c r="Q9" s="12" t="s">
        <v>977</v>
      </c>
    </row>
    <row r="10" customFormat="false" ht="30" hidden="false" customHeight="true" outlineLevel="0" collapsed="false">
      <c r="A10" s="12" t="s">
        <v>968</v>
      </c>
      <c r="B10" s="13" t="n">
        <v>2</v>
      </c>
      <c r="C10" s="12" t="s">
        <v>451</v>
      </c>
      <c r="D10" s="12" t="s">
        <v>195</v>
      </c>
      <c r="E10" s="7" t="n">
        <v>6</v>
      </c>
      <c r="F10" s="7" t="n">
        <v>30</v>
      </c>
      <c r="G10" s="12" t="s">
        <v>969</v>
      </c>
      <c r="H10" s="7" t="n">
        <v>1</v>
      </c>
      <c r="I10" s="7" t="n">
        <v>1</v>
      </c>
      <c r="J10" s="7" t="n">
        <v>6</v>
      </c>
      <c r="K10" s="12" t="s">
        <v>970</v>
      </c>
      <c r="L10" s="12" t="s">
        <v>21</v>
      </c>
      <c r="M10" s="12" t="s">
        <v>21</v>
      </c>
      <c r="N10" s="12" t="s">
        <v>21</v>
      </c>
      <c r="O10" s="12" t="s">
        <v>21</v>
      </c>
      <c r="P10" s="12" t="s">
        <v>21</v>
      </c>
      <c r="Q10" s="12" t="s">
        <v>978</v>
      </c>
    </row>
    <row r="11" customFormat="false" ht="18" hidden="false" customHeight="true" outlineLevel="0" collapsed="false">
      <c r="A11" s="12" t="s">
        <v>971</v>
      </c>
      <c r="B11" s="13" t="n">
        <v>2</v>
      </c>
      <c r="C11" s="12" t="s">
        <v>463</v>
      </c>
      <c r="D11" s="12" t="s">
        <v>195</v>
      </c>
      <c r="E11" s="7" t="n">
        <v>2</v>
      </c>
      <c r="F11" s="7" t="n">
        <v>16</v>
      </c>
      <c r="G11" s="12" t="s">
        <v>21</v>
      </c>
      <c r="H11" s="12" t="s">
        <v>21</v>
      </c>
      <c r="I11" s="12" t="s">
        <v>21</v>
      </c>
      <c r="J11" s="12" t="s">
        <v>21</v>
      </c>
      <c r="K11" s="7" t="n">
        <v>2</v>
      </c>
      <c r="L11" s="12" t="s">
        <v>21</v>
      </c>
      <c r="M11" s="7" t="n">
        <v>1</v>
      </c>
      <c r="N11" s="12" t="s">
        <v>21</v>
      </c>
      <c r="O11" s="12" t="s">
        <v>21</v>
      </c>
      <c r="P11" s="7" t="n">
        <v>0</v>
      </c>
      <c r="Q11" s="12"/>
    </row>
    <row r="12" customFormat="false" ht="18" hidden="false" customHeight="true" outlineLevel="0" collapsed="false">
      <c r="A12" s="12" t="s">
        <v>972</v>
      </c>
      <c r="B12" s="13" t="n">
        <v>2</v>
      </c>
      <c r="C12" s="12" t="s">
        <v>483</v>
      </c>
      <c r="D12" s="12" t="s">
        <v>195</v>
      </c>
      <c r="E12" s="7" t="n">
        <v>6</v>
      </c>
      <c r="F12" s="7" t="n">
        <v>55</v>
      </c>
      <c r="G12" s="7" t="n">
        <v>5</v>
      </c>
      <c r="H12" s="7" t="n">
        <v>1</v>
      </c>
      <c r="I12" s="7" t="n">
        <v>2</v>
      </c>
      <c r="J12" s="7" t="n">
        <v>8</v>
      </c>
      <c r="K12" s="7" t="n">
        <v>0</v>
      </c>
      <c r="L12" s="7" t="n">
        <v>25</v>
      </c>
      <c r="M12" s="12" t="s">
        <v>21</v>
      </c>
      <c r="N12" s="7" t="n">
        <v>3</v>
      </c>
      <c r="O12" s="7" t="n">
        <v>55</v>
      </c>
      <c r="P12" s="12" t="s">
        <v>21</v>
      </c>
      <c r="Q12" s="12"/>
    </row>
    <row r="13" customFormat="false" ht="18" hidden="false" customHeight="true" outlineLevel="0" collapsed="false">
      <c r="A13" s="12" t="s">
        <v>973</v>
      </c>
      <c r="B13" s="13" t="n">
        <v>2</v>
      </c>
      <c r="C13" s="12" t="s">
        <v>512</v>
      </c>
      <c r="D13" s="12" t="s">
        <v>195</v>
      </c>
      <c r="E13" s="7" t="n">
        <v>2</v>
      </c>
      <c r="F13" s="7" t="n">
        <v>20</v>
      </c>
      <c r="G13" s="12" t="s">
        <v>21</v>
      </c>
      <c r="H13" s="12" t="s">
        <v>21</v>
      </c>
      <c r="I13" s="12" t="s">
        <v>21</v>
      </c>
      <c r="J13" s="12" t="s">
        <v>21</v>
      </c>
      <c r="K13" s="7" t="n">
        <v>1</v>
      </c>
      <c r="L13" s="7" t="n">
        <v>25</v>
      </c>
      <c r="M13" s="7" t="n">
        <v>1</v>
      </c>
      <c r="N13" s="12" t="s">
        <v>21</v>
      </c>
      <c r="O13" s="12" t="s">
        <v>21</v>
      </c>
      <c r="P13" s="7" t="n">
        <v>0</v>
      </c>
      <c r="Q13" s="12" t="s">
        <v>979</v>
      </c>
    </row>
    <row r="14" customFormat="false" ht="18" hidden="false" customHeight="true" outlineLevel="0" collapsed="false">
      <c r="A14" s="12" t="s">
        <v>966</v>
      </c>
      <c r="B14" s="13" t="n">
        <v>3</v>
      </c>
      <c r="C14" s="12" t="s">
        <v>425</v>
      </c>
      <c r="D14" s="12" t="s">
        <v>195</v>
      </c>
      <c r="E14" s="7" t="n">
        <v>6</v>
      </c>
      <c r="F14" s="7" t="n">
        <v>20</v>
      </c>
      <c r="G14" s="7" t="n">
        <v>4</v>
      </c>
      <c r="H14" s="7" t="n">
        <v>1</v>
      </c>
      <c r="I14" s="7" t="n">
        <v>1</v>
      </c>
      <c r="J14" s="7" t="n">
        <v>4</v>
      </c>
      <c r="K14" s="7" t="n">
        <v>0</v>
      </c>
      <c r="L14" s="7" t="n">
        <v>100</v>
      </c>
      <c r="M14" s="12" t="s">
        <v>21</v>
      </c>
      <c r="N14" s="12" t="s">
        <v>21</v>
      </c>
      <c r="O14" s="12" t="s">
        <v>21</v>
      </c>
      <c r="P14" s="12" t="s">
        <v>21</v>
      </c>
      <c r="Q14" s="12"/>
    </row>
    <row r="15" customFormat="false" ht="18" hidden="false" customHeight="true" outlineLevel="0" collapsed="false">
      <c r="A15" s="12" t="s">
        <v>967</v>
      </c>
      <c r="B15" s="13" t="n">
        <v>3</v>
      </c>
      <c r="C15" s="12" t="s">
        <v>446</v>
      </c>
      <c r="D15" s="12" t="s">
        <v>195</v>
      </c>
      <c r="E15" s="7" t="n">
        <v>2</v>
      </c>
      <c r="F15" s="7" t="n">
        <v>13</v>
      </c>
      <c r="G15" s="12" t="s">
        <v>21</v>
      </c>
      <c r="H15" s="12" t="s">
        <v>21</v>
      </c>
      <c r="I15" s="12" t="s">
        <v>21</v>
      </c>
      <c r="J15" s="12" t="s">
        <v>21</v>
      </c>
      <c r="K15" s="7" t="n">
        <v>1</v>
      </c>
      <c r="L15" s="7" t="n">
        <v>60</v>
      </c>
      <c r="M15" s="7" t="n">
        <v>1</v>
      </c>
      <c r="N15" s="12" t="s">
        <v>21</v>
      </c>
      <c r="O15" s="12" t="s">
        <v>21</v>
      </c>
      <c r="P15" s="7" t="n">
        <v>0</v>
      </c>
      <c r="Q15" s="12"/>
    </row>
    <row r="16" customFormat="false" ht="18" hidden="false" customHeight="true" outlineLevel="0" collapsed="false">
      <c r="A16" s="12" t="s">
        <v>968</v>
      </c>
      <c r="B16" s="13" t="n">
        <v>3</v>
      </c>
      <c r="C16" s="12" t="s">
        <v>452</v>
      </c>
      <c r="D16" s="12" t="s">
        <v>195</v>
      </c>
      <c r="E16" s="7" t="n">
        <v>6</v>
      </c>
      <c r="F16" s="7" t="n">
        <v>30</v>
      </c>
      <c r="G16" s="12" t="s">
        <v>980</v>
      </c>
      <c r="H16" s="7" t="n">
        <v>1</v>
      </c>
      <c r="I16" s="7" t="n">
        <v>1</v>
      </c>
      <c r="J16" s="7" t="n">
        <v>6</v>
      </c>
      <c r="K16" s="12" t="s">
        <v>970</v>
      </c>
      <c r="L16" s="12" t="s">
        <v>21</v>
      </c>
      <c r="M16" s="12" t="s">
        <v>21</v>
      </c>
      <c r="N16" s="12" t="s">
        <v>21</v>
      </c>
      <c r="O16" s="12" t="s">
        <v>21</v>
      </c>
      <c r="P16" s="12" t="s">
        <v>21</v>
      </c>
      <c r="Q16" s="12"/>
    </row>
    <row r="17" customFormat="false" ht="18" hidden="false" customHeight="true" outlineLevel="0" collapsed="false">
      <c r="A17" s="12" t="s">
        <v>971</v>
      </c>
      <c r="B17" s="13" t="n">
        <v>3</v>
      </c>
      <c r="C17" s="12" t="s">
        <v>464</v>
      </c>
      <c r="D17" s="12" t="s">
        <v>195</v>
      </c>
      <c r="E17" s="7" t="n">
        <v>2</v>
      </c>
      <c r="F17" s="7" t="n">
        <v>16</v>
      </c>
      <c r="G17" s="12" t="s">
        <v>21</v>
      </c>
      <c r="H17" s="12" t="s">
        <v>21</v>
      </c>
      <c r="I17" s="12" t="s">
        <v>21</v>
      </c>
      <c r="J17" s="12" t="s">
        <v>21</v>
      </c>
      <c r="K17" s="7" t="n">
        <v>1</v>
      </c>
      <c r="L17" s="12" t="s">
        <v>21</v>
      </c>
      <c r="M17" s="7" t="n">
        <v>1</v>
      </c>
      <c r="N17" s="12" t="s">
        <v>21</v>
      </c>
      <c r="O17" s="12" t="s">
        <v>21</v>
      </c>
      <c r="P17" s="7" t="n">
        <v>0</v>
      </c>
      <c r="Q17" s="12"/>
    </row>
    <row r="18" customFormat="false" ht="18" hidden="false" customHeight="true" outlineLevel="0" collapsed="false">
      <c r="A18" s="12" t="s">
        <v>972</v>
      </c>
      <c r="B18" s="13" t="n">
        <v>3</v>
      </c>
      <c r="C18" s="12" t="s">
        <v>484</v>
      </c>
      <c r="D18" s="12" t="s">
        <v>195</v>
      </c>
      <c r="E18" s="7" t="n">
        <v>6</v>
      </c>
      <c r="F18" s="7" t="n">
        <v>55</v>
      </c>
      <c r="G18" s="7" t="n">
        <v>5</v>
      </c>
      <c r="H18" s="7" t="n">
        <v>1</v>
      </c>
      <c r="I18" s="7" t="n">
        <v>2</v>
      </c>
      <c r="J18" s="7" t="n">
        <v>8</v>
      </c>
      <c r="K18" s="7" t="n">
        <v>0</v>
      </c>
      <c r="L18" s="7" t="n">
        <v>25</v>
      </c>
      <c r="M18" s="12" t="s">
        <v>21</v>
      </c>
      <c r="N18" s="7" t="n">
        <v>4</v>
      </c>
      <c r="O18" s="7" t="n">
        <v>55</v>
      </c>
      <c r="P18" s="12" t="s">
        <v>21</v>
      </c>
      <c r="Q18" s="12" t="s">
        <v>981</v>
      </c>
    </row>
    <row r="19" customFormat="false" ht="18" hidden="false" customHeight="true" outlineLevel="0" collapsed="false">
      <c r="A19" s="12" t="s">
        <v>973</v>
      </c>
      <c r="B19" s="13" t="n">
        <v>3</v>
      </c>
      <c r="C19" s="12" t="s">
        <v>513</v>
      </c>
      <c r="D19" s="12" t="s">
        <v>195</v>
      </c>
      <c r="E19" s="7" t="n">
        <v>2</v>
      </c>
      <c r="F19" s="7" t="n">
        <v>20</v>
      </c>
      <c r="G19" s="12" t="s">
        <v>21</v>
      </c>
      <c r="H19" s="12" t="s">
        <v>21</v>
      </c>
      <c r="I19" s="12" t="s">
        <v>21</v>
      </c>
      <c r="J19" s="12" t="s">
        <v>21</v>
      </c>
      <c r="K19" s="7" t="n">
        <v>2</v>
      </c>
      <c r="L19" s="7" t="n">
        <v>25</v>
      </c>
      <c r="M19" s="7" t="n">
        <v>2</v>
      </c>
      <c r="N19" s="12" t="s">
        <v>21</v>
      </c>
      <c r="O19" s="12" t="s">
        <v>21</v>
      </c>
      <c r="P19" s="7" t="n">
        <v>0</v>
      </c>
      <c r="Q19" s="12" t="s">
        <v>982</v>
      </c>
    </row>
    <row r="20" customFormat="false" ht="18" hidden="false" customHeight="true" outlineLevel="0" collapsed="false">
      <c r="A20" s="12" t="s">
        <v>966</v>
      </c>
      <c r="B20" s="13" t="n">
        <v>4</v>
      </c>
      <c r="C20" s="12" t="s">
        <v>426</v>
      </c>
      <c r="D20" s="12" t="s">
        <v>195</v>
      </c>
      <c r="E20" s="7" t="n">
        <v>6</v>
      </c>
      <c r="F20" s="7" t="n">
        <v>20</v>
      </c>
      <c r="G20" s="7" t="n">
        <v>5</v>
      </c>
      <c r="H20" s="7" t="n">
        <v>1</v>
      </c>
      <c r="I20" s="7" t="n">
        <v>1</v>
      </c>
      <c r="J20" s="7" t="n">
        <v>5</v>
      </c>
      <c r="K20" s="7" t="n">
        <v>1</v>
      </c>
      <c r="L20" s="7" t="n">
        <v>100</v>
      </c>
      <c r="M20" s="12" t="s">
        <v>21</v>
      </c>
      <c r="N20" s="12" t="s">
        <v>21</v>
      </c>
      <c r="O20" s="12" t="s">
        <v>21</v>
      </c>
      <c r="P20" s="12" t="s">
        <v>21</v>
      </c>
      <c r="Q20" s="12"/>
    </row>
    <row r="21" customFormat="false" ht="18" hidden="false" customHeight="true" outlineLevel="0" collapsed="false">
      <c r="A21" s="12" t="s">
        <v>967</v>
      </c>
      <c r="B21" s="13" t="n">
        <v>4</v>
      </c>
      <c r="C21" s="12" t="s">
        <v>447</v>
      </c>
      <c r="D21" s="12" t="s">
        <v>195</v>
      </c>
      <c r="E21" s="7" t="n">
        <v>2</v>
      </c>
      <c r="F21" s="7" t="n">
        <v>18</v>
      </c>
      <c r="G21" s="12" t="s">
        <v>21</v>
      </c>
      <c r="H21" s="12" t="s">
        <v>21</v>
      </c>
      <c r="I21" s="12" t="s">
        <v>21</v>
      </c>
      <c r="J21" s="12" t="s">
        <v>21</v>
      </c>
      <c r="K21" s="7" t="n">
        <v>1</v>
      </c>
      <c r="L21" s="7" t="n">
        <v>50</v>
      </c>
      <c r="M21" s="7" t="n">
        <v>1</v>
      </c>
      <c r="N21" s="12" t="s">
        <v>21</v>
      </c>
      <c r="O21" s="12" t="s">
        <v>21</v>
      </c>
      <c r="P21" s="7" t="n">
        <v>0</v>
      </c>
      <c r="Q21" s="12"/>
    </row>
    <row r="22" customFormat="false" ht="18" hidden="false" customHeight="true" outlineLevel="0" collapsed="false">
      <c r="A22" s="12" t="s">
        <v>968</v>
      </c>
      <c r="B22" s="13" t="n">
        <v>4</v>
      </c>
      <c r="C22" s="12" t="s">
        <v>453</v>
      </c>
      <c r="D22" s="12" t="s">
        <v>195</v>
      </c>
      <c r="E22" s="7" t="n">
        <v>6</v>
      </c>
      <c r="F22" s="7" t="n">
        <v>30</v>
      </c>
      <c r="G22" s="12" t="s">
        <v>983</v>
      </c>
      <c r="H22" s="7" t="n">
        <v>1</v>
      </c>
      <c r="I22" s="7" t="n">
        <v>1</v>
      </c>
      <c r="J22" s="7" t="n">
        <v>7</v>
      </c>
      <c r="K22" s="12" t="s">
        <v>970</v>
      </c>
      <c r="L22" s="12" t="s">
        <v>21</v>
      </c>
      <c r="M22" s="12" t="s">
        <v>21</v>
      </c>
      <c r="N22" s="12" t="s">
        <v>21</v>
      </c>
      <c r="O22" s="12" t="s">
        <v>21</v>
      </c>
      <c r="P22" s="12" t="s">
        <v>21</v>
      </c>
      <c r="Q22" s="12"/>
    </row>
    <row r="23" customFormat="false" ht="18" hidden="false" customHeight="true" outlineLevel="0" collapsed="false">
      <c r="A23" s="12" t="s">
        <v>971</v>
      </c>
      <c r="B23" s="13" t="n">
        <v>4</v>
      </c>
      <c r="C23" s="12" t="s">
        <v>465</v>
      </c>
      <c r="D23" s="12" t="s">
        <v>195</v>
      </c>
      <c r="E23" s="7" t="n">
        <v>2</v>
      </c>
      <c r="F23" s="7" t="n">
        <v>20</v>
      </c>
      <c r="G23" s="12" t="s">
        <v>21</v>
      </c>
      <c r="H23" s="12" t="s">
        <v>21</v>
      </c>
      <c r="I23" s="12" t="s">
        <v>21</v>
      </c>
      <c r="J23" s="12" t="s">
        <v>21</v>
      </c>
      <c r="K23" s="7" t="n">
        <v>1</v>
      </c>
      <c r="L23" s="12" t="s">
        <v>21</v>
      </c>
      <c r="M23" s="7" t="n">
        <v>1</v>
      </c>
      <c r="N23" s="12" t="s">
        <v>21</v>
      </c>
      <c r="O23" s="12" t="s">
        <v>21</v>
      </c>
      <c r="P23" s="7" t="n">
        <v>0</v>
      </c>
      <c r="Q23" s="12"/>
    </row>
    <row r="24" customFormat="false" ht="30" hidden="false" customHeight="true" outlineLevel="0" collapsed="false">
      <c r="A24" s="12" t="s">
        <v>972</v>
      </c>
      <c r="B24" s="13" t="n">
        <v>4</v>
      </c>
      <c r="C24" s="12" t="s">
        <v>984</v>
      </c>
      <c r="D24" s="12" t="s">
        <v>195</v>
      </c>
      <c r="E24" s="7" t="n">
        <v>6</v>
      </c>
      <c r="F24" s="7" t="n">
        <v>60</v>
      </c>
      <c r="G24" s="7" t="n">
        <v>5</v>
      </c>
      <c r="H24" s="7" t="n">
        <v>1</v>
      </c>
      <c r="I24" s="7" t="n">
        <v>2</v>
      </c>
      <c r="J24" s="7" t="n">
        <v>9</v>
      </c>
      <c r="K24" s="7" t="n">
        <v>0</v>
      </c>
      <c r="L24" s="7" t="n">
        <v>25</v>
      </c>
      <c r="M24" s="12" t="s">
        <v>21</v>
      </c>
      <c r="N24" s="7" t="n">
        <v>5</v>
      </c>
      <c r="O24" s="7" t="n">
        <v>60</v>
      </c>
      <c r="P24" s="12" t="s">
        <v>21</v>
      </c>
      <c r="Q24" s="12" t="s">
        <v>985</v>
      </c>
    </row>
    <row r="25" customFormat="false" ht="18" hidden="false" customHeight="true" outlineLevel="0" collapsed="false">
      <c r="A25" s="12" t="s">
        <v>973</v>
      </c>
      <c r="B25" s="13" t="n">
        <v>4</v>
      </c>
      <c r="C25" s="12" t="s">
        <v>986</v>
      </c>
      <c r="D25" s="12" t="s">
        <v>870</v>
      </c>
      <c r="E25" s="7" t="n">
        <v>2</v>
      </c>
      <c r="F25" s="7" t="n">
        <v>20</v>
      </c>
      <c r="G25" s="12" t="s">
        <v>21</v>
      </c>
      <c r="H25" s="12" t="s">
        <v>21</v>
      </c>
      <c r="I25" s="12" t="s">
        <v>21</v>
      </c>
      <c r="J25" s="12" t="s">
        <v>21</v>
      </c>
      <c r="K25" s="7" t="n">
        <v>2</v>
      </c>
      <c r="L25" s="7" t="n">
        <v>25</v>
      </c>
      <c r="M25" s="7" t="n">
        <v>2</v>
      </c>
      <c r="N25" s="12" t="s">
        <v>21</v>
      </c>
      <c r="O25" s="12" t="s">
        <v>21</v>
      </c>
      <c r="P25" s="7" t="n">
        <v>0</v>
      </c>
      <c r="Q25" s="12"/>
    </row>
    <row r="26" customFormat="false" ht="30" hidden="false" customHeight="true" outlineLevel="0" collapsed="false">
      <c r="A26" s="12" t="s">
        <v>966</v>
      </c>
      <c r="B26" s="13" t="n">
        <v>5</v>
      </c>
      <c r="C26" s="12" t="s">
        <v>987</v>
      </c>
      <c r="D26" s="12" t="s">
        <v>870</v>
      </c>
      <c r="E26" s="7" t="n">
        <v>6</v>
      </c>
      <c r="F26" s="7" t="n">
        <v>20</v>
      </c>
      <c r="G26" s="7" t="n">
        <v>5</v>
      </c>
      <c r="H26" s="7" t="n">
        <v>1</v>
      </c>
      <c r="I26" s="7" t="n">
        <v>1</v>
      </c>
      <c r="J26" s="7" t="n">
        <v>5</v>
      </c>
      <c r="K26" s="7" t="n">
        <v>1</v>
      </c>
      <c r="L26" s="7" t="n">
        <v>100</v>
      </c>
      <c r="M26" s="12" t="s">
        <v>21</v>
      </c>
      <c r="N26" s="12" t="s">
        <v>21</v>
      </c>
      <c r="O26" s="12" t="s">
        <v>21</v>
      </c>
      <c r="P26" s="12" t="s">
        <v>21</v>
      </c>
      <c r="Q26" s="12" t="s">
        <v>988</v>
      </c>
    </row>
    <row r="27" customFormat="false" ht="18" hidden="false" customHeight="true" outlineLevel="0" collapsed="false">
      <c r="A27" s="12" t="s">
        <v>967</v>
      </c>
      <c r="B27" s="13" t="n">
        <v>5</v>
      </c>
      <c r="C27" s="12" t="s">
        <v>989</v>
      </c>
      <c r="D27" s="12" t="s">
        <v>870</v>
      </c>
      <c r="E27" s="7" t="n">
        <v>2</v>
      </c>
      <c r="F27" s="7" t="n">
        <v>18</v>
      </c>
      <c r="G27" s="12" t="s">
        <v>21</v>
      </c>
      <c r="H27" s="12" t="s">
        <v>21</v>
      </c>
      <c r="I27" s="12" t="s">
        <v>21</v>
      </c>
      <c r="J27" s="12" t="s">
        <v>21</v>
      </c>
      <c r="K27" s="7" t="n">
        <v>1</v>
      </c>
      <c r="L27" s="7" t="n">
        <v>50</v>
      </c>
      <c r="M27" s="7" t="n">
        <v>1</v>
      </c>
      <c r="N27" s="12" t="s">
        <v>21</v>
      </c>
      <c r="O27" s="12" t="s">
        <v>21</v>
      </c>
      <c r="P27" s="7" t="n">
        <v>0</v>
      </c>
      <c r="Q27" s="12"/>
    </row>
    <row r="28" customFormat="false" ht="30" hidden="false" customHeight="true" outlineLevel="0" collapsed="false">
      <c r="A28" s="12" t="s">
        <v>968</v>
      </c>
      <c r="B28" s="13" t="n">
        <v>5</v>
      </c>
      <c r="C28" s="12" t="s">
        <v>990</v>
      </c>
      <c r="D28" s="12" t="s">
        <v>870</v>
      </c>
      <c r="E28" s="7" t="n">
        <v>6</v>
      </c>
      <c r="F28" s="7" t="n">
        <v>30</v>
      </c>
      <c r="G28" s="12" t="s">
        <v>983</v>
      </c>
      <c r="H28" s="7" t="n">
        <v>1</v>
      </c>
      <c r="I28" s="7" t="n">
        <v>1</v>
      </c>
      <c r="J28" s="7" t="n">
        <v>7</v>
      </c>
      <c r="K28" s="12" t="s">
        <v>970</v>
      </c>
      <c r="L28" s="12" t="s">
        <v>21</v>
      </c>
      <c r="M28" s="12" t="s">
        <v>21</v>
      </c>
      <c r="N28" s="12" t="s">
        <v>21</v>
      </c>
      <c r="O28" s="12" t="s">
        <v>21</v>
      </c>
      <c r="P28" s="12" t="s">
        <v>21</v>
      </c>
      <c r="Q28" s="12" t="s">
        <v>991</v>
      </c>
    </row>
    <row r="29" customFormat="false" ht="18" hidden="false" customHeight="true" outlineLevel="0" collapsed="false">
      <c r="A29" s="12" t="s">
        <v>971</v>
      </c>
      <c r="B29" s="13" t="n">
        <v>5</v>
      </c>
      <c r="C29" s="12" t="s">
        <v>466</v>
      </c>
      <c r="D29" s="12" t="s">
        <v>195</v>
      </c>
      <c r="E29" s="7" t="n">
        <v>2</v>
      </c>
      <c r="F29" s="7" t="n">
        <v>20</v>
      </c>
      <c r="G29" s="12" t="s">
        <v>21</v>
      </c>
      <c r="H29" s="12" t="s">
        <v>21</v>
      </c>
      <c r="I29" s="12" t="s">
        <v>21</v>
      </c>
      <c r="J29" s="12" t="s">
        <v>21</v>
      </c>
      <c r="K29" s="7" t="n">
        <v>2</v>
      </c>
      <c r="L29" s="12" t="s">
        <v>21</v>
      </c>
      <c r="M29" s="7" t="n">
        <v>2</v>
      </c>
      <c r="N29" s="12" t="s">
        <v>21</v>
      </c>
      <c r="O29" s="12" t="s">
        <v>21</v>
      </c>
      <c r="P29" s="7" t="n">
        <v>0</v>
      </c>
      <c r="Q29" s="12" t="s">
        <v>992</v>
      </c>
    </row>
    <row r="30" customFormat="false" ht="30" hidden="false" customHeight="true" outlineLevel="0" collapsed="false">
      <c r="A30" s="12" t="s">
        <v>972</v>
      </c>
      <c r="B30" s="13" t="n">
        <v>5</v>
      </c>
      <c r="C30" s="12" t="s">
        <v>993</v>
      </c>
      <c r="D30" s="12" t="s">
        <v>195</v>
      </c>
      <c r="E30" s="7" t="n">
        <v>6</v>
      </c>
      <c r="F30" s="7" t="n">
        <v>60</v>
      </c>
      <c r="G30" s="7" t="n">
        <v>5</v>
      </c>
      <c r="H30" s="7" t="n">
        <v>1</v>
      </c>
      <c r="I30" s="7" t="n">
        <v>2</v>
      </c>
      <c r="J30" s="7" t="n">
        <v>9</v>
      </c>
      <c r="K30" s="7" t="n">
        <v>0</v>
      </c>
      <c r="L30" s="7" t="n">
        <v>25</v>
      </c>
      <c r="M30" s="12" t="s">
        <v>21</v>
      </c>
      <c r="N30" s="7" t="n">
        <v>5</v>
      </c>
      <c r="O30" s="7" t="n">
        <v>60</v>
      </c>
      <c r="P30" s="12" t="s">
        <v>21</v>
      </c>
      <c r="Q30" s="12" t="s">
        <v>994</v>
      </c>
    </row>
    <row r="31" customFormat="false" ht="30" hidden="false" customHeight="true" outlineLevel="0" collapsed="false">
      <c r="A31" s="12" t="s">
        <v>973</v>
      </c>
      <c r="B31" s="13" t="n">
        <v>5</v>
      </c>
      <c r="C31" s="12" t="s">
        <v>514</v>
      </c>
      <c r="D31" s="12" t="s">
        <v>195</v>
      </c>
      <c r="E31" s="7" t="n">
        <v>2</v>
      </c>
      <c r="F31" s="7" t="n">
        <v>24</v>
      </c>
      <c r="G31" s="12" t="s">
        <v>21</v>
      </c>
      <c r="H31" s="12" t="s">
        <v>21</v>
      </c>
      <c r="I31" s="12" t="s">
        <v>21</v>
      </c>
      <c r="J31" s="12" t="s">
        <v>21</v>
      </c>
      <c r="K31" s="7" t="n">
        <v>2</v>
      </c>
      <c r="L31" s="7" t="n">
        <v>25</v>
      </c>
      <c r="M31" s="7" t="n">
        <v>2</v>
      </c>
      <c r="N31" s="12" t="s">
        <v>21</v>
      </c>
      <c r="O31" s="12" t="s">
        <v>21</v>
      </c>
      <c r="P31" s="7" t="n">
        <v>0</v>
      </c>
      <c r="Q31" s="12" t="s">
        <v>995</v>
      </c>
    </row>
    <row r="32" customFormat="false" ht="18" hidden="false" customHeight="true" outlineLevel="0" collapsed="false">
      <c r="A32" s="12" t="s">
        <v>966</v>
      </c>
      <c r="B32" s="13" t="n">
        <v>6</v>
      </c>
      <c r="C32" s="12" t="s">
        <v>430</v>
      </c>
      <c r="D32" s="12" t="s">
        <v>195</v>
      </c>
      <c r="E32" s="7" t="n">
        <v>5</v>
      </c>
      <c r="F32" s="7" t="n">
        <v>25</v>
      </c>
      <c r="G32" s="7" t="n">
        <v>5</v>
      </c>
      <c r="H32" s="7" t="n">
        <v>2</v>
      </c>
      <c r="I32" s="7" t="n">
        <v>1</v>
      </c>
      <c r="J32" s="7" t="n">
        <v>6</v>
      </c>
      <c r="K32" s="7" t="n">
        <v>1</v>
      </c>
      <c r="L32" s="7" t="n">
        <v>100</v>
      </c>
      <c r="M32" s="12" t="s">
        <v>21</v>
      </c>
      <c r="N32" s="12" t="s">
        <v>21</v>
      </c>
      <c r="O32" s="12" t="s">
        <v>21</v>
      </c>
      <c r="P32" s="12" t="s">
        <v>21</v>
      </c>
      <c r="Q32" s="12"/>
    </row>
    <row r="33" customFormat="false" ht="30" hidden="false" customHeight="true" outlineLevel="0" collapsed="false">
      <c r="A33" s="12" t="s">
        <v>967</v>
      </c>
      <c r="B33" s="13" t="n">
        <v>6</v>
      </c>
      <c r="C33" s="12" t="s">
        <v>996</v>
      </c>
      <c r="D33" s="12" t="s">
        <v>870</v>
      </c>
      <c r="E33" s="7" t="n">
        <v>2</v>
      </c>
      <c r="F33" s="7" t="n">
        <v>18</v>
      </c>
      <c r="G33" s="12" t="s">
        <v>21</v>
      </c>
      <c r="H33" s="12" t="s">
        <v>21</v>
      </c>
      <c r="I33" s="12" t="s">
        <v>21</v>
      </c>
      <c r="J33" s="12" t="s">
        <v>21</v>
      </c>
      <c r="K33" s="7" t="n">
        <v>1</v>
      </c>
      <c r="L33" s="7" t="n">
        <v>50</v>
      </c>
      <c r="M33" s="7" t="n">
        <v>1</v>
      </c>
      <c r="N33" s="12" t="s">
        <v>21</v>
      </c>
      <c r="O33" s="12" t="s">
        <v>21</v>
      </c>
      <c r="P33" s="7" t="n">
        <v>0</v>
      </c>
      <c r="Q33" s="12"/>
    </row>
    <row r="34" customFormat="false" ht="18" hidden="false" customHeight="true" outlineLevel="0" collapsed="false">
      <c r="A34" s="12" t="s">
        <v>968</v>
      </c>
      <c r="B34" s="13" t="n">
        <v>6</v>
      </c>
      <c r="C34" s="12" t="s">
        <v>456</v>
      </c>
      <c r="D34" s="12" t="s">
        <v>195</v>
      </c>
      <c r="E34" s="7" t="n">
        <v>5</v>
      </c>
      <c r="F34" s="7" t="n">
        <v>35</v>
      </c>
      <c r="G34" s="12" t="s">
        <v>997</v>
      </c>
      <c r="H34" s="7" t="n">
        <v>1</v>
      </c>
      <c r="I34" s="7" t="n">
        <v>2</v>
      </c>
      <c r="J34" s="7" t="n">
        <v>8</v>
      </c>
      <c r="K34" s="12" t="s">
        <v>970</v>
      </c>
      <c r="L34" s="12" t="s">
        <v>21</v>
      </c>
      <c r="M34" s="12" t="s">
        <v>21</v>
      </c>
      <c r="N34" s="12" t="s">
        <v>21</v>
      </c>
      <c r="O34" s="12" t="s">
        <v>21</v>
      </c>
      <c r="P34" s="12" t="s">
        <v>21</v>
      </c>
      <c r="Q34" s="12"/>
    </row>
    <row r="35" customFormat="false" ht="18" hidden="false" customHeight="true" outlineLevel="0" collapsed="false">
      <c r="A35" s="12" t="s">
        <v>971</v>
      </c>
      <c r="B35" s="13" t="n">
        <v>6</v>
      </c>
      <c r="C35" s="12" t="s">
        <v>467</v>
      </c>
      <c r="D35" s="12" t="s">
        <v>195</v>
      </c>
      <c r="E35" s="7" t="n">
        <v>2</v>
      </c>
      <c r="F35" s="7" t="n">
        <v>24</v>
      </c>
      <c r="G35" s="12" t="s">
        <v>21</v>
      </c>
      <c r="H35" s="12" t="s">
        <v>21</v>
      </c>
      <c r="I35" s="12" t="s">
        <v>21</v>
      </c>
      <c r="J35" s="12" t="s">
        <v>21</v>
      </c>
      <c r="K35" s="7" t="n">
        <v>2</v>
      </c>
      <c r="L35" s="12" t="s">
        <v>21</v>
      </c>
      <c r="M35" s="7" t="n">
        <v>2</v>
      </c>
      <c r="N35" s="12" t="s">
        <v>21</v>
      </c>
      <c r="O35" s="12" t="s">
        <v>21</v>
      </c>
      <c r="P35" s="7" t="n">
        <v>0</v>
      </c>
      <c r="Q35" s="12" t="s">
        <v>998</v>
      </c>
    </row>
    <row r="36" customFormat="false" ht="30" hidden="false" customHeight="true" outlineLevel="0" collapsed="false">
      <c r="A36" s="12" t="s">
        <v>972</v>
      </c>
      <c r="B36" s="13" t="n">
        <v>6</v>
      </c>
      <c r="C36" s="12" t="s">
        <v>487</v>
      </c>
      <c r="D36" s="12" t="s">
        <v>195</v>
      </c>
      <c r="E36" s="7" t="n">
        <v>5</v>
      </c>
      <c r="F36" s="7" t="n">
        <v>65</v>
      </c>
      <c r="G36" s="7" t="n">
        <v>5</v>
      </c>
      <c r="H36" s="7" t="n">
        <v>1</v>
      </c>
      <c r="I36" s="7" t="n">
        <v>2</v>
      </c>
      <c r="J36" s="7" t="n">
        <v>10</v>
      </c>
      <c r="K36" s="7" t="n">
        <v>0</v>
      </c>
      <c r="L36" s="7" t="n">
        <v>25</v>
      </c>
      <c r="M36" s="12" t="s">
        <v>21</v>
      </c>
      <c r="N36" s="7" t="n">
        <v>7</v>
      </c>
      <c r="O36" s="7" t="n">
        <v>65</v>
      </c>
      <c r="P36" s="12" t="s">
        <v>21</v>
      </c>
      <c r="Q36" s="12" t="s">
        <v>999</v>
      </c>
    </row>
    <row r="37" customFormat="false" ht="18" hidden="false" customHeight="true" outlineLevel="0" collapsed="false">
      <c r="A37" s="12" t="s">
        <v>973</v>
      </c>
      <c r="B37" s="13" t="n">
        <v>6</v>
      </c>
      <c r="C37" s="12" t="s">
        <v>1000</v>
      </c>
      <c r="D37" s="12" t="s">
        <v>870</v>
      </c>
      <c r="E37" s="7" t="n">
        <v>2</v>
      </c>
      <c r="F37" s="7" t="n">
        <v>24</v>
      </c>
      <c r="G37" s="12" t="s">
        <v>21</v>
      </c>
      <c r="H37" s="12" t="s">
        <v>21</v>
      </c>
      <c r="I37" s="12" t="s">
        <v>21</v>
      </c>
      <c r="J37" s="12" t="s">
        <v>21</v>
      </c>
      <c r="K37" s="7" t="n">
        <v>2</v>
      </c>
      <c r="L37" s="7" t="n">
        <v>25</v>
      </c>
      <c r="M37" s="7" t="n">
        <v>2</v>
      </c>
      <c r="N37" s="12" t="s">
        <v>21</v>
      </c>
      <c r="O37" s="12" t="s">
        <v>21</v>
      </c>
      <c r="P37" s="7" t="n">
        <v>0</v>
      </c>
      <c r="Q37" s="12"/>
    </row>
    <row r="38" customFormat="false" ht="30" hidden="false" customHeight="true" outlineLevel="0" collapsed="false">
      <c r="A38" s="12" t="s">
        <v>966</v>
      </c>
      <c r="B38" s="13" t="n">
        <v>7</v>
      </c>
      <c r="C38" s="12" t="s">
        <v>1001</v>
      </c>
      <c r="D38" s="12" t="s">
        <v>870</v>
      </c>
      <c r="E38" s="7" t="n">
        <v>5</v>
      </c>
      <c r="F38" s="7" t="n">
        <v>25</v>
      </c>
      <c r="G38" s="7" t="n">
        <v>5</v>
      </c>
      <c r="H38" s="7" t="n">
        <v>2</v>
      </c>
      <c r="I38" s="7" t="n">
        <v>1</v>
      </c>
      <c r="J38" s="7" t="n">
        <v>6</v>
      </c>
      <c r="K38" s="7" t="n">
        <v>1</v>
      </c>
      <c r="L38" s="7" t="n">
        <v>100</v>
      </c>
      <c r="M38" s="12" t="s">
        <v>21</v>
      </c>
      <c r="N38" s="12" t="s">
        <v>21</v>
      </c>
      <c r="O38" s="12" t="s">
        <v>21</v>
      </c>
      <c r="P38" s="12" t="s">
        <v>21</v>
      </c>
      <c r="Q38" s="12" t="s">
        <v>1002</v>
      </c>
    </row>
    <row r="39" customFormat="false" ht="18" hidden="false" customHeight="true" outlineLevel="0" collapsed="false">
      <c r="A39" s="12" t="s">
        <v>967</v>
      </c>
      <c r="B39" s="13" t="n">
        <v>7</v>
      </c>
      <c r="C39" s="12" t="s">
        <v>1003</v>
      </c>
      <c r="D39" s="12" t="s">
        <v>870</v>
      </c>
      <c r="E39" s="7" t="n">
        <v>2</v>
      </c>
      <c r="F39" s="7" t="n">
        <v>18</v>
      </c>
      <c r="G39" s="12" t="s">
        <v>21</v>
      </c>
      <c r="H39" s="12" t="s">
        <v>21</v>
      </c>
      <c r="I39" s="12" t="s">
        <v>21</v>
      </c>
      <c r="J39" s="12" t="s">
        <v>21</v>
      </c>
      <c r="K39" s="7" t="n">
        <v>1</v>
      </c>
      <c r="L39" s="7" t="n">
        <v>50</v>
      </c>
      <c r="M39" s="7" t="n">
        <v>1</v>
      </c>
      <c r="N39" s="12" t="s">
        <v>21</v>
      </c>
      <c r="O39" s="12" t="s">
        <v>21</v>
      </c>
      <c r="P39" s="7" t="n">
        <v>0</v>
      </c>
      <c r="Q39" s="12"/>
    </row>
    <row r="40" customFormat="false" ht="30" hidden="false" customHeight="true" outlineLevel="0" collapsed="false">
      <c r="A40" s="12" t="s">
        <v>968</v>
      </c>
      <c r="B40" s="13" t="n">
        <v>7</v>
      </c>
      <c r="C40" s="12" t="s">
        <v>1004</v>
      </c>
      <c r="D40" s="12" t="s">
        <v>870</v>
      </c>
      <c r="E40" s="7" t="n">
        <v>5</v>
      </c>
      <c r="F40" s="7" t="n">
        <v>35</v>
      </c>
      <c r="G40" s="12" t="s">
        <v>997</v>
      </c>
      <c r="H40" s="7" t="n">
        <v>1</v>
      </c>
      <c r="I40" s="7" t="n">
        <v>2</v>
      </c>
      <c r="J40" s="7" t="n">
        <v>8</v>
      </c>
      <c r="K40" s="12" t="s">
        <v>970</v>
      </c>
      <c r="L40" s="12" t="s">
        <v>21</v>
      </c>
      <c r="M40" s="12" t="s">
        <v>21</v>
      </c>
      <c r="N40" s="12" t="s">
        <v>21</v>
      </c>
      <c r="O40" s="12" t="s">
        <v>21</v>
      </c>
      <c r="P40" s="12" t="s">
        <v>21</v>
      </c>
      <c r="Q40" s="12" t="s">
        <v>1005</v>
      </c>
    </row>
    <row r="41" customFormat="false" ht="18" hidden="false" customHeight="true" outlineLevel="0" collapsed="false">
      <c r="A41" s="12" t="s">
        <v>971</v>
      </c>
      <c r="B41" s="13" t="n">
        <v>7</v>
      </c>
      <c r="C41" s="12" t="s">
        <v>1006</v>
      </c>
      <c r="D41" s="12" t="s">
        <v>870</v>
      </c>
      <c r="E41" s="7" t="n">
        <v>2</v>
      </c>
      <c r="F41" s="7" t="n">
        <v>24</v>
      </c>
      <c r="G41" s="12" t="s">
        <v>21</v>
      </c>
      <c r="H41" s="12" t="s">
        <v>21</v>
      </c>
      <c r="I41" s="12" t="s">
        <v>21</v>
      </c>
      <c r="J41" s="12" t="s">
        <v>21</v>
      </c>
      <c r="K41" s="7" t="n">
        <v>2</v>
      </c>
      <c r="L41" s="12" t="s">
        <v>21</v>
      </c>
      <c r="M41" s="7" t="n">
        <v>2</v>
      </c>
      <c r="N41" s="12" t="s">
        <v>21</v>
      </c>
      <c r="O41" s="12" t="s">
        <v>21</v>
      </c>
      <c r="P41" s="7" t="n">
        <v>0</v>
      </c>
      <c r="Q41" s="12"/>
    </row>
    <row r="42" customFormat="false" ht="30" hidden="false" customHeight="true" outlineLevel="0" collapsed="false">
      <c r="A42" s="12" t="s">
        <v>972</v>
      </c>
      <c r="B42" s="13" t="n">
        <v>7</v>
      </c>
      <c r="C42" s="12" t="s">
        <v>488</v>
      </c>
      <c r="D42" s="12" t="s">
        <v>195</v>
      </c>
      <c r="E42" s="7" t="n">
        <v>5</v>
      </c>
      <c r="F42" s="7" t="n">
        <v>65</v>
      </c>
      <c r="G42" s="7" t="n">
        <v>5</v>
      </c>
      <c r="H42" s="7" t="n">
        <v>1</v>
      </c>
      <c r="I42" s="7" t="n">
        <v>2</v>
      </c>
      <c r="J42" s="7" t="n">
        <v>10</v>
      </c>
      <c r="K42" s="7" t="n">
        <v>0</v>
      </c>
      <c r="L42" s="7" t="n">
        <v>25</v>
      </c>
      <c r="M42" s="12" t="s">
        <v>21</v>
      </c>
      <c r="N42" s="7" t="n">
        <v>8</v>
      </c>
      <c r="O42" s="7" t="n">
        <v>65</v>
      </c>
      <c r="P42" s="12" t="s">
        <v>21</v>
      </c>
      <c r="Q42" s="12" t="s">
        <v>1007</v>
      </c>
    </row>
    <row r="43" customFormat="false" ht="18" hidden="false" customHeight="true" outlineLevel="0" collapsed="false">
      <c r="A43" s="12" t="s">
        <v>973</v>
      </c>
      <c r="B43" s="13" t="n">
        <v>7</v>
      </c>
      <c r="C43" s="12" t="s">
        <v>515</v>
      </c>
      <c r="D43" s="12" t="s">
        <v>195</v>
      </c>
      <c r="E43" s="7" t="n">
        <v>2</v>
      </c>
      <c r="F43" s="7" t="n">
        <v>28</v>
      </c>
      <c r="G43" s="12" t="s">
        <v>21</v>
      </c>
      <c r="H43" s="12" t="s">
        <v>21</v>
      </c>
      <c r="I43" s="12" t="s">
        <v>21</v>
      </c>
      <c r="J43" s="12" t="s">
        <v>21</v>
      </c>
      <c r="K43" s="7" t="n">
        <v>2</v>
      </c>
      <c r="L43" s="7" t="n">
        <v>25</v>
      </c>
      <c r="M43" s="7" t="n">
        <v>2</v>
      </c>
      <c r="N43" s="12" t="s">
        <v>21</v>
      </c>
      <c r="O43" s="12" t="s">
        <v>21</v>
      </c>
      <c r="P43" s="7" t="n">
        <v>1</v>
      </c>
      <c r="Q43" s="12"/>
    </row>
    <row r="44" customFormat="false" ht="18" hidden="false" customHeight="true" outlineLevel="0" collapsed="false">
      <c r="A44" s="12" t="s">
        <v>966</v>
      </c>
      <c r="B44" s="13" t="n">
        <v>8</v>
      </c>
      <c r="C44" s="12" t="s">
        <v>432</v>
      </c>
      <c r="D44" s="12" t="s">
        <v>195</v>
      </c>
      <c r="E44" s="7" t="n">
        <v>5</v>
      </c>
      <c r="F44" s="7" t="n">
        <v>25</v>
      </c>
      <c r="G44" s="7" t="n">
        <v>6</v>
      </c>
      <c r="H44" s="7" t="n">
        <v>2</v>
      </c>
      <c r="I44" s="7" t="n">
        <v>2</v>
      </c>
      <c r="J44" s="7" t="n">
        <v>7</v>
      </c>
      <c r="K44" s="7" t="n">
        <v>2</v>
      </c>
      <c r="L44" s="7" t="n">
        <v>100</v>
      </c>
      <c r="M44" s="12" t="s">
        <v>21</v>
      </c>
      <c r="N44" s="12" t="s">
        <v>21</v>
      </c>
      <c r="O44" s="12" t="s">
        <v>21</v>
      </c>
      <c r="P44" s="12" t="s">
        <v>21</v>
      </c>
      <c r="Q44" s="12"/>
    </row>
    <row r="45" customFormat="false" ht="18" hidden="false" customHeight="true" outlineLevel="0" collapsed="false">
      <c r="A45" s="12" t="s">
        <v>967</v>
      </c>
      <c r="B45" s="13" t="n">
        <v>8</v>
      </c>
      <c r="C45" s="12" t="s">
        <v>1003</v>
      </c>
      <c r="D45" s="12" t="s">
        <v>870</v>
      </c>
      <c r="E45" s="7" t="n">
        <v>2</v>
      </c>
      <c r="F45" s="7" t="n">
        <v>18</v>
      </c>
      <c r="G45" s="12" t="s">
        <v>21</v>
      </c>
      <c r="H45" s="12" t="s">
        <v>21</v>
      </c>
      <c r="I45" s="12" t="s">
        <v>21</v>
      </c>
      <c r="J45" s="12" t="s">
        <v>21</v>
      </c>
      <c r="K45" s="7" t="n">
        <v>1</v>
      </c>
      <c r="L45" s="7" t="n">
        <v>50</v>
      </c>
      <c r="M45" s="7" t="n">
        <v>1</v>
      </c>
      <c r="N45" s="12" t="s">
        <v>21</v>
      </c>
      <c r="O45" s="12" t="s">
        <v>21</v>
      </c>
      <c r="P45" s="7" t="n">
        <v>0</v>
      </c>
      <c r="Q45" s="12"/>
    </row>
    <row r="46" customFormat="false" ht="18" hidden="false" customHeight="true" outlineLevel="0" collapsed="false">
      <c r="A46" s="12" t="s">
        <v>968</v>
      </c>
      <c r="B46" s="13" t="n">
        <v>8</v>
      </c>
      <c r="C46" s="12" t="s">
        <v>458</v>
      </c>
      <c r="D46" s="12" t="s">
        <v>195</v>
      </c>
      <c r="E46" s="7" t="n">
        <v>5</v>
      </c>
      <c r="F46" s="7" t="n">
        <v>35</v>
      </c>
      <c r="G46" s="12" t="s">
        <v>1008</v>
      </c>
      <c r="H46" s="7" t="n">
        <v>2</v>
      </c>
      <c r="I46" s="7" t="n">
        <v>2</v>
      </c>
      <c r="J46" s="7" t="n">
        <v>9</v>
      </c>
      <c r="K46" s="12" t="s">
        <v>1009</v>
      </c>
      <c r="L46" s="12" t="s">
        <v>21</v>
      </c>
      <c r="M46" s="12" t="s">
        <v>21</v>
      </c>
      <c r="N46" s="12" t="s">
        <v>21</v>
      </c>
      <c r="O46" s="12" t="s">
        <v>21</v>
      </c>
      <c r="P46" s="12" t="s">
        <v>21</v>
      </c>
      <c r="Q46" s="12"/>
    </row>
    <row r="47" customFormat="false" ht="18" hidden="false" customHeight="true" outlineLevel="0" collapsed="false">
      <c r="A47" s="12" t="s">
        <v>971</v>
      </c>
      <c r="B47" s="13" t="n">
        <v>8</v>
      </c>
      <c r="C47" s="12" t="s">
        <v>1006</v>
      </c>
      <c r="D47" s="12" t="s">
        <v>870</v>
      </c>
      <c r="E47" s="7" t="n">
        <v>2</v>
      </c>
      <c r="F47" s="7" t="n">
        <v>24</v>
      </c>
      <c r="G47" s="12" t="s">
        <v>21</v>
      </c>
      <c r="H47" s="12" t="s">
        <v>21</v>
      </c>
      <c r="I47" s="12" t="s">
        <v>21</v>
      </c>
      <c r="J47" s="12" t="s">
        <v>21</v>
      </c>
      <c r="K47" s="7" t="n">
        <v>2</v>
      </c>
      <c r="L47" s="12" t="s">
        <v>21</v>
      </c>
      <c r="M47" s="7" t="n">
        <v>2</v>
      </c>
      <c r="N47" s="12" t="s">
        <v>21</v>
      </c>
      <c r="O47" s="12" t="s">
        <v>21</v>
      </c>
      <c r="P47" s="7" t="n">
        <v>0</v>
      </c>
      <c r="Q47" s="12"/>
    </row>
    <row r="48" customFormat="false" ht="30" hidden="false" customHeight="true" outlineLevel="0" collapsed="false">
      <c r="A48" s="12" t="s">
        <v>972</v>
      </c>
      <c r="B48" s="13" t="n">
        <v>8</v>
      </c>
      <c r="C48" s="12" t="s">
        <v>1010</v>
      </c>
      <c r="D48" s="12" t="s">
        <v>195</v>
      </c>
      <c r="E48" s="7" t="n">
        <v>5</v>
      </c>
      <c r="F48" s="7" t="n">
        <v>70</v>
      </c>
      <c r="G48" s="7" t="n">
        <v>5</v>
      </c>
      <c r="H48" s="7" t="n">
        <v>1</v>
      </c>
      <c r="I48" s="7" t="n">
        <v>2</v>
      </c>
      <c r="J48" s="7" t="n">
        <v>10</v>
      </c>
      <c r="K48" s="7" t="n">
        <v>0</v>
      </c>
      <c r="L48" s="7" t="n">
        <v>25</v>
      </c>
      <c r="M48" s="12" t="s">
        <v>21</v>
      </c>
      <c r="N48" s="7" t="n">
        <v>8</v>
      </c>
      <c r="O48" s="7" t="n">
        <v>70</v>
      </c>
      <c r="P48" s="12" t="s">
        <v>21</v>
      </c>
      <c r="Q48" s="12" t="s">
        <v>1011</v>
      </c>
    </row>
    <row r="49" customFormat="false" ht="18" hidden="false" customHeight="true" outlineLevel="0" collapsed="false">
      <c r="A49" s="12" t="s">
        <v>973</v>
      </c>
      <c r="B49" s="13" t="n">
        <v>8</v>
      </c>
      <c r="C49" s="12" t="s">
        <v>1012</v>
      </c>
      <c r="D49" s="12" t="s">
        <v>870</v>
      </c>
      <c r="E49" s="7" t="n">
        <v>2</v>
      </c>
      <c r="F49" s="7" t="n">
        <v>28</v>
      </c>
      <c r="G49" s="12" t="s">
        <v>21</v>
      </c>
      <c r="H49" s="12" t="s">
        <v>21</v>
      </c>
      <c r="I49" s="12" t="s">
        <v>21</v>
      </c>
      <c r="J49" s="12" t="s">
        <v>21</v>
      </c>
      <c r="K49" s="7" t="n">
        <v>2</v>
      </c>
      <c r="L49" s="7" t="n">
        <v>25</v>
      </c>
      <c r="M49" s="7" t="n">
        <v>2</v>
      </c>
      <c r="N49" s="12" t="s">
        <v>21</v>
      </c>
      <c r="O49" s="12" t="s">
        <v>21</v>
      </c>
      <c r="P49" s="7" t="n">
        <v>1</v>
      </c>
      <c r="Q49" s="12"/>
    </row>
    <row r="50" customFormat="false" ht="18" hidden="false" customHeight="true" outlineLevel="0" collapsed="false">
      <c r="A50" s="12" t="s">
        <v>966</v>
      </c>
      <c r="B50" s="13" t="n">
        <v>9</v>
      </c>
      <c r="C50" s="12" t="s">
        <v>433</v>
      </c>
      <c r="D50" s="12" t="s">
        <v>195</v>
      </c>
      <c r="E50" s="7" t="n">
        <v>5</v>
      </c>
      <c r="F50" s="7" t="n">
        <v>30</v>
      </c>
      <c r="G50" s="7" t="n">
        <v>7</v>
      </c>
      <c r="H50" s="7" t="n">
        <v>3</v>
      </c>
      <c r="I50" s="7" t="n">
        <v>3</v>
      </c>
      <c r="J50" s="7" t="n">
        <v>8</v>
      </c>
      <c r="K50" s="7" t="n">
        <v>3</v>
      </c>
      <c r="L50" s="7" t="n">
        <v>100</v>
      </c>
      <c r="M50" s="12" t="s">
        <v>21</v>
      </c>
      <c r="N50" s="12" t="s">
        <v>21</v>
      </c>
      <c r="O50" s="12" t="s">
        <v>21</v>
      </c>
      <c r="P50" s="12" t="s">
        <v>21</v>
      </c>
      <c r="Q50" s="12"/>
    </row>
    <row r="51" customFormat="false" ht="30" hidden="false" customHeight="true" outlineLevel="0" collapsed="false">
      <c r="A51" s="12" t="s">
        <v>967</v>
      </c>
      <c r="B51" s="13" t="n">
        <v>9</v>
      </c>
      <c r="C51" s="12" t="s">
        <v>1003</v>
      </c>
      <c r="D51" s="12" t="s">
        <v>870</v>
      </c>
      <c r="E51" s="7" t="n">
        <v>2</v>
      </c>
      <c r="F51" s="7" t="n">
        <v>18</v>
      </c>
      <c r="G51" s="12" t="s">
        <v>21</v>
      </c>
      <c r="H51" s="12" t="s">
        <v>21</v>
      </c>
      <c r="I51" s="12" t="s">
        <v>21</v>
      </c>
      <c r="J51" s="12" t="s">
        <v>21</v>
      </c>
      <c r="K51" s="7" t="n">
        <v>1</v>
      </c>
      <c r="L51" s="7" t="n">
        <v>50</v>
      </c>
      <c r="M51" s="7" t="n">
        <v>1</v>
      </c>
      <c r="N51" s="12" t="s">
        <v>21</v>
      </c>
      <c r="O51" s="12" t="s">
        <v>21</v>
      </c>
      <c r="P51" s="7" t="n">
        <v>0</v>
      </c>
      <c r="Q51" s="12" t="s">
        <v>1013</v>
      </c>
    </row>
    <row r="52" customFormat="false" ht="18" hidden="false" customHeight="true" outlineLevel="0" collapsed="false">
      <c r="A52" s="12" t="s">
        <v>968</v>
      </c>
      <c r="B52" s="13" t="n">
        <v>9</v>
      </c>
      <c r="C52" s="12" t="s">
        <v>459</v>
      </c>
      <c r="D52" s="12" t="s">
        <v>195</v>
      </c>
      <c r="E52" s="7" t="n">
        <v>5</v>
      </c>
      <c r="F52" s="7" t="n">
        <v>40</v>
      </c>
      <c r="G52" s="12" t="s">
        <v>1014</v>
      </c>
      <c r="H52" s="7" t="n">
        <v>2</v>
      </c>
      <c r="I52" s="7" t="n">
        <v>3</v>
      </c>
      <c r="J52" s="7" t="n">
        <v>10</v>
      </c>
      <c r="K52" s="12" t="s">
        <v>1015</v>
      </c>
      <c r="L52" s="12" t="s">
        <v>21</v>
      </c>
      <c r="M52" s="12" t="s">
        <v>21</v>
      </c>
      <c r="N52" s="12" t="s">
        <v>21</v>
      </c>
      <c r="O52" s="12" t="s">
        <v>21</v>
      </c>
      <c r="P52" s="12" t="s">
        <v>21</v>
      </c>
      <c r="Q52" s="12"/>
    </row>
    <row r="53" customFormat="false" ht="18" hidden="false" customHeight="true" outlineLevel="0" collapsed="false">
      <c r="A53" s="12" t="s">
        <v>971</v>
      </c>
      <c r="B53" s="13" t="n">
        <v>9</v>
      </c>
      <c r="C53" s="12" t="s">
        <v>1006</v>
      </c>
      <c r="D53" s="12" t="s">
        <v>870</v>
      </c>
      <c r="E53" s="7" t="n">
        <v>2</v>
      </c>
      <c r="F53" s="7" t="n">
        <v>24</v>
      </c>
      <c r="G53" s="12" t="s">
        <v>21</v>
      </c>
      <c r="H53" s="12" t="s">
        <v>21</v>
      </c>
      <c r="I53" s="12" t="s">
        <v>21</v>
      </c>
      <c r="J53" s="12" t="s">
        <v>21</v>
      </c>
      <c r="K53" s="7" t="n">
        <v>2</v>
      </c>
      <c r="L53" s="12" t="s">
        <v>21</v>
      </c>
      <c r="M53" s="7" t="n">
        <v>2</v>
      </c>
      <c r="N53" s="12" t="s">
        <v>21</v>
      </c>
      <c r="O53" s="12" t="s">
        <v>21</v>
      </c>
      <c r="P53" s="7" t="n">
        <v>0</v>
      </c>
      <c r="Q53" s="12"/>
    </row>
    <row r="54" customFormat="false" ht="30" hidden="false" customHeight="true" outlineLevel="0" collapsed="false">
      <c r="A54" s="12" t="s">
        <v>972</v>
      </c>
      <c r="B54" s="13" t="n">
        <v>9</v>
      </c>
      <c r="C54" s="12" t="s">
        <v>491</v>
      </c>
      <c r="D54" s="12" t="s">
        <v>195</v>
      </c>
      <c r="E54" s="7" t="n">
        <v>5</v>
      </c>
      <c r="F54" s="7" t="n">
        <v>75</v>
      </c>
      <c r="G54" s="7" t="n">
        <v>5</v>
      </c>
      <c r="H54" s="7" t="n">
        <v>1</v>
      </c>
      <c r="I54" s="7" t="n">
        <v>2</v>
      </c>
      <c r="J54" s="7" t="n">
        <v>10</v>
      </c>
      <c r="K54" s="7" t="n">
        <v>0</v>
      </c>
      <c r="L54" s="7" t="n">
        <v>25</v>
      </c>
      <c r="M54" s="12" t="s">
        <v>21</v>
      </c>
      <c r="N54" s="7" t="n">
        <v>9</v>
      </c>
      <c r="O54" s="7" t="n">
        <v>75</v>
      </c>
      <c r="P54" s="12" t="s">
        <v>21</v>
      </c>
      <c r="Q54" s="12" t="s">
        <v>1016</v>
      </c>
    </row>
    <row r="55" customFormat="false" ht="18" hidden="false" customHeight="true" outlineLevel="0" collapsed="false">
      <c r="A55" s="12" t="s">
        <v>973</v>
      </c>
      <c r="B55" s="13" t="n">
        <v>9</v>
      </c>
      <c r="C55" s="12" t="s">
        <v>1012</v>
      </c>
      <c r="D55" s="12" t="s">
        <v>870</v>
      </c>
      <c r="E55" s="7" t="n">
        <v>2</v>
      </c>
      <c r="F55" s="7" t="n">
        <v>28</v>
      </c>
      <c r="G55" s="12" t="s">
        <v>21</v>
      </c>
      <c r="H55" s="12" t="s">
        <v>21</v>
      </c>
      <c r="I55" s="12" t="s">
        <v>21</v>
      </c>
      <c r="J55" s="12" t="s">
        <v>21</v>
      </c>
      <c r="K55" s="7" t="n">
        <v>2</v>
      </c>
      <c r="L55" s="7" t="n">
        <v>25</v>
      </c>
      <c r="M55" s="7" t="n">
        <v>2</v>
      </c>
      <c r="N55" s="12" t="s">
        <v>21</v>
      </c>
      <c r="O55" s="12" t="s">
        <v>21</v>
      </c>
      <c r="P55" s="7" t="n">
        <v>1</v>
      </c>
      <c r="Q55" s="12"/>
    </row>
  </sheetData>
  <autoFilter ref="A1:Q1"/>
  <printOptions headings="false" gridLines="false" gridLinesSet="true" horizontalCentered="false" verticalCentered="false"/>
  <pageMargins left="0.25" right="0.25" top="0.45" bottom="0.4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&amp;CStar Cluster - provisional candidate matrix - no calibration&amp;RPage &amp;P of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5"/>
    <col collapsed="false" customWidth="true" hidden="false" outlineLevel="0" max="4" min="4" style="0" width="48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62"/>
    <col collapsed="false" customWidth="true" hidden="false" outlineLevel="0" max="8" min="8" style="0" width="30"/>
    <col collapsed="false" customWidth="true" hidden="false" outlineLevel="0" max="9" min="9" style="0" width="28"/>
    <col collapsed="false" customWidth="true" hidden="false" outlineLevel="0" max="10" min="10" style="0" width="56"/>
  </cols>
  <sheetData>
    <row r="1" customFormat="false" ht="15" hidden="false" customHeight="false" outlineLevel="0" collapsed="false">
      <c r="A1" s="5" t="s">
        <v>516</v>
      </c>
      <c r="B1" s="5" t="s">
        <v>518</v>
      </c>
      <c r="C1" s="5" t="s">
        <v>14</v>
      </c>
      <c r="D1" s="5" t="s">
        <v>179</v>
      </c>
      <c r="E1" s="5" t="s">
        <v>1017</v>
      </c>
      <c r="F1" s="5" t="s">
        <v>522</v>
      </c>
      <c r="G1" s="5" t="s">
        <v>1018</v>
      </c>
      <c r="H1" s="5" t="s">
        <v>1019</v>
      </c>
      <c r="I1" s="5" t="s">
        <v>180</v>
      </c>
      <c r="J1" s="5" t="s">
        <v>525</v>
      </c>
    </row>
    <row r="2" customFormat="false" ht="45" hidden="false" customHeight="true" outlineLevel="0" collapsed="false">
      <c r="A2" s="12" t="s">
        <v>526</v>
      </c>
      <c r="B2" s="12" t="s">
        <v>38</v>
      </c>
      <c r="C2" s="13" t="n">
        <v>1</v>
      </c>
      <c r="D2" s="12" t="s">
        <v>255</v>
      </c>
      <c r="E2" s="12" t="s">
        <v>221</v>
      </c>
      <c r="F2" s="7" t="n">
        <v>1</v>
      </c>
      <c r="G2" s="12" t="s">
        <v>1020</v>
      </c>
      <c r="H2" s="12" t="s">
        <v>1021</v>
      </c>
      <c r="I2" s="14" t="s">
        <v>1022</v>
      </c>
      <c r="J2" s="12" t="s">
        <v>1023</v>
      </c>
    </row>
    <row r="3" customFormat="false" ht="30" hidden="false" customHeight="true" outlineLevel="0" collapsed="false">
      <c r="A3" s="12" t="s">
        <v>1024</v>
      </c>
      <c r="B3" s="12" t="s">
        <v>130</v>
      </c>
      <c r="C3" s="13" t="n">
        <v>4</v>
      </c>
      <c r="D3" s="12" t="s">
        <v>440</v>
      </c>
      <c r="E3" s="12" t="s">
        <v>436</v>
      </c>
      <c r="F3" s="12" t="s">
        <v>1025</v>
      </c>
      <c r="G3" s="12" t="s">
        <v>1026</v>
      </c>
      <c r="H3" s="12" t="s">
        <v>1027</v>
      </c>
      <c r="I3" s="14" t="s">
        <v>1028</v>
      </c>
      <c r="J3" s="12" t="s">
        <v>1029</v>
      </c>
    </row>
    <row r="4" customFormat="false" ht="30" hidden="false" customHeight="true" outlineLevel="0" collapsed="false">
      <c r="A4" s="12" t="s">
        <v>1030</v>
      </c>
      <c r="B4" s="12" t="s">
        <v>130</v>
      </c>
      <c r="C4" s="13" t="n">
        <v>5</v>
      </c>
      <c r="D4" s="12" t="s">
        <v>441</v>
      </c>
      <c r="E4" s="12" t="s">
        <v>436</v>
      </c>
      <c r="F4" s="12" t="s">
        <v>1025</v>
      </c>
      <c r="G4" s="12" t="s">
        <v>1031</v>
      </c>
      <c r="H4" s="12" t="s">
        <v>1021</v>
      </c>
      <c r="I4" s="14" t="s">
        <v>1028</v>
      </c>
      <c r="J4" s="12" t="s">
        <v>1032</v>
      </c>
    </row>
    <row r="5" customFormat="false" ht="30" hidden="false" customHeight="true" outlineLevel="0" collapsed="false">
      <c r="A5" s="12" t="s">
        <v>1033</v>
      </c>
      <c r="B5" s="12" t="s">
        <v>130</v>
      </c>
      <c r="C5" s="13" t="n">
        <v>6</v>
      </c>
      <c r="D5" s="12" t="s">
        <v>442</v>
      </c>
      <c r="E5" s="12" t="s">
        <v>436</v>
      </c>
      <c r="F5" s="12" t="s">
        <v>1025</v>
      </c>
      <c r="G5" s="14" t="s">
        <v>1034</v>
      </c>
      <c r="H5" s="12" t="s">
        <v>1021</v>
      </c>
      <c r="I5" s="14" t="s">
        <v>1035</v>
      </c>
      <c r="J5" s="12" t="s">
        <v>1036</v>
      </c>
    </row>
    <row r="6" customFormat="false" ht="30" hidden="false" customHeight="true" outlineLevel="0" collapsed="false">
      <c r="A6" s="12" t="s">
        <v>1037</v>
      </c>
      <c r="B6" s="12" t="s">
        <v>130</v>
      </c>
      <c r="C6" s="13" t="n">
        <v>5</v>
      </c>
      <c r="D6" s="12" t="s">
        <v>428</v>
      </c>
      <c r="E6" s="12" t="s">
        <v>270</v>
      </c>
      <c r="F6" s="7" t="n">
        <v>5</v>
      </c>
      <c r="G6" s="14" t="s">
        <v>1038</v>
      </c>
      <c r="H6" s="12" t="s">
        <v>1021</v>
      </c>
      <c r="I6" s="14" t="s">
        <v>1028</v>
      </c>
      <c r="J6" s="12" t="s">
        <v>1039</v>
      </c>
    </row>
    <row r="7" customFormat="false" ht="30" hidden="false" customHeight="true" outlineLevel="0" collapsed="false">
      <c r="A7" s="12" t="s">
        <v>1040</v>
      </c>
      <c r="B7" s="12" t="s">
        <v>130</v>
      </c>
      <c r="C7" s="13" t="n">
        <v>7</v>
      </c>
      <c r="D7" s="12" t="s">
        <v>431</v>
      </c>
      <c r="E7" s="12" t="s">
        <v>270</v>
      </c>
      <c r="F7" s="7" t="n">
        <v>5</v>
      </c>
      <c r="G7" s="14" t="s">
        <v>1041</v>
      </c>
      <c r="H7" s="12" t="s">
        <v>1021</v>
      </c>
      <c r="I7" s="14" t="s">
        <v>1035</v>
      </c>
      <c r="J7" s="12" t="s">
        <v>1042</v>
      </c>
    </row>
    <row r="8" customFormat="false" ht="30" hidden="false" customHeight="true" outlineLevel="0" collapsed="false">
      <c r="A8" s="12" t="s">
        <v>1043</v>
      </c>
      <c r="B8" s="12" t="s">
        <v>38</v>
      </c>
      <c r="C8" s="13" t="n">
        <v>5</v>
      </c>
      <c r="D8" s="12" t="s">
        <v>257</v>
      </c>
      <c r="E8" s="12" t="s">
        <v>221</v>
      </c>
      <c r="F8" s="7" t="n">
        <v>1</v>
      </c>
      <c r="G8" s="14" t="s">
        <v>1044</v>
      </c>
      <c r="H8" s="12" t="s">
        <v>1045</v>
      </c>
      <c r="I8" s="14" t="s">
        <v>1028</v>
      </c>
      <c r="J8" s="12" t="s">
        <v>1046</v>
      </c>
    </row>
    <row r="9" customFormat="false" ht="30" hidden="false" customHeight="true" outlineLevel="0" collapsed="false">
      <c r="A9" s="12" t="s">
        <v>1047</v>
      </c>
      <c r="B9" s="12" t="s">
        <v>38</v>
      </c>
      <c r="C9" s="13" t="n">
        <v>7</v>
      </c>
      <c r="D9" s="12" t="s">
        <v>258</v>
      </c>
      <c r="E9" s="12" t="s">
        <v>221</v>
      </c>
      <c r="F9" s="7" t="n">
        <v>1</v>
      </c>
      <c r="G9" s="14" t="s">
        <v>1048</v>
      </c>
      <c r="H9" s="12" t="s">
        <v>1049</v>
      </c>
      <c r="I9" s="14" t="s">
        <v>1028</v>
      </c>
      <c r="J9" s="12" t="s">
        <v>1050</v>
      </c>
    </row>
    <row r="10" customFormat="false" ht="30" hidden="false" customHeight="true" outlineLevel="0" collapsed="false">
      <c r="A10" s="12" t="s">
        <v>1051</v>
      </c>
      <c r="B10" s="12" t="s">
        <v>38</v>
      </c>
      <c r="C10" s="13" t="n">
        <v>8</v>
      </c>
      <c r="D10" s="12" t="s">
        <v>265</v>
      </c>
      <c r="E10" s="12" t="s">
        <v>221</v>
      </c>
      <c r="F10" s="7" t="n">
        <v>2</v>
      </c>
      <c r="G10" s="14" t="s">
        <v>1052</v>
      </c>
      <c r="H10" s="12" t="s">
        <v>1053</v>
      </c>
      <c r="I10" s="14" t="s">
        <v>1035</v>
      </c>
      <c r="J10" s="12" t="s">
        <v>1054</v>
      </c>
    </row>
    <row r="11" customFormat="false" ht="18" hidden="false" customHeight="true" outlineLevel="0" collapsed="false">
      <c r="A11" s="12" t="s">
        <v>659</v>
      </c>
      <c r="B11" s="12" t="s">
        <v>116</v>
      </c>
      <c r="C11" s="13" t="n">
        <v>3</v>
      </c>
      <c r="D11" s="12" t="s">
        <v>419</v>
      </c>
      <c r="E11" s="12" t="s">
        <v>221</v>
      </c>
      <c r="F11" s="7" t="n">
        <v>1</v>
      </c>
      <c r="G11" s="12" t="s">
        <v>1055</v>
      </c>
      <c r="H11" s="12" t="s">
        <v>1021</v>
      </c>
      <c r="I11" s="12" t="s">
        <v>1056</v>
      </c>
      <c r="J11" s="14" t="s">
        <v>1057</v>
      </c>
    </row>
    <row r="12" customFormat="false" ht="30" hidden="false" customHeight="true" outlineLevel="0" collapsed="false">
      <c r="A12" s="12" t="s">
        <v>1058</v>
      </c>
      <c r="B12" s="12" t="s">
        <v>116</v>
      </c>
      <c r="C12" s="13" t="n">
        <v>5</v>
      </c>
      <c r="D12" s="12" t="s">
        <v>420</v>
      </c>
      <c r="E12" s="12" t="s">
        <v>221</v>
      </c>
      <c r="F12" s="7" t="n">
        <v>1</v>
      </c>
      <c r="G12" s="14" t="s">
        <v>1059</v>
      </c>
      <c r="H12" s="12" t="s">
        <v>1060</v>
      </c>
      <c r="I12" s="14" t="s">
        <v>1028</v>
      </c>
      <c r="J12" s="12" t="s">
        <v>1061</v>
      </c>
    </row>
    <row r="13" customFormat="false" ht="30" hidden="false" customHeight="true" outlineLevel="0" collapsed="false">
      <c r="A13" s="12" t="s">
        <v>1062</v>
      </c>
      <c r="B13" s="12" t="s">
        <v>116</v>
      </c>
      <c r="C13" s="13" t="n">
        <v>7</v>
      </c>
      <c r="D13" s="12" t="s">
        <v>421</v>
      </c>
      <c r="E13" s="12" t="s">
        <v>221</v>
      </c>
      <c r="F13" s="7" t="n">
        <v>1</v>
      </c>
      <c r="G13" s="14" t="s">
        <v>1063</v>
      </c>
      <c r="H13" s="12" t="s">
        <v>1064</v>
      </c>
      <c r="I13" s="14" t="s">
        <v>1035</v>
      </c>
      <c r="J13" s="12" t="s">
        <v>1065</v>
      </c>
    </row>
    <row r="14" customFormat="false" ht="30" hidden="false" customHeight="true" outlineLevel="0" collapsed="false">
      <c r="A14" s="12" t="s">
        <v>1066</v>
      </c>
      <c r="B14" s="12" t="s">
        <v>144</v>
      </c>
      <c r="C14" s="13" t="n">
        <v>5</v>
      </c>
      <c r="D14" s="12" t="s">
        <v>454</v>
      </c>
      <c r="E14" s="12" t="s">
        <v>270</v>
      </c>
      <c r="F14" s="7" t="n">
        <v>6</v>
      </c>
      <c r="G14" s="12" t="s">
        <v>1067</v>
      </c>
      <c r="H14" s="12" t="s">
        <v>1021</v>
      </c>
      <c r="I14" s="14" t="s">
        <v>1028</v>
      </c>
      <c r="J14" s="12" t="s">
        <v>1068</v>
      </c>
    </row>
    <row r="15" customFormat="false" ht="18" hidden="false" customHeight="true" outlineLevel="0" collapsed="false">
      <c r="A15" s="12" t="s">
        <v>1069</v>
      </c>
      <c r="B15" s="12" t="s">
        <v>144</v>
      </c>
      <c r="C15" s="13" t="n">
        <v>5</v>
      </c>
      <c r="D15" s="12" t="s">
        <v>470</v>
      </c>
      <c r="E15" s="12" t="s">
        <v>270</v>
      </c>
      <c r="F15" s="7" t="n">
        <v>6</v>
      </c>
      <c r="G15" s="12" t="s">
        <v>1070</v>
      </c>
      <c r="H15" s="12" t="s">
        <v>1045</v>
      </c>
      <c r="I15" s="14" t="s">
        <v>1028</v>
      </c>
      <c r="J15" s="12" t="s">
        <v>1071</v>
      </c>
    </row>
    <row r="16" customFormat="false" ht="30" hidden="false" customHeight="true" outlineLevel="0" collapsed="false">
      <c r="A16" s="12" t="s">
        <v>1072</v>
      </c>
      <c r="B16" s="12" t="s">
        <v>144</v>
      </c>
      <c r="C16" s="13" t="n">
        <v>6</v>
      </c>
      <c r="D16" s="12" t="s">
        <v>471</v>
      </c>
      <c r="E16" s="12" t="s">
        <v>270</v>
      </c>
      <c r="F16" s="7" t="n">
        <v>6</v>
      </c>
      <c r="G16" s="12" t="s">
        <v>1073</v>
      </c>
      <c r="H16" s="12" t="s">
        <v>1021</v>
      </c>
      <c r="I16" s="14" t="s">
        <v>1028</v>
      </c>
      <c r="J16" s="12" t="s">
        <v>1074</v>
      </c>
    </row>
    <row r="17" customFormat="false" ht="18" hidden="false" customHeight="true" outlineLevel="0" collapsed="false">
      <c r="A17" s="12" t="s">
        <v>1075</v>
      </c>
      <c r="B17" s="12" t="s">
        <v>144</v>
      </c>
      <c r="C17" s="13" t="n">
        <v>6</v>
      </c>
      <c r="D17" s="12" t="s">
        <v>476</v>
      </c>
      <c r="E17" s="12" t="s">
        <v>270</v>
      </c>
      <c r="F17" s="7" t="n">
        <v>6</v>
      </c>
      <c r="G17" s="12" t="s">
        <v>1076</v>
      </c>
      <c r="H17" s="12" t="s">
        <v>1045</v>
      </c>
      <c r="I17" s="14" t="s">
        <v>1028</v>
      </c>
      <c r="J17" s="12" t="s">
        <v>1077</v>
      </c>
    </row>
    <row r="18" customFormat="false" ht="30" hidden="false" customHeight="true" outlineLevel="0" collapsed="false">
      <c r="A18" s="12" t="s">
        <v>1078</v>
      </c>
      <c r="B18" s="12" t="s">
        <v>144</v>
      </c>
      <c r="C18" s="13" t="n">
        <v>7</v>
      </c>
      <c r="D18" s="12" t="s">
        <v>457</v>
      </c>
      <c r="E18" s="12" t="s">
        <v>270</v>
      </c>
      <c r="F18" s="7" t="n">
        <v>5</v>
      </c>
      <c r="G18" s="12" t="s">
        <v>1079</v>
      </c>
      <c r="H18" s="12" t="s">
        <v>1021</v>
      </c>
      <c r="I18" s="14" t="s">
        <v>1028</v>
      </c>
      <c r="J18" s="12" t="s">
        <v>1080</v>
      </c>
    </row>
    <row r="19" customFormat="false" ht="30" hidden="false" customHeight="true" outlineLevel="0" collapsed="false">
      <c r="A19" s="12" t="s">
        <v>1081</v>
      </c>
      <c r="B19" s="12" t="s">
        <v>159</v>
      </c>
      <c r="C19" s="13" t="n">
        <v>2</v>
      </c>
      <c r="D19" s="12" t="s">
        <v>511</v>
      </c>
      <c r="E19" s="12" t="s">
        <v>270</v>
      </c>
      <c r="F19" s="7" t="n">
        <v>2</v>
      </c>
      <c r="G19" s="12" t="s">
        <v>1082</v>
      </c>
      <c r="H19" s="12" t="s">
        <v>1021</v>
      </c>
      <c r="I19" s="14" t="s">
        <v>1028</v>
      </c>
      <c r="J19" s="12" t="s">
        <v>1083</v>
      </c>
    </row>
    <row r="20" customFormat="false" ht="18" hidden="false" customHeight="true" outlineLevel="0" collapsed="false">
      <c r="A20" s="12" t="s">
        <v>1084</v>
      </c>
      <c r="B20" s="12" t="s">
        <v>159</v>
      </c>
      <c r="C20" s="13" t="n">
        <v>3</v>
      </c>
      <c r="D20" s="12" t="s">
        <v>503</v>
      </c>
      <c r="E20" s="12" t="s">
        <v>436</v>
      </c>
      <c r="F20" s="12" t="s">
        <v>1085</v>
      </c>
      <c r="G20" s="12" t="s">
        <v>1086</v>
      </c>
      <c r="H20" s="12" t="s">
        <v>1021</v>
      </c>
      <c r="I20" s="14" t="s">
        <v>1028</v>
      </c>
      <c r="J20" s="12" t="s">
        <v>1087</v>
      </c>
    </row>
    <row r="21" customFormat="false" ht="30" hidden="false" customHeight="true" outlineLevel="0" collapsed="false">
      <c r="A21" s="12" t="s">
        <v>1088</v>
      </c>
      <c r="B21" s="12" t="s">
        <v>159</v>
      </c>
      <c r="C21" s="13" t="n">
        <v>4</v>
      </c>
      <c r="D21" s="12" t="s">
        <v>504</v>
      </c>
      <c r="E21" s="12" t="s">
        <v>436</v>
      </c>
      <c r="F21" s="12" t="s">
        <v>1085</v>
      </c>
      <c r="G21" s="12" t="s">
        <v>1089</v>
      </c>
      <c r="H21" s="12" t="s">
        <v>1021</v>
      </c>
      <c r="I21" s="14" t="s">
        <v>1028</v>
      </c>
      <c r="J21" s="12" t="s">
        <v>1090</v>
      </c>
    </row>
    <row r="22" customFormat="false" ht="45" hidden="false" customHeight="true" outlineLevel="0" collapsed="false">
      <c r="A22" s="12" t="s">
        <v>1091</v>
      </c>
      <c r="B22" s="12" t="s">
        <v>159</v>
      </c>
      <c r="C22" s="13" t="n">
        <v>5</v>
      </c>
      <c r="D22" s="12" t="s">
        <v>486</v>
      </c>
      <c r="E22" s="12" t="s">
        <v>1092</v>
      </c>
      <c r="F22" s="12" t="s">
        <v>1093</v>
      </c>
      <c r="G22" s="14" t="s">
        <v>1094</v>
      </c>
      <c r="H22" s="12" t="s">
        <v>1021</v>
      </c>
      <c r="I22" s="14" t="s">
        <v>1035</v>
      </c>
      <c r="J22" s="12" t="s">
        <v>1095</v>
      </c>
    </row>
    <row r="23" customFormat="false" ht="30" hidden="false" customHeight="true" outlineLevel="0" collapsed="false">
      <c r="A23" s="12" t="s">
        <v>1096</v>
      </c>
      <c r="B23" s="12" t="s">
        <v>159</v>
      </c>
      <c r="C23" s="13" t="n">
        <v>5</v>
      </c>
      <c r="D23" s="12" t="s">
        <v>505</v>
      </c>
      <c r="E23" s="12" t="s">
        <v>436</v>
      </c>
      <c r="F23" s="12" t="s">
        <v>1085</v>
      </c>
      <c r="G23" s="12" t="s">
        <v>1097</v>
      </c>
      <c r="H23" s="12" t="s">
        <v>891</v>
      </c>
      <c r="I23" s="14" t="s">
        <v>1028</v>
      </c>
      <c r="J23" s="12" t="s">
        <v>1098</v>
      </c>
    </row>
    <row r="24" customFormat="false" ht="30" hidden="false" customHeight="true" outlineLevel="0" collapsed="false">
      <c r="A24" s="12" t="s">
        <v>1099</v>
      </c>
      <c r="B24" s="12" t="s">
        <v>159</v>
      </c>
      <c r="C24" s="13" t="n">
        <v>7</v>
      </c>
      <c r="D24" s="12" t="s">
        <v>507</v>
      </c>
      <c r="E24" s="12" t="s">
        <v>436</v>
      </c>
      <c r="F24" s="12" t="s">
        <v>1085</v>
      </c>
      <c r="G24" s="12" t="s">
        <v>1100</v>
      </c>
      <c r="H24" s="12" t="s">
        <v>894</v>
      </c>
      <c r="I24" s="14" t="s">
        <v>1028</v>
      </c>
      <c r="J24" s="12" t="s">
        <v>1101</v>
      </c>
    </row>
    <row r="25" customFormat="false" ht="30" hidden="false" customHeight="true" outlineLevel="0" collapsed="false">
      <c r="A25" s="12" t="s">
        <v>1102</v>
      </c>
      <c r="B25" s="12" t="s">
        <v>159</v>
      </c>
      <c r="C25" s="13" t="n">
        <v>8</v>
      </c>
      <c r="D25" s="12" t="s">
        <v>489</v>
      </c>
      <c r="E25" s="12" t="s">
        <v>1092</v>
      </c>
      <c r="F25" s="12" t="s">
        <v>1093</v>
      </c>
      <c r="G25" s="14" t="s">
        <v>1103</v>
      </c>
      <c r="H25" s="12" t="s">
        <v>1104</v>
      </c>
      <c r="I25" s="14" t="s">
        <v>1035</v>
      </c>
      <c r="J25" s="12" t="s">
        <v>1105</v>
      </c>
    </row>
    <row r="26" customFormat="false" ht="30" hidden="false" customHeight="true" outlineLevel="0" collapsed="false">
      <c r="A26" s="12" t="s">
        <v>1106</v>
      </c>
      <c r="B26" s="12" t="s">
        <v>52</v>
      </c>
      <c r="C26" s="13" t="n">
        <v>5</v>
      </c>
      <c r="D26" s="12" t="s">
        <v>283</v>
      </c>
      <c r="E26" s="12" t="s">
        <v>270</v>
      </c>
      <c r="F26" s="7" t="n">
        <v>5</v>
      </c>
      <c r="G26" s="12" t="s">
        <v>1107</v>
      </c>
      <c r="H26" s="12" t="s">
        <v>1021</v>
      </c>
      <c r="I26" s="14" t="s">
        <v>1028</v>
      </c>
      <c r="J26" s="12" t="s">
        <v>1108</v>
      </c>
    </row>
    <row r="27" customFormat="false" ht="30" hidden="false" customHeight="true" outlineLevel="0" collapsed="false">
      <c r="A27" s="12" t="s">
        <v>1109</v>
      </c>
      <c r="B27" s="12" t="s">
        <v>52</v>
      </c>
      <c r="C27" s="13" t="n">
        <v>7</v>
      </c>
      <c r="D27" s="12" t="s">
        <v>287</v>
      </c>
      <c r="E27" s="12" t="s">
        <v>270</v>
      </c>
      <c r="F27" s="7" t="n">
        <v>4</v>
      </c>
      <c r="G27" s="12" t="s">
        <v>1110</v>
      </c>
      <c r="H27" s="12" t="s">
        <v>1021</v>
      </c>
      <c r="I27" s="14" t="s">
        <v>1028</v>
      </c>
      <c r="J27" s="12" t="s">
        <v>1111</v>
      </c>
    </row>
    <row r="28" customFormat="false" ht="30" hidden="false" customHeight="true" outlineLevel="0" collapsed="false">
      <c r="A28" s="12" t="s">
        <v>1112</v>
      </c>
      <c r="B28" s="12" t="s">
        <v>52</v>
      </c>
      <c r="C28" s="13" t="n">
        <v>2</v>
      </c>
      <c r="D28" s="12" t="s">
        <v>290</v>
      </c>
      <c r="E28" s="12" t="s">
        <v>221</v>
      </c>
      <c r="F28" s="7" t="n">
        <v>1</v>
      </c>
      <c r="G28" s="14" t="s">
        <v>1113</v>
      </c>
      <c r="H28" s="12" t="s">
        <v>1021</v>
      </c>
      <c r="I28" s="14" t="s">
        <v>1028</v>
      </c>
      <c r="J28" s="12" t="s">
        <v>1114</v>
      </c>
    </row>
    <row r="29" customFormat="false" ht="18" hidden="false" customHeight="true" outlineLevel="0" collapsed="false">
      <c r="A29" s="12" t="s">
        <v>1115</v>
      </c>
      <c r="B29" s="12" t="s">
        <v>52</v>
      </c>
      <c r="C29" s="13" t="n">
        <v>4</v>
      </c>
      <c r="D29" s="12" t="s">
        <v>291</v>
      </c>
      <c r="E29" s="12" t="s">
        <v>221</v>
      </c>
      <c r="F29" s="7" t="n">
        <v>1</v>
      </c>
      <c r="G29" s="14" t="s">
        <v>1116</v>
      </c>
      <c r="H29" s="12" t="s">
        <v>1021</v>
      </c>
      <c r="I29" s="14" t="s">
        <v>1028</v>
      </c>
      <c r="J29" s="12" t="s">
        <v>1117</v>
      </c>
    </row>
    <row r="30" customFormat="false" ht="18" hidden="false" customHeight="true" outlineLevel="0" collapsed="false">
      <c r="A30" s="12" t="s">
        <v>1118</v>
      </c>
      <c r="B30" s="12" t="s">
        <v>52</v>
      </c>
      <c r="C30" s="13" t="n">
        <v>6</v>
      </c>
      <c r="D30" s="12" t="s">
        <v>292</v>
      </c>
      <c r="E30" s="12" t="s">
        <v>221</v>
      </c>
      <c r="F30" s="7" t="n">
        <v>1</v>
      </c>
      <c r="G30" s="14" t="s">
        <v>1119</v>
      </c>
      <c r="H30" s="12" t="s">
        <v>1021</v>
      </c>
      <c r="I30" s="14" t="s">
        <v>1028</v>
      </c>
      <c r="J30" s="12" t="s">
        <v>1120</v>
      </c>
    </row>
    <row r="31" customFormat="false" ht="30" hidden="false" customHeight="true" outlineLevel="0" collapsed="false">
      <c r="A31" s="12" t="s">
        <v>1121</v>
      </c>
      <c r="B31" s="12" t="s">
        <v>18</v>
      </c>
      <c r="C31" s="13" t="n">
        <v>4</v>
      </c>
      <c r="D31" s="12" t="s">
        <v>220</v>
      </c>
      <c r="E31" s="12" t="s">
        <v>221</v>
      </c>
      <c r="F31" s="7" t="n">
        <v>1</v>
      </c>
      <c r="G31" s="14" t="s">
        <v>1122</v>
      </c>
      <c r="H31" s="12" t="s">
        <v>1123</v>
      </c>
      <c r="I31" s="14" t="s">
        <v>1035</v>
      </c>
      <c r="J31" s="12" t="s">
        <v>1124</v>
      </c>
    </row>
    <row r="32" customFormat="false" ht="30" hidden="false" customHeight="true" outlineLevel="0" collapsed="false">
      <c r="A32" s="12" t="s">
        <v>1125</v>
      </c>
      <c r="B32" s="12" t="s">
        <v>18</v>
      </c>
      <c r="C32" s="13" t="n">
        <v>6</v>
      </c>
      <c r="D32" s="12" t="s">
        <v>225</v>
      </c>
      <c r="E32" s="12" t="s">
        <v>221</v>
      </c>
      <c r="F32" s="7" t="n">
        <v>1</v>
      </c>
      <c r="G32" s="14" t="s">
        <v>1126</v>
      </c>
      <c r="H32" s="12" t="s">
        <v>1049</v>
      </c>
      <c r="I32" s="14" t="s">
        <v>1035</v>
      </c>
      <c r="J32" s="12" t="s">
        <v>1127</v>
      </c>
    </row>
    <row r="33" customFormat="false" ht="18" hidden="false" customHeight="tru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</row>
    <row r="34" customFormat="false" ht="18" hidden="false" customHeight="true" outlineLevel="0" collapsed="false">
      <c r="A34" s="15" t="s">
        <v>1128</v>
      </c>
      <c r="B34" s="12"/>
      <c r="C34" s="12"/>
      <c r="D34" s="12"/>
      <c r="E34" s="12"/>
      <c r="F34" s="12"/>
      <c r="G34" s="12"/>
      <c r="H34" s="12"/>
      <c r="I34" s="12"/>
      <c r="J34" s="12"/>
    </row>
    <row r="35" customFormat="false" ht="45" hidden="false" customHeight="true" outlineLevel="0" collapsed="false">
      <c r="A35" s="12" t="s">
        <v>1129</v>
      </c>
      <c r="B35" s="12" t="s">
        <v>70</v>
      </c>
      <c r="C35" s="13" t="n">
        <v>3</v>
      </c>
      <c r="D35" s="12" t="s">
        <v>305</v>
      </c>
      <c r="E35" s="12" t="s">
        <v>1130</v>
      </c>
      <c r="F35" s="12" t="s">
        <v>21</v>
      </c>
      <c r="G35" s="12" t="s">
        <v>1131</v>
      </c>
      <c r="H35" s="12" t="s">
        <v>891</v>
      </c>
      <c r="I35" s="14" t="s">
        <v>1132</v>
      </c>
      <c r="J35" s="12" t="s">
        <v>1133</v>
      </c>
    </row>
    <row r="36" customFormat="false" ht="45" hidden="false" customHeight="true" outlineLevel="0" collapsed="false">
      <c r="A36" s="12" t="s">
        <v>1134</v>
      </c>
      <c r="B36" s="12" t="s">
        <v>70</v>
      </c>
      <c r="C36" s="13" t="n">
        <v>5</v>
      </c>
      <c r="D36" s="12" t="s">
        <v>307</v>
      </c>
      <c r="E36" s="12" t="s">
        <v>1130</v>
      </c>
      <c r="F36" s="12" t="s">
        <v>21</v>
      </c>
      <c r="G36" s="12" t="s">
        <v>1131</v>
      </c>
      <c r="H36" s="12" t="s">
        <v>894</v>
      </c>
      <c r="I36" s="14" t="s">
        <v>1132</v>
      </c>
      <c r="J36" s="12" t="s">
        <v>1135</v>
      </c>
    </row>
    <row r="37" customFormat="false" ht="30" hidden="false" customHeight="true" outlineLevel="0" collapsed="false">
      <c r="A37" s="12" t="s">
        <v>1136</v>
      </c>
      <c r="B37" s="12" t="s">
        <v>70</v>
      </c>
      <c r="C37" s="13" t="n">
        <v>6</v>
      </c>
      <c r="D37" s="12" t="s">
        <v>308</v>
      </c>
      <c r="E37" s="12" t="s">
        <v>1130</v>
      </c>
      <c r="F37" s="12" t="s">
        <v>21</v>
      </c>
      <c r="G37" s="12" t="s">
        <v>1131</v>
      </c>
      <c r="H37" s="12" t="s">
        <v>894</v>
      </c>
      <c r="I37" s="14" t="s">
        <v>1132</v>
      </c>
      <c r="J37" s="12" t="s">
        <v>1137</v>
      </c>
    </row>
    <row r="38" customFormat="false" ht="45" hidden="false" customHeight="true" outlineLevel="0" collapsed="false">
      <c r="A38" s="12" t="s">
        <v>1138</v>
      </c>
      <c r="B38" s="12" t="s">
        <v>130</v>
      </c>
      <c r="C38" s="13" t="n">
        <v>4</v>
      </c>
      <c r="D38" s="12" t="s">
        <v>440</v>
      </c>
      <c r="E38" s="12" t="s">
        <v>1139</v>
      </c>
      <c r="F38" s="12" t="s">
        <v>21</v>
      </c>
      <c r="G38" s="12" t="s">
        <v>1131</v>
      </c>
      <c r="H38" s="12" t="s">
        <v>1027</v>
      </c>
      <c r="I38" s="14" t="s">
        <v>1132</v>
      </c>
      <c r="J38" s="12" t="s">
        <v>1140</v>
      </c>
    </row>
    <row r="39" customFormat="false" ht="30" hidden="false" customHeight="true" outlineLevel="0" collapsed="false">
      <c r="A39" s="12" t="s">
        <v>1141</v>
      </c>
      <c r="B39" s="12" t="s">
        <v>38</v>
      </c>
      <c r="C39" s="13" t="n">
        <v>5</v>
      </c>
      <c r="D39" s="12" t="s">
        <v>257</v>
      </c>
      <c r="E39" s="12" t="s">
        <v>1139</v>
      </c>
      <c r="F39" s="12" t="s">
        <v>21</v>
      </c>
      <c r="G39" s="12" t="s">
        <v>1131</v>
      </c>
      <c r="H39" s="12" t="s">
        <v>1045</v>
      </c>
      <c r="I39" s="14" t="s">
        <v>1132</v>
      </c>
      <c r="J39" s="12" t="s">
        <v>1142</v>
      </c>
    </row>
    <row r="40" customFormat="false" ht="45" hidden="false" customHeight="true" outlineLevel="0" collapsed="false">
      <c r="A40" s="12" t="s">
        <v>1143</v>
      </c>
      <c r="B40" s="12" t="s">
        <v>38</v>
      </c>
      <c r="C40" s="13" t="n">
        <v>7</v>
      </c>
      <c r="D40" s="12" t="s">
        <v>258</v>
      </c>
      <c r="E40" s="12" t="s">
        <v>1139</v>
      </c>
      <c r="F40" s="12" t="s">
        <v>21</v>
      </c>
      <c r="G40" s="12" t="s">
        <v>1131</v>
      </c>
      <c r="H40" s="12" t="s">
        <v>1049</v>
      </c>
      <c r="I40" s="14" t="s">
        <v>1132</v>
      </c>
      <c r="J40" s="12" t="s">
        <v>1144</v>
      </c>
    </row>
    <row r="41" customFormat="false" ht="45" hidden="false" customHeight="true" outlineLevel="0" collapsed="false">
      <c r="A41" s="12" t="s">
        <v>1145</v>
      </c>
      <c r="B41" s="12" t="s">
        <v>38</v>
      </c>
      <c r="C41" s="13" t="n">
        <v>8</v>
      </c>
      <c r="D41" s="12" t="s">
        <v>265</v>
      </c>
      <c r="E41" s="12" t="s">
        <v>1139</v>
      </c>
      <c r="F41" s="12" t="s">
        <v>21</v>
      </c>
      <c r="G41" s="12" t="s">
        <v>1131</v>
      </c>
      <c r="H41" s="12" t="s">
        <v>1053</v>
      </c>
      <c r="I41" s="14" t="s">
        <v>1132</v>
      </c>
      <c r="J41" s="12" t="s">
        <v>1146</v>
      </c>
    </row>
    <row r="42" customFormat="false" ht="45" hidden="false" customHeight="true" outlineLevel="0" collapsed="false">
      <c r="A42" s="12" t="s">
        <v>1147</v>
      </c>
      <c r="B42" s="12" t="s">
        <v>144</v>
      </c>
      <c r="C42" s="13" t="n">
        <v>5</v>
      </c>
      <c r="D42" s="12" t="s">
        <v>470</v>
      </c>
      <c r="E42" s="12" t="s">
        <v>1139</v>
      </c>
      <c r="F42" s="12" t="s">
        <v>21</v>
      </c>
      <c r="G42" s="12" t="s">
        <v>1131</v>
      </c>
      <c r="H42" s="12" t="s">
        <v>1045</v>
      </c>
      <c r="I42" s="14" t="s">
        <v>1132</v>
      </c>
      <c r="J42" s="12" t="s">
        <v>1148</v>
      </c>
    </row>
    <row r="43" customFormat="false" ht="30" hidden="false" customHeight="true" outlineLevel="0" collapsed="false">
      <c r="A43" s="12" t="s">
        <v>1149</v>
      </c>
      <c r="B43" s="12" t="s">
        <v>116</v>
      </c>
      <c r="C43" s="13" t="n">
        <v>5</v>
      </c>
      <c r="D43" s="12" t="s">
        <v>420</v>
      </c>
      <c r="E43" s="12" t="s">
        <v>1139</v>
      </c>
      <c r="F43" s="12" t="s">
        <v>21</v>
      </c>
      <c r="G43" s="12" t="s">
        <v>1131</v>
      </c>
      <c r="H43" s="12" t="s">
        <v>1060</v>
      </c>
      <c r="I43" s="14" t="s">
        <v>1132</v>
      </c>
      <c r="J43" s="12" t="s">
        <v>1150</v>
      </c>
    </row>
    <row r="44" customFormat="false" ht="45" hidden="false" customHeight="true" outlineLevel="0" collapsed="false">
      <c r="A44" s="12" t="s">
        <v>1151</v>
      </c>
      <c r="B44" s="12" t="s">
        <v>116</v>
      </c>
      <c r="C44" s="13" t="n">
        <v>7</v>
      </c>
      <c r="D44" s="12" t="s">
        <v>421</v>
      </c>
      <c r="E44" s="12" t="s">
        <v>1139</v>
      </c>
      <c r="F44" s="12" t="s">
        <v>21</v>
      </c>
      <c r="G44" s="12" t="s">
        <v>1131</v>
      </c>
      <c r="H44" s="12" t="s">
        <v>1064</v>
      </c>
      <c r="I44" s="14" t="s">
        <v>1132</v>
      </c>
      <c r="J44" s="12" t="s">
        <v>1152</v>
      </c>
    </row>
    <row r="45" customFormat="false" ht="45" hidden="false" customHeight="true" outlineLevel="0" collapsed="false">
      <c r="A45" s="12" t="s">
        <v>1153</v>
      </c>
      <c r="B45" s="12" t="s">
        <v>159</v>
      </c>
      <c r="C45" s="13" t="n">
        <v>5</v>
      </c>
      <c r="D45" s="12" t="s">
        <v>505</v>
      </c>
      <c r="E45" s="12" t="s">
        <v>1139</v>
      </c>
      <c r="F45" s="12" t="s">
        <v>21</v>
      </c>
      <c r="G45" s="12" t="s">
        <v>1131</v>
      </c>
      <c r="H45" s="12" t="s">
        <v>891</v>
      </c>
      <c r="I45" s="14" t="s">
        <v>1132</v>
      </c>
      <c r="J45" s="12" t="s">
        <v>1154</v>
      </c>
    </row>
    <row r="46" customFormat="false" ht="45" hidden="false" customHeight="true" outlineLevel="0" collapsed="false">
      <c r="A46" s="12" t="s">
        <v>1155</v>
      </c>
      <c r="B46" s="12" t="s">
        <v>159</v>
      </c>
      <c r="C46" s="13" t="n">
        <v>7</v>
      </c>
      <c r="D46" s="12" t="s">
        <v>488</v>
      </c>
      <c r="E46" s="12" t="s">
        <v>1130</v>
      </c>
      <c r="F46" s="12" t="s">
        <v>21</v>
      </c>
      <c r="G46" s="12" t="s">
        <v>1131</v>
      </c>
      <c r="H46" s="12" t="s">
        <v>894</v>
      </c>
      <c r="I46" s="14" t="s">
        <v>1132</v>
      </c>
      <c r="J46" s="12" t="s">
        <v>1156</v>
      </c>
    </row>
    <row r="47" customFormat="false" ht="30" hidden="false" customHeight="true" outlineLevel="0" collapsed="false">
      <c r="A47" s="12" t="s">
        <v>1157</v>
      </c>
      <c r="B47" s="12" t="s">
        <v>159</v>
      </c>
      <c r="C47" s="13" t="n">
        <v>7</v>
      </c>
      <c r="D47" s="12" t="s">
        <v>507</v>
      </c>
      <c r="E47" s="12" t="s">
        <v>1139</v>
      </c>
      <c r="F47" s="12" t="s">
        <v>21</v>
      </c>
      <c r="G47" s="12" t="s">
        <v>1131</v>
      </c>
      <c r="H47" s="12" t="s">
        <v>894</v>
      </c>
      <c r="I47" s="14" t="s">
        <v>1132</v>
      </c>
      <c r="J47" s="12" t="s">
        <v>1158</v>
      </c>
    </row>
    <row r="48" customFormat="false" ht="45" hidden="false" customHeight="true" outlineLevel="0" collapsed="false">
      <c r="A48" s="12" t="s">
        <v>1159</v>
      </c>
      <c r="B48" s="12" t="s">
        <v>159</v>
      </c>
      <c r="C48" s="13" t="n">
        <v>8</v>
      </c>
      <c r="D48" s="12" t="s">
        <v>489</v>
      </c>
      <c r="E48" s="12" t="s">
        <v>1139</v>
      </c>
      <c r="F48" s="12" t="s">
        <v>21</v>
      </c>
      <c r="G48" s="12" t="s">
        <v>1131</v>
      </c>
      <c r="H48" s="12" t="s">
        <v>1104</v>
      </c>
      <c r="I48" s="14" t="s">
        <v>1132</v>
      </c>
      <c r="J48" s="12" t="s">
        <v>1160</v>
      </c>
    </row>
    <row r="49" customFormat="false" ht="45" hidden="false" customHeight="true" outlineLevel="0" collapsed="false">
      <c r="A49" s="12" t="s">
        <v>1161</v>
      </c>
      <c r="B49" s="12" t="s">
        <v>18</v>
      </c>
      <c r="C49" s="13" t="n">
        <v>4</v>
      </c>
      <c r="D49" s="12" t="s">
        <v>220</v>
      </c>
      <c r="E49" s="12" t="s">
        <v>1139</v>
      </c>
      <c r="F49" s="12" t="s">
        <v>21</v>
      </c>
      <c r="G49" s="12" t="s">
        <v>1131</v>
      </c>
      <c r="H49" s="12" t="s">
        <v>1123</v>
      </c>
      <c r="I49" s="14" t="s">
        <v>1132</v>
      </c>
      <c r="J49" s="12" t="s">
        <v>1162</v>
      </c>
    </row>
    <row r="50" customFormat="false" ht="45" hidden="false" customHeight="true" outlineLevel="0" collapsed="false">
      <c r="A50" s="12" t="s">
        <v>1163</v>
      </c>
      <c r="B50" s="12" t="s">
        <v>18</v>
      </c>
      <c r="C50" s="13" t="n">
        <v>6</v>
      </c>
      <c r="D50" s="12" t="s">
        <v>225</v>
      </c>
      <c r="E50" s="12" t="s">
        <v>1139</v>
      </c>
      <c r="F50" s="12" t="s">
        <v>21</v>
      </c>
      <c r="G50" s="12" t="s">
        <v>1131</v>
      </c>
      <c r="H50" s="12" t="s">
        <v>1049</v>
      </c>
      <c r="I50" s="14" t="s">
        <v>1132</v>
      </c>
      <c r="J50" s="12" t="s">
        <v>1164</v>
      </c>
    </row>
  </sheetData>
  <autoFilter ref="A1:J1"/>
  <printOptions headings="false" gridLines="false" gridLinesSet="true" horizontalCentered="false" verticalCentered="false"/>
  <pageMargins left="0.25" right="0.25" top="0.45" bottom="0.4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&amp;CStar Cluster - provisional candidate matrix - no calibration&amp;RPage &amp;P of &amp;N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58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5" t="s">
        <v>729</v>
      </c>
      <c r="B1" s="5" t="s">
        <v>1165</v>
      </c>
      <c r="C1" s="5" t="s">
        <v>1166</v>
      </c>
      <c r="D1" s="5" t="s">
        <v>1167</v>
      </c>
    </row>
    <row r="2" customFormat="false" ht="60" hidden="false" customHeight="true" outlineLevel="0" collapsed="false">
      <c r="A2" s="12" t="s">
        <v>891</v>
      </c>
      <c r="B2" s="12" t="s">
        <v>1168</v>
      </c>
      <c r="C2" s="12" t="s">
        <v>1169</v>
      </c>
      <c r="D2" s="12" t="s">
        <v>1170</v>
      </c>
    </row>
    <row r="3" customFormat="false" ht="45" hidden="false" customHeight="true" outlineLevel="0" collapsed="false">
      <c r="A3" s="12" t="s">
        <v>1171</v>
      </c>
      <c r="B3" s="12" t="s">
        <v>1172</v>
      </c>
      <c r="C3" s="12" t="s">
        <v>1173</v>
      </c>
      <c r="D3" s="12" t="s">
        <v>1174</v>
      </c>
    </row>
    <row r="4" customFormat="false" ht="60" hidden="false" customHeight="true" outlineLevel="0" collapsed="false">
      <c r="A4" s="12" t="s">
        <v>1175</v>
      </c>
      <c r="B4" s="12" t="s">
        <v>1176</v>
      </c>
      <c r="C4" s="12" t="s">
        <v>1177</v>
      </c>
      <c r="D4" s="12" t="s">
        <v>1178</v>
      </c>
    </row>
    <row r="5" customFormat="false" ht="45" hidden="false" customHeight="true" outlineLevel="0" collapsed="false">
      <c r="A5" s="12" t="s">
        <v>1179</v>
      </c>
      <c r="B5" s="12" t="s">
        <v>1180</v>
      </c>
      <c r="C5" s="12" t="s">
        <v>1181</v>
      </c>
      <c r="D5" s="12" t="s">
        <v>1182</v>
      </c>
    </row>
    <row r="6" customFormat="false" ht="45" hidden="false" customHeight="true" outlineLevel="0" collapsed="false">
      <c r="A6" s="12" t="s">
        <v>1183</v>
      </c>
      <c r="B6" s="12" t="s">
        <v>1184</v>
      </c>
      <c r="C6" s="12" t="s">
        <v>1185</v>
      </c>
      <c r="D6" s="12" t="s">
        <v>1186</v>
      </c>
    </row>
    <row r="7" customFormat="false" ht="45" hidden="false" customHeight="true" outlineLevel="0" collapsed="false">
      <c r="A7" s="12" t="s">
        <v>1187</v>
      </c>
      <c r="B7" s="12" t="s">
        <v>1188</v>
      </c>
      <c r="C7" s="12" t="s">
        <v>1189</v>
      </c>
      <c r="D7" s="12" t="s">
        <v>1190</v>
      </c>
    </row>
    <row r="8" customFormat="false" ht="45" hidden="false" customHeight="true" outlineLevel="0" collapsed="false">
      <c r="A8" s="12" t="s">
        <v>1191</v>
      </c>
      <c r="B8" s="12" t="s">
        <v>1192</v>
      </c>
      <c r="C8" s="12" t="s">
        <v>1193</v>
      </c>
      <c r="D8" s="12" t="s">
        <v>1194</v>
      </c>
    </row>
  </sheetData>
  <autoFilter ref="A1:D1"/>
  <printOptions headings="false" gridLines="false" gridLinesSet="true" horizontalCentered="false" verticalCentered="false"/>
  <pageMargins left="0.25" right="0.25" top="0.45" bottom="0.4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&amp;CStar Cluster - provisional candidate matrix - no calibration&amp;RPage &amp;P of &amp;N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12"/>
  </cols>
  <sheetData>
    <row r="1" customFormat="false" ht="41.75" hidden="false" customHeight="false" outlineLevel="0" collapsed="false">
      <c r="A1" s="5" t="s">
        <v>14</v>
      </c>
      <c r="B1" s="5" t="s">
        <v>848</v>
      </c>
      <c r="C1" s="5" t="s">
        <v>1195</v>
      </c>
      <c r="D1" s="5" t="s">
        <v>1196</v>
      </c>
      <c r="E1" s="5" t="s">
        <v>1197</v>
      </c>
      <c r="F1" s="5" t="s">
        <v>1198</v>
      </c>
      <c r="G1" s="5" t="s">
        <v>1199</v>
      </c>
      <c r="H1" s="5" t="s">
        <v>1200</v>
      </c>
      <c r="I1" s="5" t="s">
        <v>1201</v>
      </c>
      <c r="J1" s="5" t="s">
        <v>1202</v>
      </c>
      <c r="K1" s="5" t="s">
        <v>1203</v>
      </c>
      <c r="L1" s="5" t="s">
        <v>1204</v>
      </c>
    </row>
    <row r="2" customFormat="false" ht="18" hidden="false" customHeight="true" outlineLevel="0" collapsed="false">
      <c r="A2" s="7" t="n">
        <v>1</v>
      </c>
      <c r="B2" s="13" t="n">
        <v>35</v>
      </c>
      <c r="C2" s="13" t="n">
        <v>6</v>
      </c>
      <c r="D2" s="7" t="n">
        <v>6</v>
      </c>
      <c r="E2" s="7" t="n">
        <v>5</v>
      </c>
      <c r="F2" s="7" t="n">
        <v>5</v>
      </c>
      <c r="G2" s="7" t="n">
        <v>3</v>
      </c>
      <c r="H2" s="7" t="n">
        <v>3</v>
      </c>
      <c r="I2" s="16" t="n">
        <f aca="false">SUM(C2:H2)</f>
        <v>28</v>
      </c>
      <c r="J2" s="16" t="n">
        <f aca="false">B2-I2</f>
        <v>7</v>
      </c>
      <c r="K2" s="16" t="n">
        <f aca="false">2*C2+2*D2+SUM(E2:H2)</f>
        <v>40</v>
      </c>
      <c r="L2" s="16" t="str">
        <f aca="false">IF(K2&lt;=B2,"Yes","No")</f>
        <v>No</v>
      </c>
    </row>
    <row r="3" customFormat="false" ht="18" hidden="false" customHeight="true" outlineLevel="0" collapsed="false">
      <c r="A3" s="7" t="n">
        <v>2</v>
      </c>
      <c r="B3" s="13" t="n">
        <v>35</v>
      </c>
      <c r="C3" s="13" t="n">
        <v>6</v>
      </c>
      <c r="D3" s="7" t="n">
        <v>6</v>
      </c>
      <c r="E3" s="7" t="n">
        <v>5</v>
      </c>
      <c r="F3" s="7" t="n">
        <v>5</v>
      </c>
      <c r="G3" s="7" t="n">
        <v>3</v>
      </c>
      <c r="H3" s="7" t="n">
        <v>3</v>
      </c>
      <c r="I3" s="16" t="n">
        <f aca="false">SUM(C3:H3)</f>
        <v>28</v>
      </c>
      <c r="J3" s="16" t="n">
        <f aca="false">B3-I3</f>
        <v>7</v>
      </c>
      <c r="K3" s="16" t="n">
        <f aca="false">2*C3+2*D3+SUM(E3:H3)</f>
        <v>40</v>
      </c>
      <c r="L3" s="16" t="str">
        <f aca="false">IF(K3&lt;=B3,"Yes","No")</f>
        <v>No</v>
      </c>
    </row>
    <row r="4" customFormat="false" ht="18" hidden="false" customHeight="true" outlineLevel="0" collapsed="false">
      <c r="A4" s="7" t="n">
        <v>3</v>
      </c>
      <c r="B4" s="13" t="n">
        <v>36</v>
      </c>
      <c r="C4" s="13" t="n">
        <v>6</v>
      </c>
      <c r="D4" s="7" t="n">
        <v>5</v>
      </c>
      <c r="E4" s="7" t="n">
        <v>5</v>
      </c>
      <c r="F4" s="7" t="n">
        <v>5</v>
      </c>
      <c r="G4" s="7" t="n">
        <v>3</v>
      </c>
      <c r="H4" s="7" t="n">
        <v>3</v>
      </c>
      <c r="I4" s="16" t="n">
        <f aca="false">SUM(C4:H4)</f>
        <v>27</v>
      </c>
      <c r="J4" s="16" t="n">
        <f aca="false">B4-I4</f>
        <v>9</v>
      </c>
      <c r="K4" s="16" t="n">
        <f aca="false">2*C4+2*D4+SUM(E4:H4)</f>
        <v>38</v>
      </c>
      <c r="L4" s="16" t="str">
        <f aca="false">IF(K4&lt;=B4,"Yes","No")</f>
        <v>No</v>
      </c>
    </row>
    <row r="5" customFormat="false" ht="18" hidden="false" customHeight="true" outlineLevel="0" collapsed="false">
      <c r="A5" s="7" t="n">
        <v>4</v>
      </c>
      <c r="B5" s="13" t="n">
        <v>37</v>
      </c>
      <c r="C5" s="13" t="n">
        <v>6</v>
      </c>
      <c r="D5" s="7" t="n">
        <v>5</v>
      </c>
      <c r="E5" s="7" t="n">
        <v>5</v>
      </c>
      <c r="F5" s="7" t="n">
        <v>5</v>
      </c>
      <c r="G5" s="7" t="n">
        <v>3</v>
      </c>
      <c r="H5" s="7" t="n">
        <v>3</v>
      </c>
      <c r="I5" s="16" t="n">
        <f aca="false">SUM(C5:H5)</f>
        <v>27</v>
      </c>
      <c r="J5" s="16" t="n">
        <f aca="false">B5-I5</f>
        <v>10</v>
      </c>
      <c r="K5" s="16" t="n">
        <f aca="false">2*C5+2*D5+SUM(E5:H5)</f>
        <v>38</v>
      </c>
      <c r="L5" s="16" t="str">
        <f aca="false">IF(K5&lt;=B5,"Yes","No")</f>
        <v>No</v>
      </c>
    </row>
    <row r="6" customFormat="false" ht="18" hidden="false" customHeight="true" outlineLevel="0" collapsed="false">
      <c r="A6" s="7" t="n">
        <v>5</v>
      </c>
      <c r="B6" s="13" t="n">
        <v>38</v>
      </c>
      <c r="C6" s="13" t="n">
        <v>6</v>
      </c>
      <c r="D6" s="7" t="n">
        <v>5</v>
      </c>
      <c r="E6" s="7" t="n">
        <v>5</v>
      </c>
      <c r="F6" s="7" t="n">
        <v>5</v>
      </c>
      <c r="G6" s="7" t="n">
        <v>3</v>
      </c>
      <c r="H6" s="7" t="n">
        <v>3</v>
      </c>
      <c r="I6" s="16" t="n">
        <f aca="false">SUM(C6:H6)</f>
        <v>27</v>
      </c>
      <c r="J6" s="16" t="n">
        <f aca="false">B6-I6</f>
        <v>11</v>
      </c>
      <c r="K6" s="16" t="n">
        <f aca="false">2*C6+2*D6+SUM(E6:H6)</f>
        <v>38</v>
      </c>
      <c r="L6" s="16" t="str">
        <f aca="false">IF(K6&lt;=B6,"Yes","No")</f>
        <v>Yes</v>
      </c>
    </row>
    <row r="7" customFormat="false" ht="18" hidden="false" customHeight="true" outlineLevel="0" collapsed="false">
      <c r="A7" s="7" t="n">
        <v>6</v>
      </c>
      <c r="B7" s="13" t="n">
        <v>39</v>
      </c>
      <c r="C7" s="13" t="n">
        <v>5</v>
      </c>
      <c r="D7" s="7" t="n">
        <v>4</v>
      </c>
      <c r="E7" s="7" t="n">
        <v>5</v>
      </c>
      <c r="F7" s="7" t="n">
        <v>5</v>
      </c>
      <c r="G7" s="7" t="n">
        <v>2</v>
      </c>
      <c r="H7" s="7" t="n">
        <v>3</v>
      </c>
      <c r="I7" s="16" t="n">
        <f aca="false">SUM(C7:H7)</f>
        <v>24</v>
      </c>
      <c r="J7" s="16" t="n">
        <f aca="false">B7-I7</f>
        <v>15</v>
      </c>
      <c r="K7" s="16" t="n">
        <f aca="false">2*C7+2*D7+SUM(E7:H7)</f>
        <v>33</v>
      </c>
      <c r="L7" s="16" t="str">
        <f aca="false">IF(K7&lt;=B7,"Yes","No")</f>
        <v>Yes</v>
      </c>
    </row>
    <row r="8" customFormat="false" ht="18" hidden="false" customHeight="true" outlineLevel="0" collapsed="false">
      <c r="A8" s="7" t="n">
        <v>7</v>
      </c>
      <c r="B8" s="13" t="n">
        <v>41</v>
      </c>
      <c r="C8" s="13" t="n">
        <v>5</v>
      </c>
      <c r="D8" s="7" t="n">
        <v>4</v>
      </c>
      <c r="E8" s="7" t="n">
        <v>4</v>
      </c>
      <c r="F8" s="7" t="n">
        <v>5</v>
      </c>
      <c r="G8" s="7" t="n">
        <v>2</v>
      </c>
      <c r="H8" s="7" t="n">
        <v>2</v>
      </c>
      <c r="I8" s="16" t="n">
        <f aca="false">SUM(C8:H8)</f>
        <v>22</v>
      </c>
      <c r="J8" s="16" t="n">
        <f aca="false">B8-I8</f>
        <v>19</v>
      </c>
      <c r="K8" s="16" t="n">
        <f aca="false">2*C8+2*D8+SUM(E8:H8)</f>
        <v>31</v>
      </c>
      <c r="L8" s="16" t="str">
        <f aca="false">IF(K8&lt;=B8,"Yes","No")</f>
        <v>Yes</v>
      </c>
    </row>
    <row r="9" customFormat="false" ht="18" hidden="false" customHeight="true" outlineLevel="0" collapsed="false">
      <c r="A9" s="7" t="n">
        <v>8</v>
      </c>
      <c r="B9" s="13" t="n">
        <v>43</v>
      </c>
      <c r="C9" s="13" t="n">
        <v>5</v>
      </c>
      <c r="D9" s="7" t="n">
        <v>4</v>
      </c>
      <c r="E9" s="7" t="n">
        <v>4</v>
      </c>
      <c r="F9" s="7" t="n">
        <v>4</v>
      </c>
      <c r="G9" s="7" t="n">
        <v>2</v>
      </c>
      <c r="H9" s="7" t="n">
        <v>2</v>
      </c>
      <c r="I9" s="16" t="n">
        <f aca="false">SUM(C9:H9)</f>
        <v>21</v>
      </c>
      <c r="J9" s="16" t="n">
        <f aca="false">B9-I9</f>
        <v>22</v>
      </c>
      <c r="K9" s="16" t="n">
        <f aca="false">2*C9+2*D9+SUM(E9:H9)</f>
        <v>30</v>
      </c>
      <c r="L9" s="16" t="str">
        <f aca="false">IF(K9&lt;=B9,"Yes","No")</f>
        <v>Yes</v>
      </c>
    </row>
    <row r="10" customFormat="false" ht="18" hidden="false" customHeight="true" outlineLevel="0" collapsed="false">
      <c r="A10" s="7" t="n">
        <v>9</v>
      </c>
      <c r="B10" s="13" t="n">
        <v>45</v>
      </c>
      <c r="C10" s="13" t="n">
        <v>5</v>
      </c>
      <c r="D10" s="7" t="n">
        <v>3</v>
      </c>
      <c r="E10" s="7" t="n">
        <v>4</v>
      </c>
      <c r="F10" s="7" t="n">
        <v>4</v>
      </c>
      <c r="G10" s="7" t="n">
        <v>2</v>
      </c>
      <c r="H10" s="7" t="n">
        <v>2</v>
      </c>
      <c r="I10" s="16" t="n">
        <f aca="false">SUM(C10:H10)</f>
        <v>20</v>
      </c>
      <c r="J10" s="16" t="n">
        <f aca="false">B10-I10</f>
        <v>25</v>
      </c>
      <c r="K10" s="16" t="n">
        <f aca="false">2*C10+2*D10+SUM(E10:H10)</f>
        <v>28</v>
      </c>
      <c r="L10" s="16" t="str">
        <f aca="false">IF(K10&lt;=B10,"Yes","No")</f>
        <v>Yes</v>
      </c>
    </row>
  </sheetData>
  <autoFilter ref="A1:L1"/>
  <printOptions headings="false" gridLines="false" gridLinesSet="true" horizontalCentered="false" verticalCentered="false"/>
  <pageMargins left="0.25" right="0.25" top="0.45" bottom="0.4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&amp;CStar Cluster - provisional candidate matrix - no calibration&amp;RPage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2026-08-15T15:20:16Z</dcterms:created>
  <dc:creator>openpyxl</dc:creator>
  <dc:description/>
  <dc:language>en-US</dc:language>
  <cp:lastModifiedBy/>
  <dcterms:modified xsi:type="dcterms:W3CDTF">2026-08-15T16:05:58Z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